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s" sheetId="1" state="visible" r:id="rId2"/>
    <sheet name="pharma" sheetId="2" state="visible" r:id="rId3"/>
    <sheet name="recap" sheetId="3" state="visible" r:id="rId4"/>
    <sheet name="couleurs" sheetId="4" state="visible" r:id="rId5"/>
    <sheet name="formules" sheetId="5" state="visible" r:id="rId6"/>
    <sheet name="zones" sheetId="6" state="visible" r:id="rId7"/>
    <sheet name="adresses uniques" sheetId="7" state="visible" r:id="rId8"/>
    <sheet name="Infos Flo" sheetId="8" state="visible" r:id="rId9"/>
  </sheets>
  <definedNames>
    <definedName function="false" hidden="true" localSheetId="6" name="_xlnm._FilterDatabase" vbProcedure="false">'adresses uniques'!$A$1:$D$999</definedName>
    <definedName function="false" hidden="false" localSheetId="0" name="_xlnm.Print_Titles" vbProcedure="false">pds!$A:$A,pds!$1:$1</definedName>
    <definedName function="false" hidden="true" localSheetId="0" name="_xlnm._FilterDatabase" vbProcedure="false">pds!$A$1:$AE$2087</definedName>
    <definedName function="false" hidden="true" localSheetId="1" name="_xlnm._FilterDatabase" vbProcedure="false">pharma!$E$1:$I$404</definedName>
    <definedName function="false" hidden="false" localSheetId="0" name="Print_Titles_0_0" vbProcedure="false">pds!$1:$1,pds!$D:$D</definedName>
    <definedName function="false" hidden="false" localSheetId="0" name="_xlnm.Print_Titles_0" vbProcedure="false">pds!$1:$1,pds!$A:$A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" authorId="0">
      <text>
        <r>
          <rPr>
            <sz val="8"/>
            <rFont val="Arial"/>
            <family val="2"/>
            <charset val="1"/>
          </rPr>
          <t xml:space="preserve">ABDUL Ibrahim:
PRE-SELECTION PH : Il s'agit des 120 Pharmacies ayant le gros CA UL</t>
        </r>
      </text>
    </comment>
    <comment ref="S1" authorId="0">
      <text>
        <r>
          <rPr>
            <sz val="8"/>
            <rFont val="Arial"/>
            <family val="2"/>
            <charset val="1"/>
          </rPr>
          <t xml:space="preserve">ABDUL Ibrahim:
PRE-SELECTION PH : Il s'agit des 120 Pharmacies ayant le gros CA UL</t>
        </r>
      </text>
    </comment>
    <comment ref="U1" authorId="0">
      <text>
        <r>
          <rPr>
            <sz val="8"/>
            <rFont val="Arial"/>
            <family val="2"/>
            <charset val="1"/>
          </rPr>
          <t xml:space="preserve">ABDUL Ibrahim:
PRE-SELECTION PH : Il s'agit des 120 Pharmacies ayant le gros CA UL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0" authorId="0">
      <text>
        <r>
          <rPr>
            <sz val="8"/>
            <rFont val="Arial"/>
            <family val="2"/>
            <charset val="1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<sst xmlns="http://schemas.openxmlformats.org/spreadsheetml/2006/main" count="18682" uniqueCount="4844">
  <si>
    <t xml:space="preserve">nom</t>
  </si>
  <si>
    <t xml:space="preserve">prenom</t>
  </si>
  <si>
    <t xml:space="preserve">spe</t>
  </si>
  <si>
    <t xml:space="preserve">uga</t>
  </si>
  <si>
    <t xml:space="preserve">etablissement</t>
  </si>
  <si>
    <t xml:space="preserve">adresse</t>
  </si>
  <si>
    <t xml:space="preserve">cp</t>
  </si>
  <si>
    <t xml:space="preserve">ville</t>
  </si>
  <si>
    <t xml:space="preserve">tel</t>
  </si>
  <si>
    <t xml:space="preserve">pot</t>
  </si>
  <si>
    <t xml:space="preserve">pvm</t>
  </si>
  <si>
    <t xml:space="preserve">nv2022</t>
  </si>
  <si>
    <t xml:space="preserve">mode</t>
  </si>
  <si>
    <t xml:space="preserve">commentaire</t>
  </si>
  <si>
    <t xml:space="preserve">lun mat</t>
  </si>
  <si>
    <t xml:space="preserve">lun am</t>
  </si>
  <si>
    <t xml:space="preserve">mar mat</t>
  </si>
  <si>
    <t xml:space="preserve">mar am</t>
  </si>
  <si>
    <t xml:space="preserve">mer mat</t>
  </si>
  <si>
    <t xml:space="preserve">mer am</t>
  </si>
  <si>
    <t xml:space="preserve">jeu mat</t>
  </si>
  <si>
    <t xml:space="preserve">jeu am</t>
  </si>
  <si>
    <t xml:space="preserve">ven mat</t>
  </si>
  <si>
    <t xml:space="preserve">ven am</t>
  </si>
  <si>
    <t xml:space="preserve">ddv</t>
  </si>
  <si>
    <t xml:space="preserve">dpv</t>
  </si>
  <si>
    <t xml:space="preserve">ciblage</t>
  </si>
  <si>
    <t xml:space="preserve">rdv</t>
  </si>
  <si>
    <t xml:space="preserve">decile</t>
  </si>
  <si>
    <t xml:space="preserve">reception</t>
  </si>
  <si>
    <t xml:space="preserve">pk</t>
  </si>
  <si>
    <t xml:space="preserve">PEYNEAU PONS</t>
  </si>
  <si>
    <t xml:space="preserve">Cecile</t>
  </si>
  <si>
    <t xml:space="preserve">PSY</t>
  </si>
  <si>
    <t xml:space="preserve">75AUT</t>
  </si>
  <si>
    <t xml:space="preserve">102 RUE BOILEAU</t>
  </si>
  <si>
    <t xml:space="preserve">PARIS</t>
  </si>
  <si>
    <t xml:space="preserve">`</t>
  </si>
  <si>
    <t xml:space="preserve">NP</t>
  </si>
  <si>
    <t xml:space="preserve">BALYELI</t>
  </si>
  <si>
    <t xml:space="preserve">Filiz</t>
  </si>
  <si>
    <t xml:space="preserve">MG</t>
  </si>
  <si>
    <t xml:space="preserve">104 RUE MICHEL ANGE</t>
  </si>
  <si>
    <t xml:space="preserve">ELY</t>
  </si>
  <si>
    <t xml:space="preserve">Chantal</t>
  </si>
  <si>
    <t xml:space="preserve">106 RUE JEAN DE LA FONTAINE</t>
  </si>
  <si>
    <t xml:space="preserve">LOBBE</t>
  </si>
  <si>
    <t xml:space="preserve">Marion</t>
  </si>
  <si>
    <t xml:space="preserve">HÔP STE-PÉRINE</t>
  </si>
  <si>
    <t xml:space="preserve">11 RUE CHARDON LAGACHE</t>
  </si>
  <si>
    <t xml:space="preserve">DE WITASSE THEZY</t>
  </si>
  <si>
    <t xml:space="preserve">Albane</t>
  </si>
  <si>
    <t xml:space="preserve">GOURDON</t>
  </si>
  <si>
    <t xml:space="preserve">Mathilde</t>
  </si>
  <si>
    <t xml:space="preserve">DEPARIS</t>
  </si>
  <si>
    <t xml:space="preserve">Francois</t>
  </si>
  <si>
    <t xml:space="preserve">VYTHILINGUM</t>
  </si>
  <si>
    <t xml:space="preserve">Dany</t>
  </si>
  <si>
    <t xml:space="preserve">ABIADH</t>
  </si>
  <si>
    <t xml:space="preserve">Hasna</t>
  </si>
  <si>
    <t xml:space="preserve">ASSELIN MULLER DE SCHONGOR</t>
  </si>
  <si>
    <t xml:space="preserve">Florence</t>
  </si>
  <si>
    <t xml:space="preserve">BRACHAT</t>
  </si>
  <si>
    <t xml:space="preserve">Joelle</t>
  </si>
  <si>
    <t xml:space="preserve">GOMAS</t>
  </si>
  <si>
    <t xml:space="preserve">Jean Marie</t>
  </si>
  <si>
    <t xml:space="preserve">LE CRANE</t>
  </si>
  <si>
    <t xml:space="preserve">Marine</t>
  </si>
  <si>
    <t xml:space="preserve">PENG</t>
  </si>
  <si>
    <t xml:space="preserve">Chang Li</t>
  </si>
  <si>
    <t xml:space="preserve">TARDIVEL</t>
  </si>
  <si>
    <t xml:space="preserve">Marie</t>
  </si>
  <si>
    <t xml:space="preserve">BOUJDAY CHRIAA</t>
  </si>
  <si>
    <t xml:space="preserve">Lobna</t>
  </si>
  <si>
    <t xml:space="preserve">DE BOUTINY</t>
  </si>
  <si>
    <t xml:space="preserve">Servane</t>
  </si>
  <si>
    <t xml:space="preserve">MAHIEUX LAURENT</t>
  </si>
  <si>
    <t xml:space="preserve">NE</t>
  </si>
  <si>
    <t xml:space="preserve">DIARD DETOEUF</t>
  </si>
  <si>
    <t xml:space="preserve">Capucine</t>
  </si>
  <si>
    <t xml:space="preserve">SAAL BOURENANE</t>
  </si>
  <si>
    <t xml:space="preserve">Fella</t>
  </si>
  <si>
    <t xml:space="preserve">11 RUE DE LA SOURCE</t>
  </si>
  <si>
    <t xml:space="preserve">BELIERES</t>
  </si>
  <si>
    <t xml:space="preserve">Charles</t>
  </si>
  <si>
    <t xml:space="preserve">MDS MARY JACOBI</t>
  </si>
  <si>
    <t xml:space="preserve">11 RUE DE VARIZE</t>
  </si>
  <si>
    <t xml:space="preserve">COMBASTET</t>
  </si>
  <si>
    <t xml:space="preserve">Philippe</t>
  </si>
  <si>
    <t xml:space="preserve">ECLANCHER</t>
  </si>
  <si>
    <t xml:space="preserve">William</t>
  </si>
  <si>
    <t xml:space="preserve">HADDAD</t>
  </si>
  <si>
    <t xml:space="preserve">Audrey</t>
  </si>
  <si>
    <t xml:space="preserve">SCHILDT</t>
  </si>
  <si>
    <t xml:space="preserve">Pauline</t>
  </si>
  <si>
    <t xml:space="preserve">CHEZAUD</t>
  </si>
  <si>
    <t xml:space="preserve">Gabriel</t>
  </si>
  <si>
    <t xml:space="preserve">PAUWELS</t>
  </si>
  <si>
    <t xml:space="preserve">ENEAU</t>
  </si>
  <si>
    <t xml:space="preserve">Maud</t>
  </si>
  <si>
    <t xml:space="preserve">SF</t>
  </si>
  <si>
    <t xml:space="preserve">NPAI</t>
  </si>
  <si>
    <t xml:space="preserve">LATOUR DE MAREUIL</t>
  </si>
  <si>
    <t xml:space="preserve">Elisabeth</t>
  </si>
  <si>
    <t xml:space="preserve">ok</t>
  </si>
  <si>
    <t xml:space="preserve">LECENDREUX</t>
  </si>
  <si>
    <t xml:space="preserve">Michel</t>
  </si>
  <si>
    <t xml:space="preserve">11 RUE DES PERCHAMPS</t>
  </si>
  <si>
    <t xml:space="preserve">D1-D4</t>
  </si>
  <si>
    <t xml:space="preserve">NON</t>
  </si>
  <si>
    <t xml:space="preserve">NRP</t>
  </si>
  <si>
    <t xml:space="preserve">HORREARD</t>
  </si>
  <si>
    <t xml:space="preserve">Anne Sophie</t>
  </si>
  <si>
    <t xml:space="preserve">PE-PSY</t>
  </si>
  <si>
    <t xml:space="preserve">11 RUE DU GENERAL NIOX</t>
  </si>
  <si>
    <t xml:space="preserve">LEGRAIN</t>
  </si>
  <si>
    <t xml:space="preserve">Yann</t>
  </si>
  <si>
    <t xml:space="preserve">114 AVENUE MOZART</t>
  </si>
  <si>
    <t xml:space="preserve">NRP?</t>
  </si>
  <si>
    <t xml:space="preserve">CHAUVEL</t>
  </si>
  <si>
    <t xml:space="preserve">Yvon</t>
  </si>
  <si>
    <t xml:space="preserve">PE</t>
  </si>
  <si>
    <t xml:space="preserve">116 AVENUE DE VERSAILLES</t>
  </si>
  <si>
    <t xml:space="preserve">ST MARD</t>
  </si>
  <si>
    <t xml:space="preserve">Genevieve</t>
  </si>
  <si>
    <t xml:space="preserve">119 RUE DE LA POMPE</t>
  </si>
  <si>
    <t xml:space="preserve">RENARD</t>
  </si>
  <si>
    <t xml:space="preserve">Marie Christine</t>
  </si>
  <si>
    <t xml:space="preserve">13 AVENUE DU MARECHAL FRANCHET D ESPEREY</t>
  </si>
  <si>
    <t xml:space="preserve">DJIAN</t>
  </si>
  <si>
    <t xml:space="preserve">Yves</t>
  </si>
  <si>
    <t xml:space="preserve">130 BOULEVARD EXELMANS</t>
  </si>
  <si>
    <t xml:space="preserve">SOUSSY</t>
  </si>
  <si>
    <t xml:space="preserve">Nicolas</t>
  </si>
  <si>
    <t xml:space="preserve">AZOULAY</t>
  </si>
  <si>
    <t xml:space="preserve">133 RUE MICHEL ANGE</t>
  </si>
  <si>
    <t xml:space="preserve">ROURE</t>
  </si>
  <si>
    <t xml:space="preserve">Sabine</t>
  </si>
  <si>
    <t xml:space="preserve">GY</t>
  </si>
  <si>
    <t xml:space="preserve">136 BOULEVARD EXELMANS</t>
  </si>
  <si>
    <t xml:space="preserve">GURSCHI</t>
  </si>
  <si>
    <t xml:space="preserve">Viorel</t>
  </si>
  <si>
    <t xml:space="preserve">CLI MED ET PED EDOUARD RIST</t>
  </si>
  <si>
    <t xml:space="preserve">14 RUE BOILEAU</t>
  </si>
  <si>
    <t xml:space="preserve">DE FRESCHEVILLE</t>
  </si>
  <si>
    <t xml:space="preserve">Frederique</t>
  </si>
  <si>
    <t xml:space="preserve">LEMERLE SAULPIC</t>
  </si>
  <si>
    <t xml:space="preserve">Juliette</t>
  </si>
  <si>
    <t xml:space="preserve">FASOLA</t>
  </si>
  <si>
    <t xml:space="preserve">Sylvie</t>
  </si>
  <si>
    <t xml:space="preserve">LEVY</t>
  </si>
  <si>
    <t xml:space="preserve">Dominique</t>
  </si>
  <si>
    <t xml:space="preserve">MICHOT</t>
  </si>
  <si>
    <t xml:space="preserve">Anne Sylvestre</t>
  </si>
  <si>
    <t xml:space="preserve">15 QUAI LOUIS BLERIOT</t>
  </si>
  <si>
    <t xml:space="preserve">RDV</t>
  </si>
  <si>
    <t xml:space="preserve">BOCHET</t>
  </si>
  <si>
    <t xml:space="preserve">Alain</t>
  </si>
  <si>
    <t xml:space="preserve">15 RUE DE L YVETTE</t>
  </si>
  <si>
    <t xml:space="preserve">ORSEL</t>
  </si>
  <si>
    <t xml:space="preserve">Claude</t>
  </si>
  <si>
    <t xml:space="preserve">16 RUE FELICIEN DAVID</t>
  </si>
  <si>
    <t xml:space="preserve">DEPAUW</t>
  </si>
  <si>
    <t xml:space="preserve">17 RUE MICHEL ANGE</t>
  </si>
  <si>
    <t xml:space="preserve">RAPPELER</t>
  </si>
  <si>
    <t xml:space="preserve">SEPT</t>
  </si>
  <si>
    <t xml:space="preserve">SHOUKRY</t>
  </si>
  <si>
    <t xml:space="preserve">Kamel</t>
  </si>
  <si>
    <t xml:space="preserve">171 BOULEVARD MURAT</t>
  </si>
  <si>
    <t xml:space="preserve">MACHARD DE GRAMONT</t>
  </si>
  <si>
    <t xml:space="preserve">19 RUE MICHEL ANGE</t>
  </si>
  <si>
    <t xml:space="preserve">ANDRE</t>
  </si>
  <si>
    <t xml:space="preserve">Pascal</t>
  </si>
  <si>
    <t xml:space="preserve">19 RUE MIRABEAU</t>
  </si>
  <si>
    <t xml:space="preserve">GIRAUT</t>
  </si>
  <si>
    <t xml:space="preserve">Xavier</t>
  </si>
  <si>
    <t xml:space="preserve">THERVET</t>
  </si>
  <si>
    <t xml:space="preserve">Laurence</t>
  </si>
  <si>
    <t xml:space="preserve">GE</t>
  </si>
  <si>
    <t xml:space="preserve">19 RUE MOLITOR</t>
  </si>
  <si>
    <t xml:space="preserve">CONDROYER</t>
  </si>
  <si>
    <t xml:space="preserve">TOBELEM</t>
  </si>
  <si>
    <t xml:space="preserve">Robert</t>
  </si>
  <si>
    <t xml:space="preserve">196 AVENUE DE VERSAILLES</t>
  </si>
  <si>
    <t xml:space="preserve">SAYAC</t>
  </si>
  <si>
    <t xml:space="preserve">2 AVENUE DU GENERAL BALFOURIER</t>
  </si>
  <si>
    <t xml:space="preserve">LACOSTE</t>
  </si>
  <si>
    <t xml:space="preserve">Jean Pierre</t>
  </si>
  <si>
    <t xml:space="preserve">DOUVIER</t>
  </si>
  <si>
    <t xml:space="preserve">Jean Paul</t>
  </si>
  <si>
    <t xml:space="preserve">2 PLACE DE BARCELONE</t>
  </si>
  <si>
    <t xml:space="preserve">MANSOUR OBEID</t>
  </si>
  <si>
    <t xml:space="preserve">Violette</t>
  </si>
  <si>
    <t xml:space="preserve">2 RUE CHARLES MARIE WIDOR</t>
  </si>
  <si>
    <t xml:space="preserve">GAY</t>
  </si>
  <si>
    <t xml:space="preserve">Christian</t>
  </si>
  <si>
    <t xml:space="preserve">2 RUE D AUTEUIL</t>
  </si>
  <si>
    <t xml:space="preserve">D10</t>
  </si>
  <si>
    <t xml:space="preserve">JEANNIN</t>
  </si>
  <si>
    <t xml:space="preserve">2 RUE DE CIVRY</t>
  </si>
  <si>
    <t xml:space="preserve">HOMASSON</t>
  </si>
  <si>
    <t xml:space="preserve">Nelly</t>
  </si>
  <si>
    <t xml:space="preserve">21 RUE CHANEZ</t>
  </si>
  <si>
    <t xml:space="preserve">BALLESTER</t>
  </si>
  <si>
    <t xml:space="preserve">PIOCH CHAGUE</t>
  </si>
  <si>
    <t xml:space="preserve">Camille</t>
  </si>
  <si>
    <t xml:space="preserve">EL JABRI</t>
  </si>
  <si>
    <t xml:space="preserve">Laila</t>
  </si>
  <si>
    <t xml:space="preserve">MG-GY</t>
  </si>
  <si>
    <t xml:space="preserve">SOUSSAN</t>
  </si>
  <si>
    <t xml:space="preserve">Nathalie</t>
  </si>
  <si>
    <t xml:space="preserve">21 RUE PIERRE GUERIN</t>
  </si>
  <si>
    <t xml:space="preserve">RAPTI</t>
  </si>
  <si>
    <t xml:space="preserve">Konstantina</t>
  </si>
  <si>
    <t xml:space="preserve">GERVAT</t>
  </si>
  <si>
    <t xml:space="preserve">Oceane</t>
  </si>
  <si>
    <t xml:space="preserve">MARONIAN</t>
  </si>
  <si>
    <t xml:space="preserve">Sophie</t>
  </si>
  <si>
    <t xml:space="preserve">D7</t>
  </si>
  <si>
    <t xml:space="preserve">ALEXANDRE</t>
  </si>
  <si>
    <t xml:space="preserve">25 RUE PIERRE GUERIN</t>
  </si>
  <si>
    <t xml:space="preserve">MARGUERITAT</t>
  </si>
  <si>
    <t xml:space="preserve">Danielle</t>
  </si>
  <si>
    <t xml:space="preserve">26 RUE ERLANGER</t>
  </si>
  <si>
    <t xml:space="preserve">MEKERTA</t>
  </si>
  <si>
    <t xml:space="preserve">Zohra</t>
  </si>
  <si>
    <t xml:space="preserve">29 RUE MIRABEAU</t>
  </si>
  <si>
    <t xml:space="preserve">SPINELLI</t>
  </si>
  <si>
    <t xml:space="preserve">PICAUD</t>
  </si>
  <si>
    <t xml:space="preserve">Julie</t>
  </si>
  <si>
    <t xml:space="preserve">3 RUE CHARLES TELLIER</t>
  </si>
  <si>
    <t xml:space="preserve">NOHET</t>
  </si>
  <si>
    <t xml:space="preserve">Nadia</t>
  </si>
  <si>
    <t xml:space="preserve">DER AGOPIAN</t>
  </si>
  <si>
    <t xml:space="preserve">Pierre</t>
  </si>
  <si>
    <t xml:space="preserve">3 RUE DE L AMIRAL CLOUE</t>
  </si>
  <si>
    <t xml:space="preserve">LEVY GARBOUA</t>
  </si>
  <si>
    <t xml:space="preserve">Helene</t>
  </si>
  <si>
    <t xml:space="preserve">OUACHEE</t>
  </si>
  <si>
    <t xml:space="preserve">Odile Myriam</t>
  </si>
  <si>
    <t xml:space="preserve">33 RUE JOUVENET</t>
  </si>
  <si>
    <t xml:space="preserve">BOXELE</t>
  </si>
  <si>
    <t xml:space="preserve">Regis</t>
  </si>
  <si>
    <t xml:space="preserve">34 AVENUE DU GENERAL SARRAIL</t>
  </si>
  <si>
    <t xml:space="preserve">BERNARD</t>
  </si>
  <si>
    <t xml:space="preserve">Sandra</t>
  </si>
  <si>
    <t xml:space="preserve">TAMBORINI</t>
  </si>
  <si>
    <t xml:space="preserve">35 AVENUE THEOPHILE GAUTIER</t>
  </si>
  <si>
    <t xml:space="preserve">MAIER</t>
  </si>
  <si>
    <t xml:space="preserve">FLORAND MAIER</t>
  </si>
  <si>
    <t xml:space="preserve">Isabelle</t>
  </si>
  <si>
    <t xml:space="preserve">PHARMACIE DU DOCTEUR BLANCHE</t>
  </si>
  <si>
    <t xml:space="preserve">38 RUE DU DOCTEUR BLANCHE</t>
  </si>
  <si>
    <t xml:space="preserve">GUEVEL DELARUE</t>
  </si>
  <si>
    <t xml:space="preserve">Kristell</t>
  </si>
  <si>
    <t xml:space="preserve">PMI</t>
  </si>
  <si>
    <t xml:space="preserve">4 RUE VIGEE LEBRUN</t>
  </si>
  <si>
    <t xml:space="preserve">HWANG</t>
  </si>
  <si>
    <t xml:space="preserve">Chyi</t>
  </si>
  <si>
    <t xml:space="preserve">44 AVENUE DE VERSAILLES</t>
  </si>
  <si>
    <t xml:space="preserve">HURTAUD</t>
  </si>
  <si>
    <t xml:space="preserve">44 AVENUE THEOPHILE GAUTIER</t>
  </si>
  <si>
    <t xml:space="preserve">NASIO</t>
  </si>
  <si>
    <t xml:space="preserve">Juan David</t>
  </si>
  <si>
    <t xml:space="preserve">44 QUAI LOUIS BLERIOT</t>
  </si>
  <si>
    <t xml:space="preserve">GARIEN</t>
  </si>
  <si>
    <t xml:space="preserve">Jean Francois</t>
  </si>
  <si>
    <t xml:space="preserve">45 RUE BOILEAU</t>
  </si>
  <si>
    <t xml:space="preserve">VALENTIN SANTARNECCH</t>
  </si>
  <si>
    <t xml:space="preserve">48 RUE RAFFET</t>
  </si>
  <si>
    <t xml:space="preserve">DEMOULIN</t>
  </si>
  <si>
    <t xml:space="preserve">Maryne</t>
  </si>
  <si>
    <t xml:space="preserve">TAIEB</t>
  </si>
  <si>
    <t xml:space="preserve">David</t>
  </si>
  <si>
    <t xml:space="preserve">49 51 RUE JEAN DE LA FONTAINE</t>
  </si>
  <si>
    <t xml:space="preserve">BLANCARD</t>
  </si>
  <si>
    <t xml:space="preserve">SCHMITT</t>
  </si>
  <si>
    <t xml:space="preserve">Jean Noel</t>
  </si>
  <si>
    <t xml:space="preserve">5 RUE ANDRE COLLEDEBOEUF</t>
  </si>
  <si>
    <t xml:space="preserve">TARDY</t>
  </si>
  <si>
    <t xml:space="preserve">Marie Noelle</t>
  </si>
  <si>
    <t xml:space="preserve">50 RUE POUSSIN</t>
  </si>
  <si>
    <t xml:space="preserve">BENOIT SAUVAN</t>
  </si>
  <si>
    <t xml:space="preserve">53 RUE DU GENERAL DELESTRAINT</t>
  </si>
  <si>
    <t xml:space="preserve">FUSSIEN</t>
  </si>
  <si>
    <t xml:space="preserve">Edouard</t>
  </si>
  <si>
    <t xml:space="preserve">56 RUE DU DOCTEUR BLANCHE</t>
  </si>
  <si>
    <t xml:space="preserve">SABBAH EZAOUI</t>
  </si>
  <si>
    <t xml:space="preserve">Liora</t>
  </si>
  <si>
    <t xml:space="preserve">57 RUE JEAN DE LA FONTAINE</t>
  </si>
  <si>
    <t xml:space="preserve">SABBAH</t>
  </si>
  <si>
    <t xml:space="preserve">Abraham</t>
  </si>
  <si>
    <t xml:space="preserve">ASSOULINE</t>
  </si>
  <si>
    <t xml:space="preserve">Moshe</t>
  </si>
  <si>
    <t xml:space="preserve">59 RUE CHARDON LAGACHE</t>
  </si>
  <si>
    <t xml:space="preserve">FORGERIT</t>
  </si>
  <si>
    <t xml:space="preserve">TORDJMAN</t>
  </si>
  <si>
    <t xml:space="preserve">Laetitia</t>
  </si>
  <si>
    <t xml:space="preserve">CADOCHE</t>
  </si>
  <si>
    <t xml:space="preserve">Guy</t>
  </si>
  <si>
    <t xml:space="preserve">6 RUE GIRODET</t>
  </si>
  <si>
    <t xml:space="preserve">MORISSET</t>
  </si>
  <si>
    <t xml:space="preserve">6 SQUARE JOUVENET</t>
  </si>
  <si>
    <t xml:space="preserve">MALTONTI</t>
  </si>
  <si>
    <t xml:space="preserve">Fabrice</t>
  </si>
  <si>
    <t xml:space="preserve">YAKOVLEFF</t>
  </si>
  <si>
    <t xml:space="preserve">Anton</t>
  </si>
  <si>
    <t xml:space="preserve">AZOULAY ZYSS</t>
  </si>
  <si>
    <t xml:space="preserve">PAPELIER</t>
  </si>
  <si>
    <t xml:space="preserve">Jean Marc</t>
  </si>
  <si>
    <t xml:space="preserve">62 RUE MICHEL ANGE</t>
  </si>
  <si>
    <t xml:space="preserve">SAFAR PAILLARD</t>
  </si>
  <si>
    <t xml:space="preserve">7 9 BIS RUE DU BOUQUET DE LONGCHAMP</t>
  </si>
  <si>
    <t xml:space="preserve">PELISSIER</t>
  </si>
  <si>
    <t xml:space="preserve">Clara</t>
  </si>
  <si>
    <t xml:space="preserve">72 RUE D AUTEUIL</t>
  </si>
  <si>
    <t xml:space="preserve">NACCACHE</t>
  </si>
  <si>
    <t xml:space="preserve">Elie</t>
  </si>
  <si>
    <t xml:space="preserve">72 RUE MICHEL ANGE</t>
  </si>
  <si>
    <t xml:space="preserve">DIZIN</t>
  </si>
  <si>
    <t xml:space="preserve">74 BOULEVARD EXELMANS</t>
  </si>
  <si>
    <t xml:space="preserve">CHECK</t>
  </si>
  <si>
    <t xml:space="preserve">INSCR. MA 14:00</t>
  </si>
  <si>
    <t xml:space="preserve">LAMBERTI</t>
  </si>
  <si>
    <t xml:space="preserve">Elena</t>
  </si>
  <si>
    <t xml:space="preserve">75 BOULEVARD EXELMANS</t>
  </si>
  <si>
    <t xml:space="preserve">TERDJMAN</t>
  </si>
  <si>
    <t xml:space="preserve">8 RUE D AUTEUIL</t>
  </si>
  <si>
    <t xml:space="preserve">FLORAND</t>
  </si>
  <si>
    <t xml:space="preserve">Olivier</t>
  </si>
  <si>
    <t xml:space="preserve">8 RUE DEGAS</t>
  </si>
  <si>
    <t xml:space="preserve">COHEN</t>
  </si>
  <si>
    <t xml:space="preserve">Carole</t>
  </si>
  <si>
    <t xml:space="preserve">85 AVENUE MOZART</t>
  </si>
  <si>
    <t xml:space="preserve">CANU WAJNGLAS</t>
  </si>
  <si>
    <t xml:space="preserve">Emmanuelle</t>
  </si>
  <si>
    <t xml:space="preserve">89 BOULEVARD MURAT</t>
  </si>
  <si>
    <t xml:space="preserve">LEGLISE</t>
  </si>
  <si>
    <t xml:space="preserve">9 RUE VAN LOO</t>
  </si>
  <si>
    <t xml:space="preserve">BINET ORTEGA</t>
  </si>
  <si>
    <t xml:space="preserve">Virginie</t>
  </si>
  <si>
    <t xml:space="preserve">HÔP HENRY DUNANT</t>
  </si>
  <si>
    <t xml:space="preserve">95 RUE MICHEL ANGE</t>
  </si>
  <si>
    <t xml:space="preserve">ESCOUROLLE PELTIER</t>
  </si>
  <si>
    <t xml:space="preserve">Francoise</t>
  </si>
  <si>
    <t xml:space="preserve">AGOGUE</t>
  </si>
  <si>
    <t xml:space="preserve">TOUNSI</t>
  </si>
  <si>
    <t xml:space="preserve">Hajer</t>
  </si>
  <si>
    <t xml:space="preserve">DE MONTGOLFIER</t>
  </si>
  <si>
    <t xml:space="preserve">Segolene</t>
  </si>
  <si>
    <t xml:space="preserve">NKOUAMOU</t>
  </si>
  <si>
    <t xml:space="preserve">Mylene</t>
  </si>
  <si>
    <t xml:space="preserve">TRAVERS</t>
  </si>
  <si>
    <t xml:space="preserve">Frederic Georges</t>
  </si>
  <si>
    <t xml:space="preserve">96 AVENUE DE VERSAILLES</t>
  </si>
  <si>
    <t xml:space="preserve">SIRINELLI WALTER</t>
  </si>
  <si>
    <t xml:space="preserve">Laure</t>
  </si>
  <si>
    <t xml:space="preserve">75ELY</t>
  </si>
  <si>
    <t xml:space="preserve">10 RUE DU DOCTEUR LANCEREAUX</t>
  </si>
  <si>
    <t xml:space="preserve">MEYERS</t>
  </si>
  <si>
    <t xml:space="preserve">Anne Valerie</t>
  </si>
  <si>
    <t xml:space="preserve">10 RUE ROYALE</t>
  </si>
  <si>
    <t xml:space="preserve">PEREZ</t>
  </si>
  <si>
    <t xml:space="preserve">Georges</t>
  </si>
  <si>
    <t xml:space="preserve">103 RUE DE MIROMESNIL</t>
  </si>
  <si>
    <t xml:space="preserve">HUSSON</t>
  </si>
  <si>
    <t xml:space="preserve">11 RUE DE VEZELAY</t>
  </si>
  <si>
    <t xml:space="preserve">LAFFONT</t>
  </si>
  <si>
    <t xml:space="preserve">11 RUE VIGNON</t>
  </si>
  <si>
    <t xml:space="preserve">OUI</t>
  </si>
  <si>
    <t xml:space="preserve">Accord donné par mail</t>
  </si>
  <si>
    <t xml:space="preserve">DEBACHE</t>
  </si>
  <si>
    <t xml:space="preserve">12 AVENUE MONTAIGNE</t>
  </si>
  <si>
    <t xml:space="preserve">TRAN NGOC</t>
  </si>
  <si>
    <t xml:space="preserve">Anne</t>
  </si>
  <si>
    <t xml:space="preserve">12 RUE DE PONTHIEU</t>
  </si>
  <si>
    <t xml:space="preserve">VEGH</t>
  </si>
  <si>
    <t xml:space="preserve">Eric</t>
  </si>
  <si>
    <t xml:space="preserve">13 RUE DE LA TREMOILLE</t>
  </si>
  <si>
    <t xml:space="preserve">Marie Gabrielle</t>
  </si>
  <si>
    <t xml:space="preserve">PHAM THI</t>
  </si>
  <si>
    <t xml:space="preserve">Thoi Nguyet</t>
  </si>
  <si>
    <t xml:space="preserve">14 PLACE HENRI BERGSON</t>
  </si>
  <si>
    <t xml:space="preserve">PASSARD</t>
  </si>
  <si>
    <t xml:space="preserve">Christophe</t>
  </si>
  <si>
    <t xml:space="preserve">14 RUE DE NAPLES</t>
  </si>
  <si>
    <t xml:space="preserve">LOUAFI BEN YOUSSEF</t>
  </si>
  <si>
    <t xml:space="preserve">Heyfa</t>
  </si>
  <si>
    <t xml:space="preserve">14 RUE LINCOLN</t>
  </si>
  <si>
    <t xml:space="preserve">GUYOT DE LA HARDROUYERE</t>
  </si>
  <si>
    <t xml:space="preserve">146 BOULEVARD HAUSSMANN</t>
  </si>
  <si>
    <t xml:space="preserve">FOURNIER</t>
  </si>
  <si>
    <t xml:space="preserve">Baptiste</t>
  </si>
  <si>
    <t xml:space="preserve">15 BIS RUE DE MARIGNAN</t>
  </si>
  <si>
    <t xml:space="preserve">TRAN WATTIEZ</t>
  </si>
  <si>
    <t xml:space="preserve">Celine</t>
  </si>
  <si>
    <t xml:space="preserve">15 BOULEVARD MALESHERBES</t>
  </si>
  <si>
    <t xml:space="preserve">GRAUZAM REBOT</t>
  </si>
  <si>
    <t xml:space="preserve">Geraldine</t>
  </si>
  <si>
    <t xml:space="preserve">15 RUE DE SURENE</t>
  </si>
  <si>
    <t xml:space="preserve">BLIN</t>
  </si>
  <si>
    <t xml:space="preserve">Jerome</t>
  </si>
  <si>
    <t xml:space="preserve">16 RUE DE TEHERAN</t>
  </si>
  <si>
    <t xml:space="preserve">JAMIN</t>
  </si>
  <si>
    <t xml:space="preserve">169 BOULEVARD HAUSSMANN</t>
  </si>
  <si>
    <t xml:space="preserve">DEPONDT GADET</t>
  </si>
  <si>
    <t xml:space="preserve">Martine</t>
  </si>
  <si>
    <t xml:space="preserve">17 RUE DE MONCEAU</t>
  </si>
  <si>
    <t xml:space="preserve">DAVID MOUMEN</t>
  </si>
  <si>
    <t xml:space="preserve">Samy</t>
  </si>
  <si>
    <t xml:space="preserve">17 RUE DE TREMOILLE</t>
  </si>
  <si>
    <t xml:space="preserve">BAUP</t>
  </si>
  <si>
    <t xml:space="preserve">170 BOULEVARD HAUSSMANN</t>
  </si>
  <si>
    <t xml:space="preserve">D6</t>
  </si>
  <si>
    <t xml:space="preserve">BENCHETRIT</t>
  </si>
  <si>
    <t xml:space="preserve">Franck</t>
  </si>
  <si>
    <t xml:space="preserve">D5</t>
  </si>
  <si>
    <t xml:space="preserve">Brigitte</t>
  </si>
  <si>
    <t xml:space="preserve">HASSAN</t>
  </si>
  <si>
    <t xml:space="preserve">Moise</t>
  </si>
  <si>
    <t xml:space="preserve">18 RUE DUPHOT</t>
  </si>
  <si>
    <t xml:space="preserve">JUMAH</t>
  </si>
  <si>
    <t xml:space="preserve">Alexandre Omar</t>
  </si>
  <si>
    <t xml:space="preserve">18 RUE MARBEUF</t>
  </si>
  <si>
    <t xml:space="preserve">BRUN</t>
  </si>
  <si>
    <t xml:space="preserve">Agnes</t>
  </si>
  <si>
    <t xml:space="preserve">18 RUE ROYALE</t>
  </si>
  <si>
    <t xml:space="preserve">CASTRO</t>
  </si>
  <si>
    <t xml:space="preserve">Bernard</t>
  </si>
  <si>
    <t xml:space="preserve">186 BOULEVARD HAUSSMANN</t>
  </si>
  <si>
    <t xml:space="preserve">BENHAIEM</t>
  </si>
  <si>
    <t xml:space="preserve">19 AVENUE FRANKLIN DELANO ROOSEVELT</t>
  </si>
  <si>
    <t xml:space="preserve">NOEL WEKSTEIN</t>
  </si>
  <si>
    <t xml:space="preserve">19 RUE D EDIMBOURG</t>
  </si>
  <si>
    <t xml:space="preserve">SMADJA</t>
  </si>
  <si>
    <t xml:space="preserve">Serge</t>
  </si>
  <si>
    <t xml:space="preserve">LEDOUX</t>
  </si>
  <si>
    <t xml:space="preserve">FORTIN</t>
  </si>
  <si>
    <t xml:space="preserve">19 RUE DUPHOT</t>
  </si>
  <si>
    <t xml:space="preserve">VARILLE</t>
  </si>
  <si>
    <t xml:space="preserve">Venance</t>
  </si>
  <si>
    <t xml:space="preserve">20 BIS RUE LA BOETIE</t>
  </si>
  <si>
    <t xml:space="preserve">CHEMLA</t>
  </si>
  <si>
    <t xml:space="preserve">Stephane</t>
  </si>
  <si>
    <t xml:space="preserve">21 RUE ROYALE</t>
  </si>
  <si>
    <t xml:space="preserve">GUILLARD</t>
  </si>
  <si>
    <t xml:space="preserve">Odile</t>
  </si>
  <si>
    <t xml:space="preserve">21 RUE TRONCHET</t>
  </si>
  <si>
    <t xml:space="preserve">TEULIERES</t>
  </si>
  <si>
    <t xml:space="preserve">Louis</t>
  </si>
  <si>
    <t xml:space="preserve">230 RUE DU FAUBOURG ST HONORE</t>
  </si>
  <si>
    <t xml:space="preserve">ICHOU</t>
  </si>
  <si>
    <t xml:space="preserve">Marcel</t>
  </si>
  <si>
    <t xml:space="preserve">27 RUE MARBEUF</t>
  </si>
  <si>
    <t xml:space="preserve">VONDERWEIDT</t>
  </si>
  <si>
    <t xml:space="preserve">France</t>
  </si>
  <si>
    <t xml:space="preserve">29 BIS RUE D ASTORG</t>
  </si>
  <si>
    <t xml:space="preserve">LAMBOURION</t>
  </si>
  <si>
    <t xml:space="preserve">Arthur</t>
  </si>
  <si>
    <t xml:space="preserve">KLEBANER</t>
  </si>
  <si>
    <t xml:space="preserve">Jonathan</t>
  </si>
  <si>
    <t xml:space="preserve">3 AVENUE MONTAIGNE</t>
  </si>
  <si>
    <t xml:space="preserve">Roland</t>
  </si>
  <si>
    <t xml:space="preserve">30 32 AVENUE DES CHAMPS ELYSEES</t>
  </si>
  <si>
    <t xml:space="preserve">JUNG HAMOUDE</t>
  </si>
  <si>
    <t xml:space="preserve">Solange</t>
  </si>
  <si>
    <t xml:space="preserve">VASSEUR</t>
  </si>
  <si>
    <t xml:space="preserve">31 RUE TRONCHET</t>
  </si>
  <si>
    <t xml:space="preserve">GARCIA</t>
  </si>
  <si>
    <t xml:space="preserve">HERVIEU</t>
  </si>
  <si>
    <t xml:space="preserve">Jean Michel</t>
  </si>
  <si>
    <t xml:space="preserve">CALMON</t>
  </si>
  <si>
    <t xml:space="preserve">Antoni</t>
  </si>
  <si>
    <t xml:space="preserve">35 AVENUE FRANKLIN DELANO ROOSEVELT</t>
  </si>
  <si>
    <t xml:space="preserve">BESSE</t>
  </si>
  <si>
    <t xml:space="preserve">Guillaume</t>
  </si>
  <si>
    <t xml:space="preserve">35 RUE DU GENERAL FOY</t>
  </si>
  <si>
    <t xml:space="preserve">ROBIN</t>
  </si>
  <si>
    <t xml:space="preserve">BORNE</t>
  </si>
  <si>
    <t xml:space="preserve">36 RUE DES MATHURINS</t>
  </si>
  <si>
    <t xml:space="preserve">LETOMBE KINOO</t>
  </si>
  <si>
    <t xml:space="preserve">BANAYAN</t>
  </si>
  <si>
    <t xml:space="preserve">Mikael</t>
  </si>
  <si>
    <t xml:space="preserve">36 RUE DU COLISEE</t>
  </si>
  <si>
    <t xml:space="preserve">PHILIPPE</t>
  </si>
  <si>
    <t xml:space="preserve">37 RUE DE MIROMESNIL</t>
  </si>
  <si>
    <t xml:space="preserve">mauvais numéro de téléphone - pas d’autre</t>
  </si>
  <si>
    <t xml:space="preserve">COLIN</t>
  </si>
  <si>
    <t xml:space="preserve">37 RUE GODOT DE MAUROY</t>
  </si>
  <si>
    <t xml:space="preserve">PECQUEUR HOBEIKA</t>
  </si>
  <si>
    <t xml:space="preserve">Valerie</t>
  </si>
  <si>
    <t xml:space="preserve">4 RUE LINCOLN</t>
  </si>
  <si>
    <t xml:space="preserve">LLEDO</t>
  </si>
  <si>
    <t xml:space="preserve">Jean Bernard</t>
  </si>
  <si>
    <t xml:space="preserve">44 RUE DE LABORDE</t>
  </si>
  <si>
    <t xml:space="preserve">REGNAUT</t>
  </si>
  <si>
    <t xml:space="preserve">47 RUE DE COURCELLES</t>
  </si>
  <si>
    <t xml:space="preserve">VINCENT</t>
  </si>
  <si>
    <t xml:space="preserve">Thibaud</t>
  </si>
  <si>
    <t xml:space="preserve">5 RUE ANDRIEUX</t>
  </si>
  <si>
    <t xml:space="preserve">PICARD PAIX</t>
  </si>
  <si>
    <t xml:space="preserve">5 RUE BERNOULLI</t>
  </si>
  <si>
    <t xml:space="preserve">VOLSTEIN</t>
  </si>
  <si>
    <t xml:space="preserve">5 RUE DE CONSTANTINOPLE</t>
  </si>
  <si>
    <t xml:space="preserve">ALIMI MARDOUKH</t>
  </si>
  <si>
    <t xml:space="preserve">Eleonore</t>
  </si>
  <si>
    <t xml:space="preserve">57 RUE DES MATHURINS</t>
  </si>
  <si>
    <t xml:space="preserve">CAZABAT</t>
  </si>
  <si>
    <t xml:space="preserve">VALLETEAU DE MOULLIAC</t>
  </si>
  <si>
    <t xml:space="preserve">58 RUE PIERRE CHARRON</t>
  </si>
  <si>
    <t xml:space="preserve">TOUBOUL</t>
  </si>
  <si>
    <t xml:space="preserve">Pierre Jean</t>
  </si>
  <si>
    <t xml:space="preserve">DUFRESNE</t>
  </si>
  <si>
    <t xml:space="preserve">COSEM</t>
  </si>
  <si>
    <t xml:space="preserve">6 AVENUE CESAR CAIRE</t>
  </si>
  <si>
    <t xml:space="preserve">VASSEUR LEFORT</t>
  </si>
  <si>
    <t xml:space="preserve">Jacqueline</t>
  </si>
  <si>
    <t xml:space="preserve">Jean</t>
  </si>
  <si>
    <t xml:space="preserve">DEL MONACO MOLLESENA</t>
  </si>
  <si>
    <t xml:space="preserve">Mederic</t>
  </si>
  <si>
    <t xml:space="preserve">SCHNEIDER</t>
  </si>
  <si>
    <t xml:space="preserve">Lucien</t>
  </si>
  <si>
    <t xml:space="preserve">DULAURANS</t>
  </si>
  <si>
    <t xml:space="preserve">COSEM + 75PER</t>
  </si>
  <si>
    <t xml:space="preserve">LANZ</t>
  </si>
  <si>
    <t xml:space="preserve">Michele</t>
  </si>
  <si>
    <t xml:space="preserve">TORTOLANI GALEPIDES</t>
  </si>
  <si>
    <t xml:space="preserve">Patricia</t>
  </si>
  <si>
    <t xml:space="preserve">BENICHOU</t>
  </si>
  <si>
    <t xml:space="preserve">LAFFONT GERODOLLE</t>
  </si>
  <si>
    <t xml:space="preserve">PELTA DULMAN</t>
  </si>
  <si>
    <t xml:space="preserve">POUPARD DE FRANCESCHI</t>
  </si>
  <si>
    <t xml:space="preserve">Marie Pierre</t>
  </si>
  <si>
    <t xml:space="preserve">DACCACHE</t>
  </si>
  <si>
    <t xml:space="preserve">Dolly</t>
  </si>
  <si>
    <t xml:space="preserve">SYLVESTRE</t>
  </si>
  <si>
    <t xml:space="preserve">Doris</t>
  </si>
  <si>
    <t xml:space="preserve">Jacques</t>
  </si>
  <si>
    <t xml:space="preserve">HOCINI</t>
  </si>
  <si>
    <t xml:space="preserve">Larbi</t>
  </si>
  <si>
    <t xml:space="preserve">SAYOUS</t>
  </si>
  <si>
    <t xml:space="preserve">NIKPAY ASLIE</t>
  </si>
  <si>
    <t xml:space="preserve">Farahnaz</t>
  </si>
  <si>
    <t xml:space="preserve">GUEDJ</t>
  </si>
  <si>
    <t xml:space="preserve">Samuel</t>
  </si>
  <si>
    <t xml:space="preserve">ABOULKER</t>
  </si>
  <si>
    <t xml:space="preserve">J Pierre</t>
  </si>
  <si>
    <t xml:space="preserve">AITA</t>
  </si>
  <si>
    <t xml:space="preserve">Sami</t>
  </si>
  <si>
    <t xml:space="preserve">BERREBI</t>
  </si>
  <si>
    <t xml:space="preserve">BORUCHOT</t>
  </si>
  <si>
    <t xml:space="preserve">Barbara</t>
  </si>
  <si>
    <t xml:space="preserve">CIRILLI</t>
  </si>
  <si>
    <t xml:space="preserve">COLLIN</t>
  </si>
  <si>
    <t xml:space="preserve">CONVINDASSAMY CHEN</t>
  </si>
  <si>
    <t xml:space="preserve">ENRICO</t>
  </si>
  <si>
    <t xml:space="preserve">GUILLAIN</t>
  </si>
  <si>
    <t xml:space="preserve">ISVY VIGNOLA</t>
  </si>
  <si>
    <t xml:space="preserve">Nicole</t>
  </si>
  <si>
    <t xml:space="preserve">Carla</t>
  </si>
  <si>
    <t xml:space="preserve">LAYT</t>
  </si>
  <si>
    <t xml:space="preserve">Anas</t>
  </si>
  <si>
    <t xml:space="preserve">MORJANE</t>
  </si>
  <si>
    <t xml:space="preserve">Amine</t>
  </si>
  <si>
    <t xml:space="preserve">NGUYEN</t>
  </si>
  <si>
    <t xml:space="preserve">Trong Hien</t>
  </si>
  <si>
    <t xml:space="preserve">PEREZ NEZRI</t>
  </si>
  <si>
    <t xml:space="preserve">Devora</t>
  </si>
  <si>
    <t xml:space="preserve">REIGNEAU</t>
  </si>
  <si>
    <t xml:space="preserve">THONG</t>
  </si>
  <si>
    <t xml:space="preserve">Guiep</t>
  </si>
  <si>
    <t xml:space="preserve">CHADLI</t>
  </si>
  <si>
    <t xml:space="preserve">Abdallah</t>
  </si>
  <si>
    <t xml:space="preserve">GIANNINI</t>
  </si>
  <si>
    <t xml:space="preserve">Marie Camille</t>
  </si>
  <si>
    <t xml:space="preserve">MAARAOUI</t>
  </si>
  <si>
    <t xml:space="preserve">BOURY</t>
  </si>
  <si>
    <t xml:space="preserve">GUERIN</t>
  </si>
  <si>
    <t xml:space="preserve">ROUSSEL</t>
  </si>
  <si>
    <t xml:space="preserve">Victoire</t>
  </si>
  <si>
    <t xml:space="preserve">DERREUMAUX</t>
  </si>
  <si>
    <t xml:space="preserve">Bernard Francois</t>
  </si>
  <si>
    <t xml:space="preserve">6 PLACE DE LA MADELEINE</t>
  </si>
  <si>
    <t xml:space="preserve">DE BRIONNE</t>
  </si>
  <si>
    <t xml:space="preserve">Marie Helene</t>
  </si>
  <si>
    <t xml:space="preserve">6 RUE DE CONSTANTINOPLE</t>
  </si>
  <si>
    <t xml:space="preserve">GUTHMANN</t>
  </si>
  <si>
    <t xml:space="preserve">Yvette</t>
  </si>
  <si>
    <t xml:space="preserve">6 RUE GREFFULHE</t>
  </si>
  <si>
    <t xml:space="preserve">ALIMI</t>
  </si>
  <si>
    <t xml:space="preserve">Daniel</t>
  </si>
  <si>
    <t xml:space="preserve">6 RUE ROBERT ESTIENNE</t>
  </si>
  <si>
    <t xml:space="preserve">FEIGNOUX POLIMENI</t>
  </si>
  <si>
    <t xml:space="preserve">Graziella</t>
  </si>
  <si>
    <t xml:space="preserve">6 RUE ST FLORENTIN</t>
  </si>
  <si>
    <t xml:space="preserve">BATAILLE</t>
  </si>
  <si>
    <t xml:space="preserve">Laurent</t>
  </si>
  <si>
    <t xml:space="preserve">VERMES</t>
  </si>
  <si>
    <t xml:space="preserve">Catherine</t>
  </si>
  <si>
    <t xml:space="preserve">60 RUE DES MATHURINS</t>
  </si>
  <si>
    <t xml:space="preserve">GAUTIER</t>
  </si>
  <si>
    <t xml:space="preserve">Monique</t>
  </si>
  <si>
    <t xml:space="preserve">62 RUE DU ROCHER</t>
  </si>
  <si>
    <t xml:space="preserve">KEROS</t>
  </si>
  <si>
    <t xml:space="preserve">Philip</t>
  </si>
  <si>
    <t xml:space="preserve">66 RUE DE LISBONNE</t>
  </si>
  <si>
    <t xml:space="preserve">JAIS</t>
  </si>
  <si>
    <t xml:space="preserve">GUENOUN</t>
  </si>
  <si>
    <t xml:space="preserve">Gilbert</t>
  </si>
  <si>
    <t xml:space="preserve">66 RUE DE MIROMESNIL</t>
  </si>
  <si>
    <t xml:space="preserve">HERTZOG</t>
  </si>
  <si>
    <t xml:space="preserve">68 BOULEVARD MALESHERBES</t>
  </si>
  <si>
    <t xml:space="preserve">NOBLINSKI</t>
  </si>
  <si>
    <t xml:space="preserve">Joanna</t>
  </si>
  <si>
    <t xml:space="preserve">7 RUE MARBEUF</t>
  </si>
  <si>
    <t xml:space="preserve">BOUKOBZA</t>
  </si>
  <si>
    <t xml:space="preserve">74 RUE DU ROCHER</t>
  </si>
  <si>
    <t xml:space="preserve">SERRE</t>
  </si>
  <si>
    <t xml:space="preserve">Jean Louis</t>
  </si>
  <si>
    <t xml:space="preserve">PEZOUS</t>
  </si>
  <si>
    <t xml:space="preserve">Anne Marie</t>
  </si>
  <si>
    <t xml:space="preserve">8 BOULEVARD DE LA MADELEINE</t>
  </si>
  <si>
    <t xml:space="preserve">TURPIN</t>
  </si>
  <si>
    <t xml:space="preserve">sms</t>
  </si>
  <si>
    <t xml:space="preserve">FLORESCO</t>
  </si>
  <si>
    <t xml:space="preserve">8 RUE DE DURAS</t>
  </si>
  <si>
    <t xml:space="preserve">FARMACHI</t>
  </si>
  <si>
    <t xml:space="preserve">80 RUE DE MIROMESNIL</t>
  </si>
  <si>
    <t xml:space="preserve">PIERLOT</t>
  </si>
  <si>
    <t xml:space="preserve">80 RUE DE MONCEAU</t>
  </si>
  <si>
    <t xml:space="preserve">HABABOU</t>
  </si>
  <si>
    <t xml:space="preserve">86 RUE DE MIROMESNIL</t>
  </si>
  <si>
    <t xml:space="preserve">DE MAILLE</t>
  </si>
  <si>
    <t xml:space="preserve">Bertrand</t>
  </si>
  <si>
    <t xml:space="preserve">COHEN HABABOU</t>
  </si>
  <si>
    <t xml:space="preserve">Marie Therese</t>
  </si>
  <si>
    <t xml:space="preserve">PARGADE</t>
  </si>
  <si>
    <t xml:space="preserve">9 RUE DE LA BIENFAISANCE</t>
  </si>
  <si>
    <t xml:space="preserve">LAFITTE</t>
  </si>
  <si>
    <t xml:space="preserve">Thierry</t>
  </si>
  <si>
    <t xml:space="preserve">9 RUE DE LA TREMOILLE</t>
  </si>
  <si>
    <t xml:space="preserve">SIDOUN</t>
  </si>
  <si>
    <t xml:space="preserve">Paul</t>
  </si>
  <si>
    <t xml:space="preserve">95 RUE DE MONCEAU</t>
  </si>
  <si>
    <t xml:space="preserve">FAURE</t>
  </si>
  <si>
    <t xml:space="preserve">75GRE</t>
  </si>
  <si>
    <t xml:space="preserve">10 RUE DU LAOS</t>
  </si>
  <si>
    <t xml:space="preserve">GEORGY</t>
  </si>
  <si>
    <t xml:space="preserve">Hermine</t>
  </si>
  <si>
    <t xml:space="preserve">AMZALLAG</t>
  </si>
  <si>
    <t xml:space="preserve">Mike</t>
  </si>
  <si>
    <t xml:space="preserve">BELATRECHE</t>
  </si>
  <si>
    <t xml:space="preserve">Lydia</t>
  </si>
  <si>
    <t xml:space="preserve">CHETIOUI</t>
  </si>
  <si>
    <t xml:space="preserve">Jackie</t>
  </si>
  <si>
    <t xml:space="preserve">10 RUE LACORDAIRE</t>
  </si>
  <si>
    <t xml:space="preserve">NICOLAS</t>
  </si>
  <si>
    <t xml:space="preserve">10-12 VILLA THORETON</t>
  </si>
  <si>
    <t xml:space="preserve">Prendre rdv doctolib en novembre pour janvier</t>
  </si>
  <si>
    <t xml:space="preserve">JARROSSAY</t>
  </si>
  <si>
    <t xml:space="preserve">Etienne</t>
  </si>
  <si>
    <t xml:space="preserve">MDS JEANNE GARNIER</t>
  </si>
  <si>
    <t xml:space="preserve">106 AVENUE EMILE ZOLA</t>
  </si>
  <si>
    <t xml:space="preserve">JONOT</t>
  </si>
  <si>
    <t xml:space="preserve">Andre</t>
  </si>
  <si>
    <t xml:space="preserve">RICHARD</t>
  </si>
  <si>
    <t xml:space="preserve">PERRIN</t>
  </si>
  <si>
    <t xml:space="preserve">Marie Sylvie</t>
  </si>
  <si>
    <t xml:space="preserve">HAIMOVICI</t>
  </si>
  <si>
    <t xml:space="preserve">Patrick</t>
  </si>
  <si>
    <t xml:space="preserve">108 RUE DU THEATRE</t>
  </si>
  <si>
    <t xml:space="preserve">AZUELOS</t>
  </si>
  <si>
    <t xml:space="preserve">Annie</t>
  </si>
  <si>
    <t xml:space="preserve">109 RUE ST CHARLES</t>
  </si>
  <si>
    <t xml:space="preserve">DEROIRE</t>
  </si>
  <si>
    <t xml:space="preserve">11 RUE DE LA CONVENTION</t>
  </si>
  <si>
    <t xml:space="preserve">11 RUE DUPLEIX</t>
  </si>
  <si>
    <t xml:space="preserve">Rdv 10/11/23 09:30 (… no comment)</t>
  </si>
  <si>
    <t xml:space="preserve">LAURENT</t>
  </si>
  <si>
    <t xml:space="preserve">117 RUE DU THEATRE</t>
  </si>
  <si>
    <t xml:space="preserve">YANG</t>
  </si>
  <si>
    <t xml:space="preserve">12 PLACE DU COMMERCE</t>
  </si>
  <si>
    <t xml:space="preserve">LUMBROSO</t>
  </si>
  <si>
    <t xml:space="preserve">Juliane</t>
  </si>
  <si>
    <t xml:space="preserve">12 RUE DU COMMERCE</t>
  </si>
  <si>
    <t xml:space="preserve">MAGNIER</t>
  </si>
  <si>
    <t xml:space="preserve">12 RUE PAUL HERVIEU</t>
  </si>
  <si>
    <t xml:space="preserve">HAROUN</t>
  </si>
  <si>
    <t xml:space="preserve">Fatima</t>
  </si>
  <si>
    <t xml:space="preserve">13 ALLEE ISADORA DUNCAN</t>
  </si>
  <si>
    <t xml:space="preserve">GIRARD</t>
  </si>
  <si>
    <t xml:space="preserve">Didier</t>
  </si>
  <si>
    <t xml:space="preserve">13 RUE DE PLELO</t>
  </si>
  <si>
    <t xml:space="preserve">VIGLA</t>
  </si>
  <si>
    <t xml:space="preserve">Marie Paule</t>
  </si>
  <si>
    <t xml:space="preserve">133 RUE DE LA CONVENTION</t>
  </si>
  <si>
    <t xml:space="preserve">PHARMACIE DARMON</t>
  </si>
  <si>
    <t xml:space="preserve">134 AVENUE EMILE ZOLA</t>
  </si>
  <si>
    <t xml:space="preserve">NEFTEL</t>
  </si>
  <si>
    <t xml:space="preserve">146 BOULEVARD DE GRENELLE</t>
  </si>
  <si>
    <t xml:space="preserve">HC</t>
  </si>
  <si>
    <t xml:space="preserve">DE VILLELE</t>
  </si>
  <si>
    <t xml:space="preserve">PETRARU TABOURIER</t>
  </si>
  <si>
    <t xml:space="preserve">Christiane</t>
  </si>
  <si>
    <t xml:space="preserve">146 RUE DE LOURMEL</t>
  </si>
  <si>
    <t xml:space="preserve">BELCOUR</t>
  </si>
  <si>
    <t xml:space="preserve">15 17 RUE ROBERT DE FLERS</t>
  </si>
  <si>
    <t xml:space="preserve">Rappeler 2024</t>
  </si>
  <si>
    <t xml:space="preserve">SILVERA</t>
  </si>
  <si>
    <t xml:space="preserve">15 RUE DES FRERES MORANE</t>
  </si>
  <si>
    <t xml:space="preserve">BELLIS CHAHIM</t>
  </si>
  <si>
    <t xml:space="preserve">Maryam</t>
  </si>
  <si>
    <t xml:space="preserve">152 RUE DE JAVEL</t>
  </si>
  <si>
    <t xml:space="preserve">LATTES</t>
  </si>
  <si>
    <t xml:space="preserve">Frederic</t>
  </si>
  <si>
    <t xml:space="preserve">154 RUE DE LOURMEL</t>
  </si>
  <si>
    <t xml:space="preserve">L</t>
  </si>
  <si>
    <t xml:space="preserve">BLAISE</t>
  </si>
  <si>
    <t xml:space="preserve">Benjamin</t>
  </si>
  <si>
    <t xml:space="preserve">MSIKA</t>
  </si>
  <si>
    <t xml:space="preserve">161 RUE DE JAVEL</t>
  </si>
  <si>
    <t xml:space="preserve">GUYON</t>
  </si>
  <si>
    <t xml:space="preserve">Benoit</t>
  </si>
  <si>
    <t xml:space="preserve">17 RUE MADEMOISELLE</t>
  </si>
  <si>
    <t xml:space="preserve">08 -12</t>
  </si>
  <si>
    <t xml:space="preserve">FARZIN</t>
  </si>
  <si>
    <t xml:space="preserve">OK</t>
  </si>
  <si>
    <t xml:space="preserve">MARTINOT</t>
  </si>
  <si>
    <t xml:space="preserve">18 20 RUE ST SAENS</t>
  </si>
  <si>
    <t xml:space="preserve">MUSSUTO</t>
  </si>
  <si>
    <t xml:space="preserve">18 RUE CAUCHY</t>
  </si>
  <si>
    <t xml:space="preserve">LASNIER</t>
  </si>
  <si>
    <t xml:space="preserve">Pierre Guillaume</t>
  </si>
  <si>
    <t xml:space="preserve">181 RUE ST CHARLES</t>
  </si>
  <si>
    <t xml:space="preserve">PAUTRAT REILHAC</t>
  </si>
  <si>
    <t xml:space="preserve">Stephanie</t>
  </si>
  <si>
    <t xml:space="preserve">19 RUE DE LA CONVENTION</t>
  </si>
  <si>
    <t xml:space="preserve">CONNAULT</t>
  </si>
  <si>
    <t xml:space="preserve">19 RUE THEODORE DECK</t>
  </si>
  <si>
    <t xml:space="preserve">TRAN QUY</t>
  </si>
  <si>
    <t xml:space="preserve">Nadine</t>
  </si>
  <si>
    <t xml:space="preserve">2 14 RUE DES CEVENNES</t>
  </si>
  <si>
    <t xml:space="preserve">HAFLIGER</t>
  </si>
  <si>
    <t xml:space="preserve">Emilie</t>
  </si>
  <si>
    <t xml:space="preserve">HEGP</t>
  </si>
  <si>
    <t xml:space="preserve">20 RUE LEBLANC</t>
  </si>
  <si>
    <t xml:space="preserve">PILLA</t>
  </si>
  <si>
    <t xml:space="preserve">Lorenzo</t>
  </si>
  <si>
    <t xml:space="preserve">GALLOIS</t>
  </si>
  <si>
    <t xml:space="preserve">Claire</t>
  </si>
  <si>
    <t xml:space="preserve">LAPEYRE PROST</t>
  </si>
  <si>
    <t xml:space="preserve">Alexandra</t>
  </si>
  <si>
    <t xml:space="preserve">ABBES</t>
  </si>
  <si>
    <t xml:space="preserve">Leila</t>
  </si>
  <si>
    <t xml:space="preserve">BENOSMAN</t>
  </si>
  <si>
    <t xml:space="preserve">Hedi</t>
  </si>
  <si>
    <t xml:space="preserve">CELLIER</t>
  </si>
  <si>
    <t xml:space="preserve">KHATER</t>
  </si>
  <si>
    <t xml:space="preserve">Sherine</t>
  </si>
  <si>
    <t xml:space="preserve">LANDI</t>
  </si>
  <si>
    <t xml:space="preserve">Bruno</t>
  </si>
  <si>
    <t xml:space="preserve">LEPERE</t>
  </si>
  <si>
    <t xml:space="preserve">RAHMI</t>
  </si>
  <si>
    <t xml:space="preserve">Julien</t>
  </si>
  <si>
    <t xml:space="preserve">ZAANAN</t>
  </si>
  <si>
    <t xml:space="preserve">Aziz</t>
  </si>
  <si>
    <t xml:space="preserve">KHARRASSE</t>
  </si>
  <si>
    <t xml:space="preserve">Ghizlane</t>
  </si>
  <si>
    <t xml:space="preserve">CHUPIN</t>
  </si>
  <si>
    <t xml:space="preserve">Antoine</t>
  </si>
  <si>
    <t xml:space="preserve">PERROD</t>
  </si>
  <si>
    <t xml:space="preserve">LAHLOU</t>
  </si>
  <si>
    <t xml:space="preserve">Widad</t>
  </si>
  <si>
    <t xml:space="preserve">AIT AHMED</t>
  </si>
  <si>
    <t xml:space="preserve">Insaf</t>
  </si>
  <si>
    <t xml:space="preserve">HANNA</t>
  </si>
  <si>
    <t xml:space="preserve">Naim</t>
  </si>
  <si>
    <t xml:space="preserve">ALRIC</t>
  </si>
  <si>
    <t xml:space="preserve">Hadrien</t>
  </si>
  <si>
    <t xml:space="preserve">ARISOY</t>
  </si>
  <si>
    <t xml:space="preserve">Ersin</t>
  </si>
  <si>
    <t xml:space="preserve">COFFIN</t>
  </si>
  <si>
    <t xml:space="preserve">Elise</t>
  </si>
  <si>
    <t xml:space="preserve">MARTIN</t>
  </si>
  <si>
    <t xml:space="preserve">Gabrielle Marie</t>
  </si>
  <si>
    <t xml:space="preserve">MATILE</t>
  </si>
  <si>
    <t xml:space="preserve">Julia</t>
  </si>
  <si>
    <t xml:space="preserve">ROSENBAUM</t>
  </si>
  <si>
    <t xml:space="preserve">Boris</t>
  </si>
  <si>
    <t xml:space="preserve">SEVERYNS</t>
  </si>
  <si>
    <t xml:space="preserve">Thomas</t>
  </si>
  <si>
    <t xml:space="preserve">WISNIEWSKI</t>
  </si>
  <si>
    <t xml:space="preserve">BOLOT</t>
  </si>
  <si>
    <t xml:space="preserve">Eloise</t>
  </si>
  <si>
    <t xml:space="preserve">FOURRIER</t>
  </si>
  <si>
    <t xml:space="preserve">GILLAUX</t>
  </si>
  <si>
    <t xml:space="preserve">NGUYEN XUAN</t>
  </si>
  <si>
    <t xml:space="preserve">Huyen Thu</t>
  </si>
  <si>
    <t xml:space="preserve">MARCOLLET</t>
  </si>
  <si>
    <t xml:space="preserve">BATS MONGARDON</t>
  </si>
  <si>
    <t xml:space="preserve">BOSIO LEGOUX</t>
  </si>
  <si>
    <t xml:space="preserve">KOUAL</t>
  </si>
  <si>
    <t xml:space="preserve">Meriem</t>
  </si>
  <si>
    <t xml:space="preserve">AZAIS</t>
  </si>
  <si>
    <t xml:space="preserve">Henri Ferdinand</t>
  </si>
  <si>
    <t xml:space="preserve">BENTIVEGNA</t>
  </si>
  <si>
    <t xml:space="preserve">Enrica</t>
  </si>
  <si>
    <t xml:space="preserve">DA SILVA</t>
  </si>
  <si>
    <t xml:space="preserve">Florian</t>
  </si>
  <si>
    <t xml:space="preserve">DE JESUS</t>
  </si>
  <si>
    <t xml:space="preserve">KHIDER</t>
  </si>
  <si>
    <t xml:space="preserve">Hanna</t>
  </si>
  <si>
    <t xml:space="preserve">BENOIT</t>
  </si>
  <si>
    <t xml:space="preserve">Louise</t>
  </si>
  <si>
    <t xml:space="preserve">JUDDOO</t>
  </si>
  <si>
    <t xml:space="preserve">Vanessa</t>
  </si>
  <si>
    <t xml:space="preserve">MABIALA SITA</t>
  </si>
  <si>
    <t xml:space="preserve">Domish</t>
  </si>
  <si>
    <t xml:space="preserve">OKAMBA BELLE</t>
  </si>
  <si>
    <t xml:space="preserve">Diana</t>
  </si>
  <si>
    <t xml:space="preserve">GUETUE</t>
  </si>
  <si>
    <t xml:space="preserve">Appolinaire Blaise</t>
  </si>
  <si>
    <t xml:space="preserve">CHESNEAU</t>
  </si>
  <si>
    <t xml:space="preserve">BICHARA</t>
  </si>
  <si>
    <t xml:space="preserve">FLAMARION</t>
  </si>
  <si>
    <t xml:space="preserve">LANDRIN</t>
  </si>
  <si>
    <t xml:space="preserve">Terence</t>
  </si>
  <si>
    <t xml:space="preserve">CHACUN COLIN</t>
  </si>
  <si>
    <t xml:space="preserve">Marianne</t>
  </si>
  <si>
    <t xml:space="preserve">DUBOIS</t>
  </si>
  <si>
    <t xml:space="preserve">Jean Claude</t>
  </si>
  <si>
    <t xml:space="preserve">RIVES LANGE</t>
  </si>
  <si>
    <t xml:space="preserve">AUDIBERT</t>
  </si>
  <si>
    <t xml:space="preserve">Simon</t>
  </si>
  <si>
    <t xml:space="preserve">DETRICHE</t>
  </si>
  <si>
    <t xml:space="preserve">Gregoire</t>
  </si>
  <si>
    <t xml:space="preserve">KANTE</t>
  </si>
  <si>
    <t xml:space="preserve">Fatoumata</t>
  </si>
  <si>
    <t xml:space="preserve">Lina</t>
  </si>
  <si>
    <t xml:space="preserve">TOURY</t>
  </si>
  <si>
    <t xml:space="preserve">Gustave</t>
  </si>
  <si>
    <t xml:space="preserve">SAADI</t>
  </si>
  <si>
    <t xml:space="preserve">Alexandre</t>
  </si>
  <si>
    <t xml:space="preserve">FEMY</t>
  </si>
  <si>
    <t xml:space="preserve">Florent</t>
  </si>
  <si>
    <t xml:space="preserve">MALET</t>
  </si>
  <si>
    <t xml:space="preserve">Valentine</t>
  </si>
  <si>
    <t xml:space="preserve">MOREAU AELION</t>
  </si>
  <si>
    <t xml:space="preserve">BATTAGLIA</t>
  </si>
  <si>
    <t xml:space="preserve">CHOCRON</t>
  </si>
  <si>
    <t xml:space="preserve">Richard</t>
  </si>
  <si>
    <t xml:space="preserve">LAHJIBI PAULET</t>
  </si>
  <si>
    <t xml:space="preserve">Hayat</t>
  </si>
  <si>
    <t xml:space="preserve">LE GUEN</t>
  </si>
  <si>
    <t xml:space="preserve">MASMOUDI</t>
  </si>
  <si>
    <t xml:space="preserve">Rafik</t>
  </si>
  <si>
    <t xml:space="preserve">MEIMOUN</t>
  </si>
  <si>
    <t xml:space="preserve">POSTEL VINAY</t>
  </si>
  <si>
    <t xml:space="preserve">SMULEVICI</t>
  </si>
  <si>
    <t xml:space="preserve">Onco/radiothérapie</t>
  </si>
  <si>
    <t xml:space="preserve">ZENNARO</t>
  </si>
  <si>
    <t xml:space="preserve">Maria Christina</t>
  </si>
  <si>
    <t xml:space="preserve">ROUX</t>
  </si>
  <si>
    <t xml:space="preserve">BEHAL DE BROC</t>
  </si>
  <si>
    <t xml:space="preserve">PAYEN ROUSSEAU</t>
  </si>
  <si>
    <t xml:space="preserve">Anne Laure</t>
  </si>
  <si>
    <t xml:space="preserve">OEHMICHEN</t>
  </si>
  <si>
    <t xml:space="preserve">PATAS D ILLIERS</t>
  </si>
  <si>
    <t xml:space="preserve">Clemence</t>
  </si>
  <si>
    <t xml:space="preserve">DE FREMINVILLE</t>
  </si>
  <si>
    <t xml:space="preserve">Jean Baptiste</t>
  </si>
  <si>
    <t xml:space="preserve">HERMANN</t>
  </si>
  <si>
    <t xml:space="preserve">VARGAS POUSSOU</t>
  </si>
  <si>
    <t xml:space="preserve">Rosa</t>
  </si>
  <si>
    <t xml:space="preserve">BEYLOUNE</t>
  </si>
  <si>
    <t xml:space="preserve">DE VAUX</t>
  </si>
  <si>
    <t xml:space="preserve">AIRAGNES</t>
  </si>
  <si>
    <t xml:space="preserve">LAHLOU LAFORET</t>
  </si>
  <si>
    <t xml:space="preserve">Khadija</t>
  </si>
  <si>
    <t xml:space="preserve">ORIZET</t>
  </si>
  <si>
    <t xml:space="preserve">Cyrille</t>
  </si>
  <si>
    <t xml:space="preserve">PELICIER</t>
  </si>
  <si>
    <t xml:space="preserve">THAUVIN</t>
  </si>
  <si>
    <t xml:space="preserve">GERMAIN</t>
  </si>
  <si>
    <t xml:space="preserve">Christine</t>
  </si>
  <si>
    <t xml:space="preserve">VINANT</t>
  </si>
  <si>
    <t xml:space="preserve">FERRAND</t>
  </si>
  <si>
    <t xml:space="preserve">Lisa</t>
  </si>
  <si>
    <t xml:space="preserve">BOURGUIGNON VARTANIAN</t>
  </si>
  <si>
    <t xml:space="preserve">Veronique</t>
  </si>
  <si>
    <t xml:space="preserve">204 BIS RUE DE LA CROIX NIVERT</t>
  </si>
  <si>
    <t xml:space="preserve">SEBAN</t>
  </si>
  <si>
    <t xml:space="preserve">Alain Louis</t>
  </si>
  <si>
    <t xml:space="preserve">21 RUE BALARD</t>
  </si>
  <si>
    <t xml:space="preserve">MAYER</t>
  </si>
  <si>
    <t xml:space="preserve">23 RUE DU LAOS</t>
  </si>
  <si>
    <t xml:space="preserve">LHERMITTE</t>
  </si>
  <si>
    <t xml:space="preserve">Mareva</t>
  </si>
  <si>
    <t xml:space="preserve">23 RUE TIPHAINE</t>
  </si>
  <si>
    <t xml:space="preserve">VAUTIER</t>
  </si>
  <si>
    <t xml:space="preserve">24 BOULEVARD DE GRENELLE</t>
  </si>
  <si>
    <t xml:space="preserve">ESFANDIARI</t>
  </si>
  <si>
    <t xml:space="preserve">CONSTANTIN</t>
  </si>
  <si>
    <t xml:space="preserve">Ludovic</t>
  </si>
  <si>
    <t xml:space="preserve">25 RUE DESAIX</t>
  </si>
  <si>
    <t xml:space="preserve">Fabienne</t>
  </si>
  <si>
    <t xml:space="preserve">HOROWITZ</t>
  </si>
  <si>
    <t xml:space="preserve">25 RUE DU DOCTEUR FINLAY</t>
  </si>
  <si>
    <t xml:space="preserve">MAYRHOFER</t>
  </si>
  <si>
    <t xml:space="preserve">Goli</t>
  </si>
  <si>
    <t xml:space="preserve">26 AVENUE DE LOWENDAL</t>
  </si>
  <si>
    <t xml:space="preserve">TEDGUI</t>
  </si>
  <si>
    <t xml:space="preserve">RETRAITE</t>
  </si>
  <si>
    <t xml:space="preserve">DAMOUR</t>
  </si>
  <si>
    <t xml:space="preserve">269 RUE LECOURBE</t>
  </si>
  <si>
    <t xml:space="preserve">CURTAY RAGEUL</t>
  </si>
  <si>
    <t xml:space="preserve">Marie Annick</t>
  </si>
  <si>
    <t xml:space="preserve">27 RUE DE LA CONVENTION</t>
  </si>
  <si>
    <t xml:space="preserve">ROBERT PARISET</t>
  </si>
  <si>
    <t xml:space="preserve">28 RUE DESAIX</t>
  </si>
  <si>
    <t xml:space="preserve">BARRO LECOMTE</t>
  </si>
  <si>
    <t xml:space="preserve">28 RUE VIALA</t>
  </si>
  <si>
    <t xml:space="preserve">RAHARISONINA</t>
  </si>
  <si>
    <t xml:space="preserve">Tiana</t>
  </si>
  <si>
    <t xml:space="preserve">29 AVENUE DE SUFFREN</t>
  </si>
  <si>
    <t xml:space="preserve">LARROUY</t>
  </si>
  <si>
    <t xml:space="preserve">3 RUE D OUESSANT</t>
  </si>
  <si>
    <t xml:space="preserve">EL FALAH EL QUADMIRY</t>
  </si>
  <si>
    <t xml:space="preserve">Saloua</t>
  </si>
  <si>
    <t xml:space="preserve">3 RUE DE BUENOS AIRES</t>
  </si>
  <si>
    <t xml:space="preserve">DE KERGUENEC</t>
  </si>
  <si>
    <t xml:space="preserve">Jennifer</t>
  </si>
  <si>
    <t xml:space="preserve">3 SQUARE THEODORE JUDLIN</t>
  </si>
  <si>
    <t xml:space="preserve">BELAMICH</t>
  </si>
  <si>
    <t xml:space="preserve">30 RUE LETELLIER</t>
  </si>
  <si>
    <t xml:space="preserve">BRAKA</t>
  </si>
  <si>
    <t xml:space="preserve">Kathy</t>
  </si>
  <si>
    <t xml:space="preserve">31 AVENUE FELIX FAURE</t>
  </si>
  <si>
    <t xml:space="preserve">SEBBAH</t>
  </si>
  <si>
    <t xml:space="preserve">Nathanael</t>
  </si>
  <si>
    <t xml:space="preserve">HAMOU</t>
  </si>
  <si>
    <t xml:space="preserve">31 RUE ROBERT DE FLERS</t>
  </si>
  <si>
    <t xml:space="preserve">TRAN QUAN NAM</t>
  </si>
  <si>
    <t xml:space="preserve">33 RUE DES BERGERS</t>
  </si>
  <si>
    <t xml:space="preserve">JOST</t>
  </si>
  <si>
    <t xml:space="preserve">Vincent</t>
  </si>
  <si>
    <t xml:space="preserve">33 RUE SEBASTIEN MERCIER</t>
  </si>
  <si>
    <t xml:space="preserve">répondeur no message =&gt; sms</t>
  </si>
  <si>
    <t xml:space="preserve">POREE</t>
  </si>
  <si>
    <t xml:space="preserve">Annick</t>
  </si>
  <si>
    <t xml:space="preserve">341 RUE LECOURBE</t>
  </si>
  <si>
    <t xml:space="preserve">KIAHASHEMI</t>
  </si>
  <si>
    <t xml:space="preserve">Katayoun</t>
  </si>
  <si>
    <t xml:space="preserve">35 RUE BALARD</t>
  </si>
  <si>
    <t xml:space="preserve">BARNEL</t>
  </si>
  <si>
    <t xml:space="preserve">Frank</t>
  </si>
  <si>
    <t xml:space="preserve">35 RUE DES CEVENNES</t>
  </si>
  <si>
    <t xml:space="preserve">REY</t>
  </si>
  <si>
    <t xml:space="preserve">Madeleine</t>
  </si>
  <si>
    <t xml:space="preserve">35 RUE DUPLEIX</t>
  </si>
  <si>
    <t xml:space="preserve">FALZON</t>
  </si>
  <si>
    <t xml:space="preserve">DUPUIS</t>
  </si>
  <si>
    <t xml:space="preserve">Muriel</t>
  </si>
  <si>
    <t xml:space="preserve">354 RUE LECOURBE</t>
  </si>
  <si>
    <t xml:space="preserve">AYNAUD</t>
  </si>
  <si>
    <t xml:space="preserve">36 RUE DESAIX</t>
  </si>
  <si>
    <t xml:space="preserve">ALOVA</t>
  </si>
  <si>
    <t xml:space="preserve">Ilona</t>
  </si>
  <si>
    <t xml:space="preserve">DANON</t>
  </si>
  <si>
    <t xml:space="preserve">38 BIS RUE DES ENTREPRENEURS</t>
  </si>
  <si>
    <t xml:space="preserve">DE CHARRY</t>
  </si>
  <si>
    <t xml:space="preserve">Wioletta</t>
  </si>
  <si>
    <t xml:space="preserve">TOUIZER</t>
  </si>
  <si>
    <t xml:space="preserve">Joseph</t>
  </si>
  <si>
    <t xml:space="preserve">39 RUE BALARD</t>
  </si>
  <si>
    <t xml:space="preserve">BIRCK</t>
  </si>
  <si>
    <t xml:space="preserve">Gisele</t>
  </si>
  <si>
    <t xml:space="preserve">COELHO BRAGA</t>
  </si>
  <si>
    <t xml:space="preserve">Maria Clara</t>
  </si>
  <si>
    <t xml:space="preserve">4 RUE DU GENERAL DE LARMINAT</t>
  </si>
  <si>
    <t xml:space="preserve">SPYCHALA</t>
  </si>
  <si>
    <t xml:space="preserve">Cedric</t>
  </si>
  <si>
    <t xml:space="preserve">4 RUE DU PIC DE BARRETTE</t>
  </si>
  <si>
    <t xml:space="preserve">GAVARD</t>
  </si>
  <si>
    <t xml:space="preserve">Marie Claude</t>
  </si>
  <si>
    <t xml:space="preserve">40 RUE SEBASTIEN MERCIER</t>
  </si>
  <si>
    <t xml:space="preserve">NOUALLET</t>
  </si>
  <si>
    <t xml:space="preserve">44 RUE GUTENBERG</t>
  </si>
  <si>
    <t xml:space="preserve">PAGANO</t>
  </si>
  <si>
    <t xml:space="preserve">45 RUE DES BERGERS</t>
  </si>
  <si>
    <t xml:space="preserve">LANGUILLE</t>
  </si>
  <si>
    <t xml:space="preserve">45 RUE DES ENTREPRENEURS</t>
  </si>
  <si>
    <t xml:space="preserve">FLOBERT</t>
  </si>
  <si>
    <t xml:space="preserve">Christelle</t>
  </si>
  <si>
    <t xml:space="preserve">PHARMACIE BROVILLE</t>
  </si>
  <si>
    <t xml:space="preserve">47 RUE BALARD</t>
  </si>
  <si>
    <t xml:space="preserve">CHAVINIER</t>
  </si>
  <si>
    <t xml:space="preserve">47 RUE FREMICOURT</t>
  </si>
  <si>
    <t xml:space="preserve">LIMAIEM JOUMNI</t>
  </si>
  <si>
    <t xml:space="preserve">Wided</t>
  </si>
  <si>
    <t xml:space="preserve">5 PLACE VIOLET</t>
  </si>
  <si>
    <t xml:space="preserve">PELTZ AIM</t>
  </si>
  <si>
    <t xml:space="preserve">Jennyfer</t>
  </si>
  <si>
    <t xml:space="preserve">DUPRE</t>
  </si>
  <si>
    <t xml:space="preserve">Jean Philippe</t>
  </si>
  <si>
    <t xml:space="preserve">5 RUE DU GENERAL DE CASTELNAU</t>
  </si>
  <si>
    <t xml:space="preserve">DELAFFOND</t>
  </si>
  <si>
    <t xml:space="preserve">50 AVENUE DE LA MOTTE PICQUET</t>
  </si>
  <si>
    <t xml:space="preserve">14-16</t>
  </si>
  <si>
    <t xml:space="preserve">ROBEY LELIEVRE</t>
  </si>
  <si>
    <t xml:space="preserve">REPRODUCTION</t>
  </si>
  <si>
    <t xml:space="preserve">HACHET</t>
  </si>
  <si>
    <t xml:space="preserve">Jean Charles</t>
  </si>
  <si>
    <t xml:space="preserve">51 53 RUE FONDARY</t>
  </si>
  <si>
    <t xml:space="preserve">ROUBINEAU</t>
  </si>
  <si>
    <t xml:space="preserve">51 AVENUE DE LA MOTTE PICQUET</t>
  </si>
  <si>
    <t xml:space="preserve">TALBOT</t>
  </si>
  <si>
    <t xml:space="preserve">52 AVENUE DE LA MOTTE PICQUET</t>
  </si>
  <si>
    <t xml:space="preserve">MAIDENBERG</t>
  </si>
  <si>
    <t xml:space="preserve">Manuel</t>
  </si>
  <si>
    <t xml:space="preserve">57 RUE DE LA CONVENTION</t>
  </si>
  <si>
    <t xml:space="preserve">LEONI</t>
  </si>
  <si>
    <t xml:space="preserve">57 RUE VIOLET</t>
  </si>
  <si>
    <t xml:space="preserve">MALLET</t>
  </si>
  <si>
    <t xml:space="preserve">58 RUE ROUELLE</t>
  </si>
  <si>
    <t xml:space="preserve">SLOANE</t>
  </si>
  <si>
    <t xml:space="preserve">BICLET</t>
  </si>
  <si>
    <t xml:space="preserve">6 AVENUE DU GENERAL DETRIE</t>
  </si>
  <si>
    <t xml:space="preserve">LEHALLE</t>
  </si>
  <si>
    <t xml:space="preserve">Beatrice</t>
  </si>
  <si>
    <t xml:space="preserve">6 RUE GEORGES CITERNE</t>
  </si>
  <si>
    <t xml:space="preserve">ANJOU SIMON</t>
  </si>
  <si>
    <t xml:space="preserve">60 AVENUE FELIX FAURE</t>
  </si>
  <si>
    <t xml:space="preserve">KHAU</t>
  </si>
  <si>
    <t xml:space="preserve">Jeremy</t>
  </si>
  <si>
    <t xml:space="preserve">HABRARD</t>
  </si>
  <si>
    <t xml:space="preserve">Claire Lise</t>
  </si>
  <si>
    <t xml:space="preserve">CANNARELLA</t>
  </si>
  <si>
    <t xml:space="preserve">Therese</t>
  </si>
  <si>
    <t xml:space="preserve">SFAR KHATOUNIAN</t>
  </si>
  <si>
    <t xml:space="preserve">64 AVENUE DE LA MOTTE PICQUET</t>
  </si>
  <si>
    <t xml:space="preserve">SOLOMON</t>
  </si>
  <si>
    <t xml:space="preserve">64 AVENUE FELIX FAURE</t>
  </si>
  <si>
    <t xml:space="preserve">CLAVERO</t>
  </si>
  <si>
    <t xml:space="preserve">Jose</t>
  </si>
  <si>
    <t xml:space="preserve">65 RUE DU THEATRE</t>
  </si>
  <si>
    <t xml:space="preserve">DESGROIS</t>
  </si>
  <si>
    <t xml:space="preserve">VIA DOCTOLIB ?</t>
  </si>
  <si>
    <t xml:space="preserve">DERY</t>
  </si>
  <si>
    <t xml:space="preserve">Yohana</t>
  </si>
  <si>
    <t xml:space="preserve"> </t>
  </si>
  <si>
    <t xml:space="preserve">66 RUE DES CEVENNES</t>
  </si>
  <si>
    <t xml:space="preserve">CTR MÉD DES CÉVENNES</t>
  </si>
  <si>
    <t xml:space="preserve">MEGHIRA</t>
  </si>
  <si>
    <t xml:space="preserve">Sandrine</t>
  </si>
  <si>
    <t xml:space="preserve">ABAD</t>
  </si>
  <si>
    <t xml:space="preserve">Flora</t>
  </si>
  <si>
    <t xml:space="preserve">DUGUET</t>
  </si>
  <si>
    <t xml:space="preserve">Marjorie</t>
  </si>
  <si>
    <t xml:space="preserve">LABROSSE</t>
  </si>
  <si>
    <t xml:space="preserve">69 RUE FONDARY</t>
  </si>
  <si>
    <t xml:space="preserve">GONOD</t>
  </si>
  <si>
    <t xml:space="preserve">Daniele</t>
  </si>
  <si>
    <t xml:space="preserve">7 RUE DE CASABLANCA</t>
  </si>
  <si>
    <t xml:space="preserve">MERCKX</t>
  </si>
  <si>
    <t xml:space="preserve">SAIZOU</t>
  </si>
  <si>
    <t xml:space="preserve">CARPENTIER CHASKILEVITCH</t>
  </si>
  <si>
    <t xml:space="preserve">Benedicte</t>
  </si>
  <si>
    <t xml:space="preserve">DRAI</t>
  </si>
  <si>
    <t xml:space="preserve">7 RUE DU LAOS</t>
  </si>
  <si>
    <t xml:space="preserve">Rappezler après le 16/10 car à l’étranger</t>
  </si>
  <si>
    <t xml:space="preserve">AZEROUAL</t>
  </si>
  <si>
    <t xml:space="preserve">Jacob</t>
  </si>
  <si>
    <t xml:space="preserve">71 RUE DU COMMERCE</t>
  </si>
  <si>
    <t xml:space="preserve">ARDITTI</t>
  </si>
  <si>
    <t xml:space="preserve">72 RUE DU COMMERCE</t>
  </si>
  <si>
    <t xml:space="preserve">MARAND</t>
  </si>
  <si>
    <t xml:space="preserve">72 RUE SEBASTIEN MERCIER</t>
  </si>
  <si>
    <t xml:space="preserve">ACKER</t>
  </si>
  <si>
    <t xml:space="preserve">73 RUE FONDARY</t>
  </si>
  <si>
    <t xml:space="preserve">ROBERT</t>
  </si>
  <si>
    <t xml:space="preserve">75 RUE DE LOURMEL</t>
  </si>
  <si>
    <t xml:space="preserve">Haim</t>
  </si>
  <si>
    <t xml:space="preserve">76 BIS AVENUE DE SUFFREN</t>
  </si>
  <si>
    <t xml:space="preserve">ATMADJIAN</t>
  </si>
  <si>
    <t xml:space="preserve">Anais</t>
  </si>
  <si>
    <t xml:space="preserve">77 BOULEVARD DE GRENELLE</t>
  </si>
  <si>
    <t xml:space="preserve">BIALKIEWICZ</t>
  </si>
  <si>
    <t xml:space="preserve">78 AVENUE DE SUFFREN</t>
  </si>
  <si>
    <t xml:space="preserve">DAVIDEAU</t>
  </si>
  <si>
    <t xml:space="preserve">79 QUAI ANDRE CITROEN</t>
  </si>
  <si>
    <t xml:space="preserve">TCHERIATCHOUKINE</t>
  </si>
  <si>
    <t xml:space="preserve">8 RUE AUGUSTE BARTHOLDI</t>
  </si>
  <si>
    <t xml:space="preserve">ANDRES</t>
  </si>
  <si>
    <t xml:space="preserve">Gilles</t>
  </si>
  <si>
    <t xml:space="preserve">82 AVENUE EMILE ZOLA</t>
  </si>
  <si>
    <t xml:space="preserve">PASSET</t>
  </si>
  <si>
    <t xml:space="preserve">83 RUE DE LA CONVENTION</t>
  </si>
  <si>
    <t xml:space="preserve">DANDURAND</t>
  </si>
  <si>
    <t xml:space="preserve">DE VERGNES</t>
  </si>
  <si>
    <t xml:space="preserve">Ombeline</t>
  </si>
  <si>
    <t xml:space="preserve">DEFONTAINES</t>
  </si>
  <si>
    <t xml:space="preserve">CHOUAID MANIATIS</t>
  </si>
  <si>
    <t xml:space="preserve">Bel</t>
  </si>
  <si>
    <t xml:space="preserve">86 RUE DE L EGLISE</t>
  </si>
  <si>
    <t xml:space="preserve">EMILIE</t>
  </si>
  <si>
    <t xml:space="preserve">89 RUE DU COMMERCE</t>
  </si>
  <si>
    <t xml:space="preserve">VILLEMUR</t>
  </si>
  <si>
    <t xml:space="preserve">9 PLACE VIOLET</t>
  </si>
  <si>
    <t xml:space="preserve">GUINARD</t>
  </si>
  <si>
    <t xml:space="preserve">Aude</t>
  </si>
  <si>
    <t xml:space="preserve">9 RUE DE L ABBE GROULT</t>
  </si>
  <si>
    <t xml:space="preserve">MAJSTER</t>
  </si>
  <si>
    <t xml:space="preserve">Henri</t>
  </si>
  <si>
    <t xml:space="preserve">91 AVENUE FELIX FAURE</t>
  </si>
  <si>
    <t xml:space="preserve">WOLMARK TORGEMEN</t>
  </si>
  <si>
    <t xml:space="preserve">91 RUE DE LOURMEL</t>
  </si>
  <si>
    <t xml:space="preserve">BELLAICHE</t>
  </si>
  <si>
    <t xml:space="preserve">Marc</t>
  </si>
  <si>
    <t xml:space="preserve">96 RUE ST CHARLES</t>
  </si>
  <si>
    <t xml:space="preserve">WALTER</t>
  </si>
  <si>
    <t xml:space="preserve">Jean Christophe</t>
  </si>
  <si>
    <t xml:space="preserve">SALZMAN JESSULA</t>
  </si>
  <si>
    <t xml:space="preserve">Nancy</t>
  </si>
  <si>
    <t xml:space="preserve">75INV</t>
  </si>
  <si>
    <t xml:space="preserve">1 AVENUE DE LOWENDAL</t>
  </si>
  <si>
    <t xml:space="preserve">HOURTANE</t>
  </si>
  <si>
    <t xml:space="preserve">Maryse</t>
  </si>
  <si>
    <t xml:space="preserve">1 BIS AVENUE FRANCO RUSSE</t>
  </si>
  <si>
    <t xml:space="preserve">CORREIA</t>
  </si>
  <si>
    <t xml:space="preserve">Celia</t>
  </si>
  <si>
    <t xml:space="preserve">1 BIS PASSAGE DE LA VIERGE</t>
  </si>
  <si>
    <t xml:space="preserve">MOZZICONACCI</t>
  </si>
  <si>
    <t xml:space="preserve">1 BOULEVARD DU MONTPARNASSE</t>
  </si>
  <si>
    <t xml:space="preserve">PALISSON</t>
  </si>
  <si>
    <t xml:space="preserve">1 PLACE JOFFRE</t>
  </si>
  <si>
    <t xml:space="preserve">REMOND</t>
  </si>
  <si>
    <t xml:space="preserve">SALDUCCI DECOCK</t>
  </si>
  <si>
    <t xml:space="preserve">Vanina</t>
  </si>
  <si>
    <t xml:space="preserve">1 RUE DE NARBONNE</t>
  </si>
  <si>
    <t xml:space="preserve">CASTAGNE</t>
  </si>
  <si>
    <t xml:space="preserve">Cesar</t>
  </si>
  <si>
    <t xml:space="preserve">BOUGUERET</t>
  </si>
  <si>
    <t xml:space="preserve">1 RUE DE VILLERSEXEL</t>
  </si>
  <si>
    <t xml:space="preserve">DE LADOUCETTE</t>
  </si>
  <si>
    <t xml:space="preserve">HANNOUN DJIANE</t>
  </si>
  <si>
    <t xml:space="preserve">Sonia</t>
  </si>
  <si>
    <t xml:space="preserve">1 RUE DU MARECHAL HARISPE</t>
  </si>
  <si>
    <t xml:space="preserve">VU THIEN</t>
  </si>
  <si>
    <t xml:space="preserve">Tam</t>
  </si>
  <si>
    <t xml:space="preserve">10 AVENUE DANIEL LESUEUR</t>
  </si>
  <si>
    <t xml:space="preserve">FUCHS</t>
  </si>
  <si>
    <t xml:space="preserve">10 RUE DE ST SIMON</t>
  </si>
  <si>
    <t xml:space="preserve">ATTAR</t>
  </si>
  <si>
    <t xml:space="preserve">10 RUE MARGUERITTE</t>
  </si>
  <si>
    <t xml:space="preserve">VERGEZ</t>
  </si>
  <si>
    <t xml:space="preserve">10 RUE PIERRE LEROUX</t>
  </si>
  <si>
    <t xml:space="preserve">LIGEN</t>
  </si>
  <si>
    <t xml:space="preserve">101 RUE ST DOMINIQUE</t>
  </si>
  <si>
    <t xml:space="preserve">GROSGOGEAT</t>
  </si>
  <si>
    <t xml:space="preserve">Herve</t>
  </si>
  <si>
    <t xml:space="preserve">108 RUE DU BAC</t>
  </si>
  <si>
    <t xml:space="preserve">RICHET</t>
  </si>
  <si>
    <t xml:space="preserve">Anne Isabelle</t>
  </si>
  <si>
    <t xml:space="preserve">109 RUE DE L UNIVERSITE</t>
  </si>
  <si>
    <t xml:space="preserve">TORCHIN</t>
  </si>
  <si>
    <t xml:space="preserve">Dahlia</t>
  </si>
  <si>
    <t xml:space="preserve">VAUTHRIN</t>
  </si>
  <si>
    <t xml:space="preserve">11 BIS AVENUE ELISEE RECLUS</t>
  </si>
  <si>
    <t xml:space="preserve">PAULIN</t>
  </si>
  <si>
    <t xml:space="preserve">11 BIS RUE CESAR FRANCK</t>
  </si>
  <si>
    <t xml:space="preserve">LOAP</t>
  </si>
  <si>
    <t xml:space="preserve">Suvaddhana</t>
  </si>
  <si>
    <t xml:space="preserve">11 RUE EBLE</t>
  </si>
  <si>
    <t xml:space="preserve">SPANO AMANTEA</t>
  </si>
  <si>
    <t xml:space="preserve">Maria Grazia</t>
  </si>
  <si>
    <t xml:space="preserve">112 RUE DE VAUGIRARD</t>
  </si>
  <si>
    <t xml:space="preserve">BESSON</t>
  </si>
  <si>
    <t xml:space="preserve">114 RUE DE VAUGIRARD</t>
  </si>
  <si>
    <t xml:space="preserve">BISAC</t>
  </si>
  <si>
    <t xml:space="preserve">Sebastien</t>
  </si>
  <si>
    <t xml:space="preserve">12 RUE CHOMEL</t>
  </si>
  <si>
    <t xml:space="preserve">DUMONT NOWAK</t>
  </si>
  <si>
    <t xml:space="preserve">DE BILLY</t>
  </si>
  <si>
    <t xml:space="preserve">12 RUE PERIGNON</t>
  </si>
  <si>
    <t xml:space="preserve">GUITER</t>
  </si>
  <si>
    <t xml:space="preserve">12 RUE ST JEAN BAPTISTE DE LA SALLE</t>
  </si>
  <si>
    <t xml:space="preserve">GUIRAL</t>
  </si>
  <si>
    <t xml:space="preserve">126 RUE DE L UNIVERSITE</t>
  </si>
  <si>
    <t xml:space="preserve">LEMETTE</t>
  </si>
  <si>
    <t xml:space="preserve">129 RUE DE SEVRES</t>
  </si>
  <si>
    <t xml:space="preserve">GELBER</t>
  </si>
  <si>
    <t xml:space="preserve">13 BOULEVARD DES INVALIDES</t>
  </si>
  <si>
    <t xml:space="preserve">BAJEUX</t>
  </si>
  <si>
    <t xml:space="preserve">13 RUE DUVIVIER</t>
  </si>
  <si>
    <t xml:space="preserve">BURSAUX</t>
  </si>
  <si>
    <t xml:space="preserve">Sarah</t>
  </si>
  <si>
    <t xml:space="preserve">133 AVENUE DE SUFFREN</t>
  </si>
  <si>
    <t xml:space="preserve">AISSAOUI</t>
  </si>
  <si>
    <t xml:space="preserve">Sadya</t>
  </si>
  <si>
    <t xml:space="preserve">138 AVENUE DE SUFFREN</t>
  </si>
  <si>
    <t xml:space="preserve">AUBRIOT</t>
  </si>
  <si>
    <t xml:space="preserve">Francois Xavier</t>
  </si>
  <si>
    <t xml:space="preserve">14 AVENUE BOSQUET</t>
  </si>
  <si>
    <t xml:space="preserve">JOSSE</t>
  </si>
  <si>
    <t xml:space="preserve">Williams</t>
  </si>
  <si>
    <t xml:space="preserve">14 AVENUE DUQUESNE</t>
  </si>
  <si>
    <t xml:space="preserve">JACQUEMARD</t>
  </si>
  <si>
    <t xml:space="preserve">14 RUE CHOMEL</t>
  </si>
  <si>
    <t xml:space="preserve">DU BOUCHER</t>
  </si>
  <si>
    <t xml:space="preserve">MEUSY</t>
  </si>
  <si>
    <t xml:space="preserve">Caroline</t>
  </si>
  <si>
    <t xml:space="preserve">14 RUE ST DOMINIQUE</t>
  </si>
  <si>
    <t xml:space="preserve">ROUVEURE</t>
  </si>
  <si>
    <t xml:space="preserve">FOGIEL LOEB</t>
  </si>
  <si>
    <t xml:space="preserve">15 BIS AVENUE DE VILLARS</t>
  </si>
  <si>
    <t xml:space="preserve">HANIN</t>
  </si>
  <si>
    <t xml:space="preserve">15 RUE CHASSELOUP LAUBAT</t>
  </si>
  <si>
    <t xml:space="preserve">WEILL TAVITIAN</t>
  </si>
  <si>
    <t xml:space="preserve">15 RUE DE LA PLANCHE</t>
  </si>
  <si>
    <t xml:space="preserve">SPAHN</t>
  </si>
  <si>
    <t xml:space="preserve">150 RUE DE L UNIVERSITE</t>
  </si>
  <si>
    <t xml:space="preserve">NEIMAN</t>
  </si>
  <si>
    <t xml:space="preserve">Anne Francoise</t>
  </si>
  <si>
    <t xml:space="preserve">ROULLET</t>
  </si>
  <si>
    <t xml:space="preserve">151 RUE DE GRENELLE</t>
  </si>
  <si>
    <t xml:space="preserve">BONAMOUR DU TARTRE</t>
  </si>
  <si>
    <t xml:space="preserve">Jean Jacques</t>
  </si>
  <si>
    <t xml:space="preserve">16 RUE JOSE MARIA DE HEREDIA</t>
  </si>
  <si>
    <t xml:space="preserve">YAHYABEY</t>
  </si>
  <si>
    <t xml:space="preserve">Kader</t>
  </si>
  <si>
    <t xml:space="preserve">16 RUE ST ROMAIN</t>
  </si>
  <si>
    <t xml:space="preserve">VIGNAUD</t>
  </si>
  <si>
    <t xml:space="preserve">Philippine</t>
  </si>
  <si>
    <t xml:space="preserve">160 AVENUE DE SUFFREN</t>
  </si>
  <si>
    <t xml:space="preserve">BEN SOUSSAN</t>
  </si>
  <si>
    <t xml:space="preserve">Emmanuel</t>
  </si>
  <si>
    <t xml:space="preserve">CLI DE L’ALMA</t>
  </si>
  <si>
    <t xml:space="preserve">166 RUE DE L UNIVERSITE</t>
  </si>
  <si>
    <t xml:space="preserve">LEFEBVRE</t>
  </si>
  <si>
    <t xml:space="preserve">MASSON</t>
  </si>
  <si>
    <t xml:space="preserve">17 BOULEVARD RASPAIL</t>
  </si>
  <si>
    <t xml:space="preserve">BRESTOVANSKY</t>
  </si>
  <si>
    <t xml:space="preserve">BERRIAU</t>
  </si>
  <si>
    <t xml:space="preserve">BEAUFORT</t>
  </si>
  <si>
    <t xml:space="preserve">Romain</t>
  </si>
  <si>
    <t xml:space="preserve">17 RUE ROUSSELET</t>
  </si>
  <si>
    <t xml:space="preserve">LORIN DE REURE</t>
  </si>
  <si>
    <t xml:space="preserve">176 RUE DE GRENELLE</t>
  </si>
  <si>
    <t xml:space="preserve">SABERAN</t>
  </si>
  <si>
    <t xml:space="preserve">Foad</t>
  </si>
  <si>
    <t xml:space="preserve">19 AVENUE DE LA BOURDONNAIS</t>
  </si>
  <si>
    <t xml:space="preserve">VERA</t>
  </si>
  <si>
    <t xml:space="preserve">19 AVENUE DE TOURVILLE</t>
  </si>
  <si>
    <t xml:space="preserve">MARES</t>
  </si>
  <si>
    <t xml:space="preserve">19 RUE MONSIEUR</t>
  </si>
  <si>
    <t xml:space="preserve">BEAUNIER</t>
  </si>
  <si>
    <t xml:space="preserve">JACOB</t>
  </si>
  <si>
    <t xml:space="preserve">Denis</t>
  </si>
  <si>
    <t xml:space="preserve">19 RUE OUDINOT</t>
  </si>
  <si>
    <t xml:space="preserve">RAFII TABRIZI</t>
  </si>
  <si>
    <t xml:space="preserve">Arash Jeremie</t>
  </si>
  <si>
    <t xml:space="preserve">BOUGHANIM</t>
  </si>
  <si>
    <t xml:space="preserve">Mathias</t>
  </si>
  <si>
    <t xml:space="preserve">BAILLY</t>
  </si>
  <si>
    <t xml:space="preserve">WARNIEZ</t>
  </si>
  <si>
    <t xml:space="preserve">Corinne</t>
  </si>
  <si>
    <t xml:space="preserve">193 BOULEVARD ST GERMAIN</t>
  </si>
  <si>
    <t xml:space="preserve">GINESTE</t>
  </si>
  <si>
    <t xml:space="preserve">198 BOULEVARD ST GERMAIN</t>
  </si>
  <si>
    <t xml:space="preserve">SUDAKA</t>
  </si>
  <si>
    <t xml:space="preserve">199 RUE DE GRENELLE</t>
  </si>
  <si>
    <t xml:space="preserve">MERLO</t>
  </si>
  <si>
    <t xml:space="preserve">MAREY</t>
  </si>
  <si>
    <t xml:space="preserve">Pascaline</t>
  </si>
  <si>
    <t xml:space="preserve">ORGIBET</t>
  </si>
  <si>
    <t xml:space="preserve">GIAOUI</t>
  </si>
  <si>
    <t xml:space="preserve">2 A AVENUE DE SEGUR</t>
  </si>
  <si>
    <t xml:space="preserve">MANODRITTA</t>
  </si>
  <si>
    <t xml:space="preserve">Pascale</t>
  </si>
  <si>
    <t xml:space="preserve">2 BIS RUE BOUGAINVILLE</t>
  </si>
  <si>
    <t xml:space="preserve">THUAIRE</t>
  </si>
  <si>
    <t xml:space="preserve">2 RUE ROSA BONHEUR</t>
  </si>
  <si>
    <t xml:space="preserve">PATTEAU</t>
  </si>
  <si>
    <t xml:space="preserve">SPITZ</t>
  </si>
  <si>
    <t xml:space="preserve">HONORE GOLDMAN</t>
  </si>
  <si>
    <t xml:space="preserve">Nina</t>
  </si>
  <si>
    <t xml:space="preserve">KRAINIK</t>
  </si>
  <si>
    <t xml:space="preserve">CLI ST JEAN DE DIEU</t>
  </si>
  <si>
    <t xml:space="preserve">2 RUE ROUSSELET</t>
  </si>
  <si>
    <t xml:space="preserve">DEMIRCI</t>
  </si>
  <si>
    <t xml:space="preserve">Selma Christine</t>
  </si>
  <si>
    <t xml:space="preserve">KANE</t>
  </si>
  <si>
    <t xml:space="preserve">Aminata</t>
  </si>
  <si>
    <t xml:space="preserve">GUGLIELMINA</t>
  </si>
  <si>
    <t xml:space="preserve">SEROR</t>
  </si>
  <si>
    <t xml:space="preserve">HEQUET</t>
  </si>
  <si>
    <t xml:space="preserve">Delphine</t>
  </si>
  <si>
    <t xml:space="preserve">GAMON</t>
  </si>
  <si>
    <t xml:space="preserve">Hubert</t>
  </si>
  <si>
    <t xml:space="preserve">20 RUE CLER</t>
  </si>
  <si>
    <t xml:space="preserve">TAVASSOLI</t>
  </si>
  <si>
    <t xml:space="preserve">Ladane</t>
  </si>
  <si>
    <t xml:space="preserve">209 BOULEVARD ST GERMAIN</t>
  </si>
  <si>
    <t xml:space="preserve">JACQ VIGNE</t>
  </si>
  <si>
    <t xml:space="preserve">Fanny</t>
  </si>
  <si>
    <t xml:space="preserve">21 BIS RUE PIERRE LEROUX</t>
  </si>
  <si>
    <t xml:space="preserve">CLOSTRE</t>
  </si>
  <si>
    <t xml:space="preserve">DUBOST</t>
  </si>
  <si>
    <t xml:space="preserve">21 PLACE JOFFRE</t>
  </si>
  <si>
    <t xml:space="preserve">MARCHEIX</t>
  </si>
  <si>
    <t xml:space="preserve">Remy</t>
  </si>
  <si>
    <t xml:space="preserve">21 RUE DU GENERAL BERTRAND</t>
  </si>
  <si>
    <t xml:space="preserve">SIRBOUX</t>
  </si>
  <si>
    <t xml:space="preserve">FORTINEAU</t>
  </si>
  <si>
    <t xml:space="preserve">21 RUE PIERRE LEROUX</t>
  </si>
  <si>
    <t xml:space="preserve">POLACK</t>
  </si>
  <si>
    <t xml:space="preserve">J Claude</t>
  </si>
  <si>
    <t xml:space="preserve">22 RUE DUROC</t>
  </si>
  <si>
    <t xml:space="preserve">HERMANT</t>
  </si>
  <si>
    <t xml:space="preserve">DALBET</t>
  </si>
  <si>
    <t xml:space="preserve">SADISI</t>
  </si>
  <si>
    <t xml:space="preserve">Jihenne</t>
  </si>
  <si>
    <t xml:space="preserve">23 BOULEVARD DU MONTPARNASSE</t>
  </si>
  <si>
    <t xml:space="preserve">CERF</t>
  </si>
  <si>
    <t xml:space="preserve">25 AVENUE BOSQUET</t>
  </si>
  <si>
    <t xml:space="preserve">CAMBOURIS PERRINE</t>
  </si>
  <si>
    <t xml:space="preserve">25 RUE ROUSSELET</t>
  </si>
  <si>
    <t xml:space="preserve">REBA</t>
  </si>
  <si>
    <t xml:space="preserve">Abdelhamid</t>
  </si>
  <si>
    <t xml:space="preserve">252 BOULEVARD ST GERMAIN</t>
  </si>
  <si>
    <t xml:space="preserve">BERCAU</t>
  </si>
  <si>
    <t xml:space="preserve">276 BOULEVARD ST GERMAIN</t>
  </si>
  <si>
    <t xml:space="preserve">HJALMARSSON</t>
  </si>
  <si>
    <t xml:space="preserve">Linnea</t>
  </si>
  <si>
    <t xml:space="preserve">29 AVENUE DE LOWENDAL</t>
  </si>
  <si>
    <t xml:space="preserve">GEORGE</t>
  </si>
  <si>
    <t xml:space="preserve">3 RUE JEAN FERRANDI</t>
  </si>
  <si>
    <t xml:space="preserve">HOCHET LABROUSSE</t>
  </si>
  <si>
    <t xml:space="preserve">3 RUE OUDINOT</t>
  </si>
  <si>
    <t xml:space="preserve">JOURDAN</t>
  </si>
  <si>
    <t xml:space="preserve">Diane</t>
  </si>
  <si>
    <t xml:space="preserve">3 RUE ROUSSELET</t>
  </si>
  <si>
    <t xml:space="preserve">CARGILL</t>
  </si>
  <si>
    <t xml:space="preserve">31 AVENUE DE LA BOURDONNAIS</t>
  </si>
  <si>
    <t xml:space="preserve">LE BIDOIS</t>
  </si>
  <si>
    <t xml:space="preserve">31 AVENUE DE LOWENDAL</t>
  </si>
  <si>
    <t xml:space="preserve">SANSON KERMARREC</t>
  </si>
  <si>
    <t xml:space="preserve">32 BOULEVARD RASPAIL</t>
  </si>
  <si>
    <t xml:space="preserve">MASSOU DIT BOURDET</t>
  </si>
  <si>
    <t xml:space="preserve">33 AVENUE DE LOWENDAL</t>
  </si>
  <si>
    <t xml:space="preserve">MEUT TERTO</t>
  </si>
  <si>
    <t xml:space="preserve">33 RUE ROUSSELET</t>
  </si>
  <si>
    <t xml:space="preserve">MAGERAND</t>
  </si>
  <si>
    <t xml:space="preserve">34 AVENUE DE LA MOTTE PICQUET</t>
  </si>
  <si>
    <t xml:space="preserve">LIEHRMANN RATIER</t>
  </si>
  <si>
    <t xml:space="preserve">GOZLAN</t>
  </si>
  <si>
    <t xml:space="preserve">Ruth</t>
  </si>
  <si>
    <t xml:space="preserve">35 RUE ST DOMINIQUE</t>
  </si>
  <si>
    <t xml:space="preserve">JAKUBOWICZ FRAIBERGER</t>
  </si>
  <si>
    <t xml:space="preserve">36 AVENUE DE LA MOTTE PICQUET</t>
  </si>
  <si>
    <t xml:space="preserve">ROMESTAN</t>
  </si>
  <si>
    <t xml:space="preserve">Angelina</t>
  </si>
  <si>
    <t xml:space="preserve">AL FASSIH</t>
  </si>
  <si>
    <t xml:space="preserve">CAYSSIALS</t>
  </si>
  <si>
    <t xml:space="preserve">36 RUE DE VERNEUIL</t>
  </si>
  <si>
    <t xml:space="preserve">JONTZA</t>
  </si>
  <si>
    <t xml:space="preserve">37 RUE DU CHAMP DE MARS</t>
  </si>
  <si>
    <t xml:space="preserve">SCEMAMA</t>
  </si>
  <si>
    <t xml:space="preserve">Marie Louise</t>
  </si>
  <si>
    <t xml:space="preserve">38 AVENUE DE LA MOTTE PICQUET</t>
  </si>
  <si>
    <t xml:space="preserve">MARTINETTI</t>
  </si>
  <si>
    <t xml:space="preserve">39 AVENUE DUQUESNE</t>
  </si>
  <si>
    <t xml:space="preserve">1er 3e mercredi</t>
  </si>
  <si>
    <t xml:space="preserve">DONNARS</t>
  </si>
  <si>
    <t xml:space="preserve">39 BOULEVARD GARIBALDI</t>
  </si>
  <si>
    <t xml:space="preserve">BRETON</t>
  </si>
  <si>
    <t xml:space="preserve">CMP VARENNE</t>
  </si>
  <si>
    <t xml:space="preserve">39 RUE DE VARENNE</t>
  </si>
  <si>
    <t xml:space="preserve">KETABI</t>
  </si>
  <si>
    <t xml:space="preserve">Karim</t>
  </si>
  <si>
    <t xml:space="preserve">ABERKANE</t>
  </si>
  <si>
    <t xml:space="preserve">RAHIOUI</t>
  </si>
  <si>
    <t xml:space="preserve">Hassan</t>
  </si>
  <si>
    <t xml:space="preserve">MOINS</t>
  </si>
  <si>
    <t xml:space="preserve">DE LAAGE DE MEUX</t>
  </si>
  <si>
    <t xml:space="preserve">Tristan</t>
  </si>
  <si>
    <t xml:space="preserve">4 RUE CHEVERT</t>
  </si>
  <si>
    <t xml:space="preserve">BONFILS</t>
  </si>
  <si>
    <t xml:space="preserve">4 RUE CHOMEL</t>
  </si>
  <si>
    <t xml:space="preserve">KOEHLER JARRION</t>
  </si>
  <si>
    <t xml:space="preserve">Sylvia</t>
  </si>
  <si>
    <t xml:space="preserve">4 RUE DE LUYNES</t>
  </si>
  <si>
    <t xml:space="preserve">SAIAG</t>
  </si>
  <si>
    <t xml:space="preserve">4 RUE LEON VAUDOYER</t>
  </si>
  <si>
    <t xml:space="preserve">DOURI</t>
  </si>
  <si>
    <t xml:space="preserve">DALBOUSE</t>
  </si>
  <si>
    <t xml:space="preserve">4 RUE MARIO NIKIS</t>
  </si>
  <si>
    <t xml:space="preserve">BLUMENTHAL</t>
  </si>
  <si>
    <t xml:space="preserve">4 RUE OUDINOT</t>
  </si>
  <si>
    <t xml:space="preserve">LABET</t>
  </si>
  <si>
    <t xml:space="preserve">41 AVENUE RAPP</t>
  </si>
  <si>
    <t xml:space="preserve">BOUDOT DE LA MOTTE</t>
  </si>
  <si>
    <t xml:space="preserve">FAYEMENDY</t>
  </si>
  <si>
    <t xml:space="preserve">CAB MÉD TOUR-MAUBOURG</t>
  </si>
  <si>
    <t xml:space="preserve">41 BOULEVARD DE LA TOUR MAUBOURG</t>
  </si>
  <si>
    <t xml:space="preserve">AMOYAL</t>
  </si>
  <si>
    <t xml:space="preserve">ATIENZA</t>
  </si>
  <si>
    <t xml:space="preserve">ELOUAER BLANC</t>
  </si>
  <si>
    <t xml:space="preserve">LOISEAU</t>
  </si>
  <si>
    <t xml:space="preserve">FAURE DUMONT</t>
  </si>
  <si>
    <t xml:space="preserve">42 BOULEVARD RASPAIL</t>
  </si>
  <si>
    <t xml:space="preserve">FOUQUES</t>
  </si>
  <si>
    <t xml:space="preserve">RATAJCZAK</t>
  </si>
  <si>
    <t xml:space="preserve">45 47 AVENUE DE SEGUR</t>
  </si>
  <si>
    <t xml:space="preserve">CLAVERO FABRI</t>
  </si>
  <si>
    <t xml:space="preserve">45 AVENUE BOSQUET</t>
  </si>
  <si>
    <t xml:space="preserve">HUET</t>
  </si>
  <si>
    <t xml:space="preserve">Robert Nicolas</t>
  </si>
  <si>
    <t xml:space="preserve">45 RUE DE BOURGOGNE</t>
  </si>
  <si>
    <t xml:space="preserve">BENADON</t>
  </si>
  <si>
    <t xml:space="preserve">49 AVENUE DE SEGUR</t>
  </si>
  <si>
    <t xml:space="preserve">MADELENAT</t>
  </si>
  <si>
    <t xml:space="preserve">5 AVENUE EMILE DESCHANEL</t>
  </si>
  <si>
    <t xml:space="preserve">FANCHIN</t>
  </si>
  <si>
    <t xml:space="preserve">Renato</t>
  </si>
  <si>
    <t xml:space="preserve">CHARRIER</t>
  </si>
  <si>
    <t xml:space="preserve">PARISER</t>
  </si>
  <si>
    <t xml:space="preserve">5 BOULEVARD RASPAIL</t>
  </si>
  <si>
    <t xml:space="preserve">CAHANE</t>
  </si>
  <si>
    <t xml:space="preserve">5 RUE COGNACQ JAY</t>
  </si>
  <si>
    <t xml:space="preserve">CAHANE AKNIN</t>
  </si>
  <si>
    <t xml:space="preserve">FLIS TREVES</t>
  </si>
  <si>
    <t xml:space="preserve">5 RUE RECAMIER</t>
  </si>
  <si>
    <t xml:space="preserve">LIZON AU CIRE</t>
  </si>
  <si>
    <t xml:space="preserve">5 RUE SURCOUF</t>
  </si>
  <si>
    <t xml:space="preserve">LANGART</t>
  </si>
  <si>
    <t xml:space="preserve">50 AVENUE DE SAXE</t>
  </si>
  <si>
    <t xml:space="preserve">GUETTA</t>
  </si>
  <si>
    <t xml:space="preserve">Gilles Michael</t>
  </si>
  <si>
    <t xml:space="preserve">SINZELLE</t>
  </si>
  <si>
    <t xml:space="preserve">Jeremie</t>
  </si>
  <si>
    <t xml:space="preserve">COINTOT</t>
  </si>
  <si>
    <t xml:space="preserve">LEGRIS</t>
  </si>
  <si>
    <t xml:space="preserve">50 BOULEVARD DE LA TOUR MAUBOURG</t>
  </si>
  <si>
    <t xml:space="preserve">MIRABEL</t>
  </si>
  <si>
    <t xml:space="preserve">50 RUE DE L UNIVERSITE</t>
  </si>
  <si>
    <t xml:space="preserve">PANHARD</t>
  </si>
  <si>
    <t xml:space="preserve">50 RUE DE VERNEUIL</t>
  </si>
  <si>
    <t xml:space="preserve">PREVOST</t>
  </si>
  <si>
    <t xml:space="preserve">53 AVENUE DE SEGUR</t>
  </si>
  <si>
    <t xml:space="preserve">TERRADOT</t>
  </si>
  <si>
    <t xml:space="preserve">53 RUE DE VARENNE</t>
  </si>
  <si>
    <t xml:space="preserve">54 AVENUE DE LA BOURDONNAIS</t>
  </si>
  <si>
    <t xml:space="preserve">TARRAGANO</t>
  </si>
  <si>
    <t xml:space="preserve">54 RUE DE BOURGOGNE</t>
  </si>
  <si>
    <t xml:space="preserve">DOUCHET</t>
  </si>
  <si>
    <t xml:space="preserve">55 AVENUE DE BRETEUIL</t>
  </si>
  <si>
    <t xml:space="preserve">PINABEL</t>
  </si>
  <si>
    <t xml:space="preserve">6 AVENUE DE TOURVILLE</t>
  </si>
  <si>
    <t xml:space="preserve">mail</t>
  </si>
  <si>
    <t xml:space="preserve">DUPONT</t>
  </si>
  <si>
    <t xml:space="preserve">MARCHAL</t>
  </si>
  <si>
    <t xml:space="preserve">INS NAT DES INVALIDES</t>
  </si>
  <si>
    <t xml:space="preserve">6 BOULEVARD DES INVALIDES</t>
  </si>
  <si>
    <t xml:space="preserve">BOUVIER</t>
  </si>
  <si>
    <t xml:space="preserve">BENISTY</t>
  </si>
  <si>
    <t xml:space="preserve">Florence Sarah</t>
  </si>
  <si>
    <t xml:space="preserve">PLOTNICU DELESQUE</t>
  </si>
  <si>
    <t xml:space="preserve">Mariana</t>
  </si>
  <si>
    <t xml:space="preserve">OLIVIER PERZO</t>
  </si>
  <si>
    <t xml:space="preserve">ALBERTINI</t>
  </si>
  <si>
    <t xml:space="preserve">6 RUE DE VILLERSEXEL</t>
  </si>
  <si>
    <t xml:space="preserve">MIALET</t>
  </si>
  <si>
    <t xml:space="preserve">61 AVENUE DE SAXE</t>
  </si>
  <si>
    <t xml:space="preserve">HOZER</t>
  </si>
  <si>
    <t xml:space="preserve">Franz</t>
  </si>
  <si>
    <t xml:space="preserve">61 BOULEVARD DES INVALIDES</t>
  </si>
  <si>
    <t xml:space="preserve">D8</t>
  </si>
  <si>
    <t xml:space="preserve">GORWOOD JOURDAIN</t>
  </si>
  <si>
    <t xml:space="preserve">64 AVENUE BOSQUET</t>
  </si>
  <si>
    <t xml:space="preserve">ST ANDRE</t>
  </si>
  <si>
    <t xml:space="preserve">65 BOULEVARD DES INVALIDES</t>
  </si>
  <si>
    <t xml:space="preserve">GAUMONT</t>
  </si>
  <si>
    <t xml:space="preserve">D9</t>
  </si>
  <si>
    <t xml:space="preserve">ALBOU</t>
  </si>
  <si>
    <t xml:space="preserve">Anthony</t>
  </si>
  <si>
    <t xml:space="preserve">KAMMERER</t>
  </si>
  <si>
    <t xml:space="preserve">68 RUE DU BAC</t>
  </si>
  <si>
    <t xml:space="preserve">ZIGANTE</t>
  </si>
  <si>
    <t xml:space="preserve">7 AVENUE DUQUESNE</t>
  </si>
  <si>
    <t xml:space="preserve">CORDIER</t>
  </si>
  <si>
    <t xml:space="preserve">7 PLACE DE FONTENOY</t>
  </si>
  <si>
    <t xml:space="preserve">GOLDENBERG</t>
  </si>
  <si>
    <t xml:space="preserve">7 RUE ALEXANDRE CABANEL</t>
  </si>
  <si>
    <t xml:space="preserve">JATTEAU</t>
  </si>
  <si>
    <t xml:space="preserve">7 RUE VALENTIN HAUY</t>
  </si>
  <si>
    <t xml:space="preserve">BINET LUKASZEWICZ</t>
  </si>
  <si>
    <t xml:space="preserve">Anna Maria</t>
  </si>
  <si>
    <t xml:space="preserve">77 BIS AVENUE DE BRETEUIL</t>
  </si>
  <si>
    <t xml:space="preserve">BESSIS</t>
  </si>
  <si>
    <t xml:space="preserve">Judith</t>
  </si>
  <si>
    <t xml:space="preserve">79 AVENUE DE SEGUR</t>
  </si>
  <si>
    <t xml:space="preserve">MALARET</t>
  </si>
  <si>
    <t xml:space="preserve">8 AVENUE CONSTANT COQUELIN</t>
  </si>
  <si>
    <t xml:space="preserve">SAUVEGRAIN MASSIN</t>
  </si>
  <si>
    <t xml:space="preserve">8 RUE CESAR FRANCK</t>
  </si>
  <si>
    <t xml:space="preserve">PRIA</t>
  </si>
  <si>
    <t xml:space="preserve">81 RUE ST DOMINIQUE</t>
  </si>
  <si>
    <t xml:space="preserve">THOUX</t>
  </si>
  <si>
    <t xml:space="preserve">Zoe</t>
  </si>
  <si>
    <t xml:space="preserve">85 AVENUE DE LA BOURDONNAIS</t>
  </si>
  <si>
    <t xml:space="preserve">DOUKHAN</t>
  </si>
  <si>
    <t xml:space="preserve">Ilana</t>
  </si>
  <si>
    <t xml:space="preserve">SERFATY</t>
  </si>
  <si>
    <t xml:space="preserve">9 RUE DE VILLERSEXEL</t>
  </si>
  <si>
    <t xml:space="preserve">IRIGOIN GUICHANDUT</t>
  </si>
  <si>
    <t xml:space="preserve">9 RUE LEON VAUDOYER</t>
  </si>
  <si>
    <t xml:space="preserve">BOUCHE</t>
  </si>
  <si>
    <t xml:space="preserve">Marie Celine</t>
  </si>
  <si>
    <t xml:space="preserve">GRILLET</t>
  </si>
  <si>
    <t xml:space="preserve">Gerard</t>
  </si>
  <si>
    <t xml:space="preserve">9 RUE SEDILLOT</t>
  </si>
  <si>
    <t xml:space="preserve">SZEFNER</t>
  </si>
  <si>
    <t xml:space="preserve">94 RUE DE SEVRES</t>
  </si>
  <si>
    <t xml:space="preserve">HENRY</t>
  </si>
  <si>
    <t xml:space="preserve">Manon</t>
  </si>
  <si>
    <t xml:space="preserve">95 AVENUE DE LA BOURDONNAIS</t>
  </si>
  <si>
    <t xml:space="preserve">BENIT</t>
  </si>
  <si>
    <t xml:space="preserve">Aurelie</t>
  </si>
  <si>
    <t xml:space="preserve">ALVAREZ ZALAMEA</t>
  </si>
  <si>
    <t xml:space="preserve">Luis</t>
  </si>
  <si>
    <t xml:space="preserve">REISER</t>
  </si>
  <si>
    <t xml:space="preserve">ZIELINSKI</t>
  </si>
  <si>
    <t xml:space="preserve">97 AVENUE DE LA BOURDONNAIS</t>
  </si>
  <si>
    <t xml:space="preserve">JAMET</t>
  </si>
  <si>
    <t xml:space="preserve">75MNP</t>
  </si>
  <si>
    <t xml:space="preserve">1 RUE ERNEST RENAN</t>
  </si>
  <si>
    <t xml:space="preserve">PORGE</t>
  </si>
  <si>
    <t xml:space="preserve">Erick</t>
  </si>
  <si>
    <t xml:space="preserve">1 RUE MIZON</t>
  </si>
  <si>
    <t xml:space="preserve">AUTIER</t>
  </si>
  <si>
    <t xml:space="preserve">10 RUE BROWN SEQUARD</t>
  </si>
  <si>
    <t xml:space="preserve">TURCAS</t>
  </si>
  <si>
    <t xml:space="preserve">Cristina</t>
  </si>
  <si>
    <t xml:space="preserve">104 RUE CAMBRONNE</t>
  </si>
  <si>
    <t xml:space="preserve">MARQUET</t>
  </si>
  <si>
    <t xml:space="preserve">11 PLACE ADOLPHE CHERIOUX</t>
  </si>
  <si>
    <t xml:space="preserve">BRAKHA</t>
  </si>
  <si>
    <t xml:space="preserve">112 RUE LECOURBE</t>
  </si>
  <si>
    <t xml:space="preserve">2 VM MAX</t>
  </si>
  <si>
    <t xml:space="preserve">GUILLON</t>
  </si>
  <si>
    <t xml:space="preserve">113 117 RUE CAMBRONNE</t>
  </si>
  <si>
    <t xml:space="preserve">Phuong Vi</t>
  </si>
  <si>
    <t xml:space="preserve">12 PLACE ADOLPHE CHERIOUX</t>
  </si>
  <si>
    <t xml:space="preserve">CHABY</t>
  </si>
  <si>
    <t xml:space="preserve">CDS JAQUES SENET</t>
  </si>
  <si>
    <t xml:space="preserve">12 RUE ARMAND MOISANT</t>
  </si>
  <si>
    <t xml:space="preserve">LEBEL</t>
  </si>
  <si>
    <t xml:space="preserve">Marie Amelie</t>
  </si>
  <si>
    <t xml:space="preserve">BEN MERABET</t>
  </si>
  <si>
    <t xml:space="preserve">Faiza</t>
  </si>
  <si>
    <t xml:space="preserve">DANEL</t>
  </si>
  <si>
    <t xml:space="preserve">BESNAINOU BOTBOL</t>
  </si>
  <si>
    <t xml:space="preserve">Karen</t>
  </si>
  <si>
    <t xml:space="preserve">LUPCZYNSKI</t>
  </si>
  <si>
    <t xml:space="preserve">BAYLE GACOIN</t>
  </si>
  <si>
    <t xml:space="preserve">SZEJNER GUEZ</t>
  </si>
  <si>
    <t xml:space="preserve">PENA</t>
  </si>
  <si>
    <t xml:space="preserve">Sibylle</t>
  </si>
  <si>
    <t xml:space="preserve">BERTHELOT</t>
  </si>
  <si>
    <t xml:space="preserve">Line Chantal</t>
  </si>
  <si>
    <t xml:space="preserve">DELANOE</t>
  </si>
  <si>
    <t xml:space="preserve">ROMAIN</t>
  </si>
  <si>
    <t xml:space="preserve">126 T RUE BLOMET</t>
  </si>
  <si>
    <t xml:space="preserve">TURBERG ROMAIN</t>
  </si>
  <si>
    <t xml:space="preserve">CAMUS BOUEDJORO</t>
  </si>
  <si>
    <t xml:space="preserve">Marie Cecile</t>
  </si>
  <si>
    <t xml:space="preserve">127 RUE FALGUIERE</t>
  </si>
  <si>
    <t xml:space="preserve">THOMAS</t>
  </si>
  <si>
    <t xml:space="preserve">131 RUE DE VAUGIRARD</t>
  </si>
  <si>
    <t xml:space="preserve">LERET</t>
  </si>
  <si>
    <t xml:space="preserve">LARSEN</t>
  </si>
  <si>
    <t xml:space="preserve">136 RUE DE VAUGIRARD</t>
  </si>
  <si>
    <t xml:space="preserve">GOULET</t>
  </si>
  <si>
    <t xml:space="preserve">HÔP UNI NECKER</t>
  </si>
  <si>
    <t xml:space="preserve">149 RUE DE SEVRES</t>
  </si>
  <si>
    <t xml:space="preserve">RUMMELE</t>
  </si>
  <si>
    <t xml:space="preserve">GASTRO ENTÉRO</t>
  </si>
  <si>
    <t xml:space="preserve">ABI NADER</t>
  </si>
  <si>
    <t xml:space="preserve">ROTH</t>
  </si>
  <si>
    <t xml:space="preserve">SPAGGIARI</t>
  </si>
  <si>
    <t xml:space="preserve">COLMANT D ARMAGNAC</t>
  </si>
  <si>
    <t xml:space="preserve">DRIESSEN</t>
  </si>
  <si>
    <t xml:space="preserve">SALOMON</t>
  </si>
  <si>
    <t xml:space="preserve">STIRNEMANN</t>
  </si>
  <si>
    <t xml:space="preserve">VILLE</t>
  </si>
  <si>
    <t xml:space="preserve">DA COSTA</t>
  </si>
  <si>
    <t xml:space="preserve">Sabrina</t>
  </si>
  <si>
    <t xml:space="preserve">BOURGON</t>
  </si>
  <si>
    <t xml:space="preserve">DAP</t>
  </si>
  <si>
    <t xml:space="preserve">Matthieu</t>
  </si>
  <si>
    <t xml:space="preserve">BARTIN</t>
  </si>
  <si>
    <t xml:space="preserve">Raphael</t>
  </si>
  <si>
    <t xml:space="preserve">AMAZZOUGH</t>
  </si>
  <si>
    <t xml:space="preserve">Karima</t>
  </si>
  <si>
    <t xml:space="preserve">MIRAT</t>
  </si>
  <si>
    <t xml:space="preserve">MENSAH</t>
  </si>
  <si>
    <t xml:space="preserve">BOURLET</t>
  </si>
  <si>
    <t xml:space="preserve">AN</t>
  </si>
  <si>
    <t xml:space="preserve">Kim</t>
  </si>
  <si>
    <t xml:space="preserve">ROUZAUD</t>
  </si>
  <si>
    <t xml:space="preserve">KHELIFI</t>
  </si>
  <si>
    <t xml:space="preserve">Gregory</t>
  </si>
  <si>
    <t xml:space="preserve">KADDOUR BRAHIM</t>
  </si>
  <si>
    <t xml:space="preserve">Abdelkhaled</t>
  </si>
  <si>
    <t xml:space="preserve">BERTOZZI</t>
  </si>
  <si>
    <t xml:space="preserve">BONNEFONT</t>
  </si>
  <si>
    <t xml:space="preserve">ENCLOS</t>
  </si>
  <si>
    <t xml:space="preserve">GRAPPE</t>
  </si>
  <si>
    <t xml:space="preserve">Priscille</t>
  </si>
  <si>
    <t xml:space="preserve">BATON AUBOUY</t>
  </si>
  <si>
    <t xml:space="preserve">BOUKRICHE</t>
  </si>
  <si>
    <t xml:space="preserve">Abdelmalek Habib</t>
  </si>
  <si>
    <t xml:space="preserve">JABRE</t>
  </si>
  <si>
    <t xml:space="preserve">MALARTIC</t>
  </si>
  <si>
    <t xml:space="preserve">Mireille</t>
  </si>
  <si>
    <t xml:space="preserve">MARX</t>
  </si>
  <si>
    <t xml:space="preserve">Jean Sebastien</t>
  </si>
  <si>
    <t xml:space="preserve">DE LUZE</t>
  </si>
  <si>
    <t xml:space="preserve">Thibaut</t>
  </si>
  <si>
    <t xml:space="preserve">HUTIN</t>
  </si>
  <si>
    <t xml:space="preserve">Alice</t>
  </si>
  <si>
    <t xml:space="preserve">GREFFET</t>
  </si>
  <si>
    <t xml:space="preserve">CHATENOUD</t>
  </si>
  <si>
    <t xml:space="preserve">Lucienne</t>
  </si>
  <si>
    <t xml:space="preserve">HERBEPIN</t>
  </si>
  <si>
    <t xml:space="preserve">GAUDIN</t>
  </si>
  <si>
    <t xml:space="preserve">Anne Claire</t>
  </si>
  <si>
    <t xml:space="preserve">DEROSSI</t>
  </si>
  <si>
    <t xml:space="preserve">Arnaud</t>
  </si>
  <si>
    <t xml:space="preserve">POIROT</t>
  </si>
  <si>
    <t xml:space="preserve">CHAVAROT</t>
  </si>
  <si>
    <t xml:space="preserve">VARET</t>
  </si>
  <si>
    <t xml:space="preserve">FASSY COLCOMBET</t>
  </si>
  <si>
    <t xml:space="preserve">CAVALLIN</t>
  </si>
  <si>
    <t xml:space="preserve">Marin</t>
  </si>
  <si>
    <t xml:space="preserve">LOSITO</t>
  </si>
  <si>
    <t xml:space="preserve">Emma</t>
  </si>
  <si>
    <t xml:space="preserve">BAHI BUISSON</t>
  </si>
  <si>
    <t xml:space="preserve">BOURGEOIS</t>
  </si>
  <si>
    <t xml:space="preserve">CHIRON</t>
  </si>
  <si>
    <t xml:space="preserve">EL NABBOUT TARANTINO</t>
  </si>
  <si>
    <t xml:space="preserve">Rima</t>
  </si>
  <si>
    <t xml:space="preserve">KAMINSKA</t>
  </si>
  <si>
    <t xml:space="preserve">Anna</t>
  </si>
  <si>
    <t xml:space="preserve">PUGET</t>
  </si>
  <si>
    <t xml:space="preserve">SOUFFLET</t>
  </si>
  <si>
    <t xml:space="preserve">BENICHI</t>
  </si>
  <si>
    <t xml:space="preserve">Sandro</t>
  </si>
  <si>
    <t xml:space="preserve">GINS</t>
  </si>
  <si>
    <t xml:space="preserve">Clarisse</t>
  </si>
  <si>
    <t xml:space="preserve">COULON</t>
  </si>
  <si>
    <t xml:space="preserve">Ludivine</t>
  </si>
  <si>
    <t xml:space="preserve">FOURIKI</t>
  </si>
  <si>
    <t xml:space="preserve">Athina</t>
  </si>
  <si>
    <t xml:space="preserve">GALDERISI</t>
  </si>
  <si>
    <t xml:space="preserve">Alfonso</t>
  </si>
  <si>
    <t xml:space="preserve">LASCOURREGES</t>
  </si>
  <si>
    <t xml:space="preserve">REFABERT</t>
  </si>
  <si>
    <t xml:space="preserve">Luc</t>
  </si>
  <si>
    <t xml:space="preserve">DURRLEMAN</t>
  </si>
  <si>
    <t xml:space="preserve">Chloe</t>
  </si>
  <si>
    <t xml:space="preserve">GITIAUX</t>
  </si>
  <si>
    <t xml:space="preserve">Cyril</t>
  </si>
  <si>
    <t xml:space="preserve">MOREAU DE BELLAING</t>
  </si>
  <si>
    <t xml:space="preserve">TRUONG</t>
  </si>
  <si>
    <t xml:space="preserve">Ba Luu</t>
  </si>
  <si>
    <t xml:space="preserve">BRASSIER</t>
  </si>
  <si>
    <t xml:space="preserve">KERBOUC H</t>
  </si>
  <si>
    <t xml:space="preserve">EXPLOR. FONCTION. DIGEST. ALIM</t>
  </si>
  <si>
    <t xml:space="preserve">AESCHLIMANN</t>
  </si>
  <si>
    <t xml:space="preserve">ABAKKA</t>
  </si>
  <si>
    <t xml:space="preserve">Samya</t>
  </si>
  <si>
    <t xml:space="preserve">AOUST</t>
  </si>
  <si>
    <t xml:space="preserve">Laura</t>
  </si>
  <si>
    <t xml:space="preserve">DORVAL</t>
  </si>
  <si>
    <t xml:space="preserve">EGOUNLETY</t>
  </si>
  <si>
    <t xml:space="preserve">Fidelia</t>
  </si>
  <si>
    <t xml:space="preserve">ELOI</t>
  </si>
  <si>
    <t xml:space="preserve">Maxime</t>
  </si>
  <si>
    <t xml:space="preserve">JOLY</t>
  </si>
  <si>
    <t xml:space="preserve">STOUPA</t>
  </si>
  <si>
    <t xml:space="preserve">Athanasia</t>
  </si>
  <si>
    <t xml:space="preserve">LE GOUEZ</t>
  </si>
  <si>
    <t xml:space="preserve">Morgane</t>
  </si>
  <si>
    <t xml:space="preserve">TAYLOR</t>
  </si>
  <si>
    <t xml:space="preserve">Melissa</t>
  </si>
  <si>
    <t xml:space="preserve">NGUYEN SON</t>
  </si>
  <si>
    <t xml:space="preserve">ABADIE</t>
  </si>
  <si>
    <t xml:space="preserve">ALLALI</t>
  </si>
  <si>
    <t xml:space="preserve">Slimane</t>
  </si>
  <si>
    <t xml:space="preserve">AMIEL</t>
  </si>
  <si>
    <t xml:space="preserve">Jeanne</t>
  </si>
  <si>
    <t xml:space="preserve">ASSAF</t>
  </si>
  <si>
    <t xml:space="preserve">Ziad</t>
  </si>
  <si>
    <t xml:space="preserve">NÉONAT</t>
  </si>
  <si>
    <t xml:space="preserve">AUBART</t>
  </si>
  <si>
    <t xml:space="preserve">Melodie</t>
  </si>
  <si>
    <t xml:space="preserve">BADER MEUNIER</t>
  </si>
  <si>
    <t xml:space="preserve">BAILLY BOTUHA</t>
  </si>
  <si>
    <t xml:space="preserve">BAJOLLE</t>
  </si>
  <si>
    <t xml:space="preserve">BARNERIAS</t>
  </si>
  <si>
    <t xml:space="preserve">BAUJAT DE VOGUE</t>
  </si>
  <si>
    <t xml:space="preserve">BELLANGER</t>
  </si>
  <si>
    <t xml:space="preserve">BELTRAND</t>
  </si>
  <si>
    <t xml:space="preserve">BENDAVID</t>
  </si>
  <si>
    <t xml:space="preserve">BOCQUET</t>
  </si>
  <si>
    <t xml:space="preserve">BONNET</t>
  </si>
  <si>
    <t xml:space="preserve">Damien</t>
  </si>
  <si>
    <t xml:space="preserve">BRICE</t>
  </si>
  <si>
    <t xml:space="preserve">Josephine</t>
  </si>
  <si>
    <t xml:space="preserve">BROUSSE</t>
  </si>
  <si>
    <t xml:space="preserve">CAMPEOTTO ORSATELLI</t>
  </si>
  <si>
    <t xml:space="preserve">CASTELLE</t>
  </si>
  <si>
    <t xml:space="preserve">Martin</t>
  </si>
  <si>
    <t xml:space="preserve">CAVAU</t>
  </si>
  <si>
    <t xml:space="preserve">CHALUMEAU</t>
  </si>
  <si>
    <t xml:space="preserve">CHEDEVERGNE</t>
  </si>
  <si>
    <t xml:space="preserve">CHEMALY PERIN</t>
  </si>
  <si>
    <t xml:space="preserve">CHERON</t>
  </si>
  <si>
    <t xml:space="preserve">CORMIER DAIRE</t>
  </si>
  <si>
    <t xml:space="preserve">DABBAS TYAN</t>
  </si>
  <si>
    <t xml:space="preserve">Myriam</t>
  </si>
  <si>
    <t xml:space="preserve">DE BLIC</t>
  </si>
  <si>
    <t xml:space="preserve">DEBENEY DE LONLAY</t>
  </si>
  <si>
    <t xml:space="preserve">DEBRAY</t>
  </si>
  <si>
    <t xml:space="preserve">DESGUERRE</t>
  </si>
  <si>
    <t xml:space="preserve">DRUMMOND</t>
  </si>
  <si>
    <t xml:space="preserve">EISERMANN</t>
  </si>
  <si>
    <t xml:space="preserve">Monika</t>
  </si>
  <si>
    <t xml:space="preserve">FARKAS</t>
  </si>
  <si>
    <t xml:space="preserve">FAUCHER BOUTONNAT</t>
  </si>
  <si>
    <t xml:space="preserve">FRANGE</t>
  </si>
  <si>
    <t xml:space="preserve">GILLION BOYER</t>
  </si>
  <si>
    <t xml:space="preserve">Olivia</t>
  </si>
  <si>
    <t xml:space="preserve">GIUSEPPI</t>
  </si>
  <si>
    <t xml:space="preserve">GODOT</t>
  </si>
  <si>
    <t xml:space="preserve">GRANDAZZI</t>
  </si>
  <si>
    <t xml:space="preserve">GRIMAUD</t>
  </si>
  <si>
    <t xml:space="preserve">HACHEM</t>
  </si>
  <si>
    <t xml:space="preserve">Taymme</t>
  </si>
  <si>
    <t xml:space="preserve">HADCHOUEL DUVERGE</t>
  </si>
  <si>
    <t xml:space="preserve">HALPHEN</t>
  </si>
  <si>
    <t xml:space="preserve">HARROCHE</t>
  </si>
  <si>
    <t xml:space="preserve">HEILBRONNER</t>
  </si>
  <si>
    <t xml:space="preserve">HOVHANNISYAN</t>
  </si>
  <si>
    <t xml:space="preserve">Shushanik</t>
  </si>
  <si>
    <t xml:space="preserve">JUGIE</t>
  </si>
  <si>
    <t xml:space="preserve">KERMORVANT</t>
  </si>
  <si>
    <t xml:space="preserve">Elsa</t>
  </si>
  <si>
    <t xml:space="preserve">KHRAICHE</t>
  </si>
  <si>
    <t xml:space="preserve">Diala</t>
  </si>
  <si>
    <t xml:space="preserve">LACAILLE</t>
  </si>
  <si>
    <t xml:space="preserve">LAMBE</t>
  </si>
  <si>
    <t xml:space="preserve">LAPILLONNE</t>
  </si>
  <si>
    <t xml:space="preserve">LARDEUX</t>
  </si>
  <si>
    <t xml:space="preserve">LE BOURGEOIS</t>
  </si>
  <si>
    <t xml:space="preserve">Daphne</t>
  </si>
  <si>
    <t xml:space="preserve">LEROY TERQUEM</t>
  </si>
  <si>
    <t xml:space="preserve">LESAGE</t>
  </si>
  <si>
    <t xml:space="preserve">MAGNANI</t>
  </si>
  <si>
    <t xml:space="preserve">Alessandra</t>
  </si>
  <si>
    <t xml:space="preserve">MAGNY</t>
  </si>
  <si>
    <t xml:space="preserve">MAHLAOUI</t>
  </si>
  <si>
    <t xml:space="preserve">Nizar</t>
  </si>
  <si>
    <t xml:space="preserve">MAZZOLA</t>
  </si>
  <si>
    <t xml:space="preserve">MOULIN</t>
  </si>
  <si>
    <t xml:space="preserve">OUALHA</t>
  </si>
  <si>
    <t xml:space="preserve">Mehdi</t>
  </si>
  <si>
    <t xml:space="preserve">PICHON</t>
  </si>
  <si>
    <t xml:space="preserve">PIGNEUR ARNAUD</t>
  </si>
  <si>
    <t xml:space="preserve">POLAK</t>
  </si>
  <si>
    <t xml:space="preserve">QUARTIER DIT MAIRE</t>
  </si>
  <si>
    <t xml:space="preserve">SAMARA DIAB BOUSTANI</t>
  </si>
  <si>
    <t xml:space="preserve">Dinane</t>
  </si>
  <si>
    <t xml:space="preserve">SAUVE MARTIN</t>
  </si>
  <si>
    <t xml:space="preserve">SERMET GAUDELUS</t>
  </si>
  <si>
    <t xml:space="preserve">SIDI</t>
  </si>
  <si>
    <t xml:space="preserve">TALBOTEC</t>
  </si>
  <si>
    <t xml:space="preserve">THALASSINOS</t>
  </si>
  <si>
    <t xml:space="preserve">TIMSIT</t>
  </si>
  <si>
    <t xml:space="preserve">TOUBIANA</t>
  </si>
  <si>
    <t xml:space="preserve">VALDES</t>
  </si>
  <si>
    <t xml:space="preserve">VEDRENNE CLOQUET</t>
  </si>
  <si>
    <t xml:space="preserve">Meryl</t>
  </si>
  <si>
    <t xml:space="preserve">LEZMI</t>
  </si>
  <si>
    <t xml:space="preserve">QUETIN</t>
  </si>
  <si>
    <t xml:space="preserve">SEMERARO</t>
  </si>
  <si>
    <t xml:space="preserve">Michaela</t>
  </si>
  <si>
    <t xml:space="preserve">DUMAINE</t>
  </si>
  <si>
    <t xml:space="preserve">BERANGER</t>
  </si>
  <si>
    <t xml:space="preserve">Agathe</t>
  </si>
  <si>
    <t xml:space="preserve">BERTHAUD</t>
  </si>
  <si>
    <t xml:space="preserve">BESANCON</t>
  </si>
  <si>
    <t xml:space="preserve">Alix</t>
  </si>
  <si>
    <t xml:space="preserve">DEMIR</t>
  </si>
  <si>
    <t xml:space="preserve">Zeynep</t>
  </si>
  <si>
    <t xml:space="preserve">DE BARBEYRAC ST MAURICE</t>
  </si>
  <si>
    <t xml:space="preserve">CAHN</t>
  </si>
  <si>
    <t xml:space="preserve">ARYAFAR</t>
  </si>
  <si>
    <t xml:space="preserve">Annahita</t>
  </si>
  <si>
    <t xml:space="preserve">FREYCHET</t>
  </si>
  <si>
    <t xml:space="preserve">MARCHAC</t>
  </si>
  <si>
    <t xml:space="preserve">MEOT</t>
  </si>
  <si>
    <t xml:space="preserve">BOUCHEREAU</t>
  </si>
  <si>
    <t xml:space="preserve">BRUNET GUERIN</t>
  </si>
  <si>
    <t xml:space="preserve">LIND</t>
  </si>
  <si>
    <t xml:space="preserve">Katia</t>
  </si>
  <si>
    <t xml:space="preserve">SCHIFF</t>
  </si>
  <si>
    <t xml:space="preserve">RAVILLY</t>
  </si>
  <si>
    <t xml:space="preserve">FOY FOULQUES</t>
  </si>
  <si>
    <t xml:space="preserve">KARIYAWASAM</t>
  </si>
  <si>
    <t xml:space="preserve">Dulanjalee</t>
  </si>
  <si>
    <t xml:space="preserve">SAREIDAKI</t>
  </si>
  <si>
    <t xml:space="preserve">Doxa</t>
  </si>
  <si>
    <t xml:space="preserve">CHAPPUY</t>
  </si>
  <si>
    <t xml:space="preserve">HULLY GITIAUX</t>
  </si>
  <si>
    <t xml:space="preserve">RIGOURD</t>
  </si>
  <si>
    <t xml:space="preserve">BOUDJEMLINE</t>
  </si>
  <si>
    <t xml:space="preserve">Younes</t>
  </si>
  <si>
    <t xml:space="preserve">FLECHTNER DUVAL</t>
  </si>
  <si>
    <t xml:space="preserve">PINTO</t>
  </si>
  <si>
    <t xml:space="preserve">TARBE DE ST HARDOUIN</t>
  </si>
  <si>
    <t xml:space="preserve">SCHINKEL LE NAGARD</t>
  </si>
  <si>
    <t xml:space="preserve">Somnah Nelly</t>
  </si>
  <si>
    <t xml:space="preserve">RAPPAPORT</t>
  </si>
  <si>
    <t xml:space="preserve">JONES</t>
  </si>
  <si>
    <t xml:space="preserve">Peter</t>
  </si>
  <si>
    <t xml:space="preserve">LAGEIX</t>
  </si>
  <si>
    <t xml:space="preserve">BELFAR BERGOUNIOUX</t>
  </si>
  <si>
    <t xml:space="preserve">Samira</t>
  </si>
  <si>
    <t xml:space="preserve">FOLIGNO</t>
  </si>
  <si>
    <t xml:space="preserve">Silvia</t>
  </si>
  <si>
    <t xml:space="preserve">GALLIOT</t>
  </si>
  <si>
    <t xml:space="preserve">Severine</t>
  </si>
  <si>
    <t xml:space="preserve">RUBINSZTAJN</t>
  </si>
  <si>
    <t xml:space="preserve">GARGAUN URSACHE</t>
  </si>
  <si>
    <t xml:space="preserve">NEVEN</t>
  </si>
  <si>
    <t xml:space="preserve">PICARD</t>
  </si>
  <si>
    <t xml:space="preserve">RENOLLEAU</t>
  </si>
  <si>
    <t xml:space="preserve">Sylvain</t>
  </si>
  <si>
    <t xml:space="preserve">ADNOT</t>
  </si>
  <si>
    <t xml:space="preserve">AVRAMESCU</t>
  </si>
  <si>
    <t xml:space="preserve">Marina</t>
  </si>
  <si>
    <t xml:space="preserve">BENADJAOUD</t>
  </si>
  <si>
    <t xml:space="preserve">Yasmine</t>
  </si>
  <si>
    <t xml:space="preserve">BERNHEIM</t>
  </si>
  <si>
    <t xml:space="preserve">BRUCHET</t>
  </si>
  <si>
    <t xml:space="preserve">Natacha</t>
  </si>
  <si>
    <t xml:space="preserve">DERRIDJ</t>
  </si>
  <si>
    <t xml:space="preserve">Neil</t>
  </si>
  <si>
    <t xml:space="preserve">DUFEU BERAT</t>
  </si>
  <si>
    <t xml:space="preserve">Claire Marine</t>
  </si>
  <si>
    <t xml:space="preserve">FOUCAMBERT MILLERIOUX</t>
  </si>
  <si>
    <t xml:space="preserve">Heloise</t>
  </si>
  <si>
    <t xml:space="preserve">HILY</t>
  </si>
  <si>
    <t xml:space="preserve">MADEC</t>
  </si>
  <si>
    <t xml:space="preserve">MARSAC</t>
  </si>
  <si>
    <t xml:space="preserve">Charlotte</t>
  </si>
  <si>
    <t xml:space="preserve">MELLUL</t>
  </si>
  <si>
    <t xml:space="preserve">Kelly</t>
  </si>
  <si>
    <t xml:space="preserve">An Thach</t>
  </si>
  <si>
    <t xml:space="preserve">NGUYEN QUOC</t>
  </si>
  <si>
    <t xml:space="preserve">Adrien</t>
  </si>
  <si>
    <t xml:space="preserve">OULD OUALI</t>
  </si>
  <si>
    <t xml:space="preserve">Kahena</t>
  </si>
  <si>
    <t xml:space="preserve">PAGNIER CAUMONT</t>
  </si>
  <si>
    <t xml:space="preserve">PÉDOPSYCHIATRIE</t>
  </si>
  <si>
    <t xml:space="preserve">PAYEN</t>
  </si>
  <si>
    <t xml:space="preserve">PEKIN</t>
  </si>
  <si>
    <t xml:space="preserve">Kaan</t>
  </si>
  <si>
    <t xml:space="preserve">SEE</t>
  </si>
  <si>
    <t xml:space="preserve">Perrine</t>
  </si>
  <si>
    <t xml:space="preserve">TARELHO DE JESUS</t>
  </si>
  <si>
    <t xml:space="preserve">Meryl Jessica</t>
  </si>
  <si>
    <t xml:space="preserve">GRAPIN</t>
  </si>
  <si>
    <t xml:space="preserve">PREVOT</t>
  </si>
  <si>
    <t xml:space="preserve">SCHMARTZ</t>
  </si>
  <si>
    <t xml:space="preserve">VERGNAUD</t>
  </si>
  <si>
    <t xml:space="preserve">SANT ANA SIMAS</t>
  </si>
  <si>
    <t xml:space="preserve">Roberta</t>
  </si>
  <si>
    <t xml:space="preserve">BEAUQUIER MACCOTTA</t>
  </si>
  <si>
    <t xml:space="preserve">Berangere</t>
  </si>
  <si>
    <t xml:space="preserve">OUSS RYNGAERT</t>
  </si>
  <si>
    <t xml:space="preserve">PELLEGRIN TOUATI</t>
  </si>
  <si>
    <t xml:space="preserve">VELASQUEZ</t>
  </si>
  <si>
    <t xml:space="preserve">Paola</t>
  </si>
  <si>
    <t xml:space="preserve">HIEGEL</t>
  </si>
  <si>
    <t xml:space="preserve">Aline</t>
  </si>
  <si>
    <t xml:space="preserve">ABGRALL BARBRY</t>
  </si>
  <si>
    <t xml:space="preserve">Gaelle</t>
  </si>
  <si>
    <t xml:space="preserve">ROBEL</t>
  </si>
  <si>
    <t xml:space="preserve">Necker – voir sur place</t>
  </si>
  <si>
    <t xml:space="preserve">PIOT</t>
  </si>
  <si>
    <t xml:space="preserve">Marie Aude</t>
  </si>
  <si>
    <t xml:space="preserve">SFEZ</t>
  </si>
  <si>
    <t xml:space="preserve">15 BOULEVARD DU MONTPARNASSE</t>
  </si>
  <si>
    <t xml:space="preserve">PESTRE</t>
  </si>
  <si>
    <t xml:space="preserve">15 RUE DE LA CROIX NIVERT</t>
  </si>
  <si>
    <t xml:space="preserve">GILBERG</t>
  </si>
  <si>
    <t xml:space="preserve">156 RUE DE VAUGIRARD</t>
  </si>
  <si>
    <t xml:space="preserve">MASSEE</t>
  </si>
  <si>
    <t xml:space="preserve">Charline</t>
  </si>
  <si>
    <t xml:space="preserve">CDS SOMED</t>
  </si>
  <si>
    <t xml:space="preserve">17 BOULEVARD DE VAUGIRARD</t>
  </si>
  <si>
    <t xml:space="preserve">GRENIER MIROUX</t>
  </si>
  <si>
    <t xml:space="preserve">Marie Pascale</t>
  </si>
  <si>
    <t xml:space="preserve">ABASSI</t>
  </si>
  <si>
    <t xml:space="preserve">Emna</t>
  </si>
  <si>
    <t xml:space="preserve">COLIN GORSKI</t>
  </si>
  <si>
    <t xml:space="preserve">BALETTE</t>
  </si>
  <si>
    <t xml:space="preserve">JOLLY NERVIL</t>
  </si>
  <si>
    <t xml:space="preserve">MGEN</t>
  </si>
  <si>
    <t xml:space="preserve">178 RUE DE VAUGIRARD</t>
  </si>
  <si>
    <t xml:space="preserve">9-12</t>
  </si>
  <si>
    <t xml:space="preserve">14-18</t>
  </si>
  <si>
    <t xml:space="preserve">KHEBICHAT COSTA</t>
  </si>
  <si>
    <t xml:space="preserve">08-11:30</t>
  </si>
  <si>
    <t xml:space="preserve">13-16:30</t>
  </si>
  <si>
    <t xml:space="preserve">SERVAIS</t>
  </si>
  <si>
    <t xml:space="preserve">STEYAERT</t>
  </si>
  <si>
    <t xml:space="preserve">Louis Albert</t>
  </si>
  <si>
    <t xml:space="preserve">8-12</t>
  </si>
  <si>
    <t xml:space="preserve">14-17</t>
  </si>
  <si>
    <t xml:space="preserve">ODIER</t>
  </si>
  <si>
    <t xml:space="preserve">EGULLION</t>
  </si>
  <si>
    <t xml:space="preserve">13-17</t>
  </si>
  <si>
    <t xml:space="preserve">RENAULT</t>
  </si>
  <si>
    <t xml:space="preserve">MICHALOUX</t>
  </si>
  <si>
    <t xml:space="preserve">PLANTUREUX</t>
  </si>
  <si>
    <t xml:space="preserve">FELIX MANCINI</t>
  </si>
  <si>
    <t xml:space="preserve">GAZET</t>
  </si>
  <si>
    <t xml:space="preserve">Johanna</t>
  </si>
  <si>
    <t xml:space="preserve">MALLAM RASHED SAJED</t>
  </si>
  <si>
    <t xml:space="preserve">Adnaan</t>
  </si>
  <si>
    <t xml:space="preserve">NASSIF</t>
  </si>
  <si>
    <t xml:space="preserve">Souha</t>
  </si>
  <si>
    <t xml:space="preserve">PENNAMEN</t>
  </si>
  <si>
    <t xml:space="preserve">Elodie</t>
  </si>
  <si>
    <t xml:space="preserve">HAIDAR</t>
  </si>
  <si>
    <t xml:space="preserve">Assaad</t>
  </si>
  <si>
    <t xml:space="preserve">13-18</t>
  </si>
  <si>
    <t xml:space="preserve">COSTE</t>
  </si>
  <si>
    <t xml:space="preserve">BLANC PELLET</t>
  </si>
  <si>
    <t xml:space="preserve">ZOUCH</t>
  </si>
  <si>
    <t xml:space="preserve">Mohamed</t>
  </si>
  <si>
    <t xml:space="preserve">ISAMBERT</t>
  </si>
  <si>
    <t xml:space="preserve">178 T RUE DE VAUGIRARD</t>
  </si>
  <si>
    <t xml:space="preserve">MATHIEU</t>
  </si>
  <si>
    <t xml:space="preserve">BRACHET</t>
  </si>
  <si>
    <t xml:space="preserve">GAUCI</t>
  </si>
  <si>
    <t xml:space="preserve">Jean Luc</t>
  </si>
  <si>
    <t xml:space="preserve">MIOCQUE</t>
  </si>
  <si>
    <t xml:space="preserve">PERDEREAU</t>
  </si>
  <si>
    <t xml:space="preserve">REMY LEVI STRAUSS</t>
  </si>
  <si>
    <t xml:space="preserve">ZERBIB</t>
  </si>
  <si>
    <t xml:space="preserve">18 RUE DU GENERAL BEURET</t>
  </si>
  <si>
    <t xml:space="preserve">ENTREMONT</t>
  </si>
  <si>
    <t xml:space="preserve">HONNORAT</t>
  </si>
  <si>
    <t xml:space="preserve">19 21 RUE CAMBRONNE</t>
  </si>
  <si>
    <t xml:space="preserve">TERRASSE</t>
  </si>
  <si>
    <t xml:space="preserve">Linda</t>
  </si>
  <si>
    <t xml:space="preserve">19 RUE BARGUE</t>
  </si>
  <si>
    <t xml:space="preserve">CHAMPIER</t>
  </si>
  <si>
    <t xml:space="preserve">199 RUE DE VAUGIRARD</t>
  </si>
  <si>
    <t xml:space="preserve">FERRON FURGE</t>
  </si>
  <si>
    <t xml:space="preserve">HOUDAYER</t>
  </si>
  <si>
    <t xml:space="preserve">2 RUE CORBON</t>
  </si>
  <si>
    <t xml:space="preserve">VERDIER</t>
  </si>
  <si>
    <t xml:space="preserve">2 RUE DES FAVORITES</t>
  </si>
  <si>
    <t xml:space="preserve">GOURLET DESFONTAINES</t>
  </si>
  <si>
    <t xml:space="preserve">CPMI SECHE</t>
  </si>
  <si>
    <t xml:space="preserve">2 RUE LEON SECHE</t>
  </si>
  <si>
    <t xml:space="preserve">DE PANTHOU LECOCQ</t>
  </si>
  <si>
    <t xml:space="preserve">MERESSE JANSSEN</t>
  </si>
  <si>
    <t xml:space="preserve">MAUVISSEAU</t>
  </si>
  <si>
    <t xml:space="preserve">VILLEMAIN</t>
  </si>
  <si>
    <t xml:space="preserve">ROBICHON GHARSALI</t>
  </si>
  <si>
    <t xml:space="preserve">Fatiha</t>
  </si>
  <si>
    <t xml:space="preserve">GUILHERME</t>
  </si>
  <si>
    <t xml:space="preserve">2 SQUARE DU CROISIC</t>
  </si>
  <si>
    <t xml:space="preserve">EVEN</t>
  </si>
  <si>
    <t xml:space="preserve">204 RUE DE VAUGIRARD</t>
  </si>
  <si>
    <t xml:space="preserve">HASTERT</t>
  </si>
  <si>
    <t xml:space="preserve">208 RUE DE VAUGIRARD</t>
  </si>
  <si>
    <t xml:space="preserve">POUJOL</t>
  </si>
  <si>
    <t xml:space="preserve">209 211 RUE DE VAUGIRARD</t>
  </si>
  <si>
    <t xml:space="preserve">ITANI</t>
  </si>
  <si>
    <t xml:space="preserve">Oula</t>
  </si>
  <si>
    <t xml:space="preserve">JEFFERY</t>
  </si>
  <si>
    <t xml:space="preserve">Kim Joanne</t>
  </si>
  <si>
    <t xml:space="preserve">24 BOULEVARD PASTEUR</t>
  </si>
  <si>
    <t xml:space="preserve">LACANT</t>
  </si>
  <si>
    <t xml:space="preserve">25 RUE DE LA CROIX NIVERT</t>
  </si>
  <si>
    <t xml:space="preserve">YVER</t>
  </si>
  <si>
    <t xml:space="preserve">Carine</t>
  </si>
  <si>
    <t xml:space="preserve">254 RUE DE VAUGIRARD</t>
  </si>
  <si>
    <t xml:space="preserve">PROUVOST</t>
  </si>
  <si>
    <t xml:space="preserve">26 RUE PECLET</t>
  </si>
  <si>
    <t xml:space="preserve">DE QUINCEROT</t>
  </si>
  <si>
    <t xml:space="preserve">Anne Charlotte</t>
  </si>
  <si>
    <t xml:space="preserve">27 RUE BLOMET</t>
  </si>
  <si>
    <t xml:space="preserve">GRANDJEAN</t>
  </si>
  <si>
    <t xml:space="preserve">WONG</t>
  </si>
  <si>
    <t xml:space="preserve">ZANA</t>
  </si>
  <si>
    <t xml:space="preserve">27 VILLA CROIX NIVERT</t>
  </si>
  <si>
    <t xml:space="preserve">BROUARD</t>
  </si>
  <si>
    <t xml:space="preserve">277 RUE DE VAUGIRARD</t>
  </si>
  <si>
    <t xml:space="preserve">LOPEZ</t>
  </si>
  <si>
    <t xml:space="preserve">285 RUE DE VAUGIRARD</t>
  </si>
  <si>
    <t xml:space="preserve">MONDOLONI</t>
  </si>
  <si>
    <t xml:space="preserve">3 RUE D ALLERAY</t>
  </si>
  <si>
    <t xml:space="preserve">GIRAUDON</t>
  </si>
  <si>
    <t xml:space="preserve">311 RUE DE VAUGIRARD</t>
  </si>
  <si>
    <t xml:space="preserve">GUILLIET</t>
  </si>
  <si>
    <t xml:space="preserve">317 RUE DE VAUGIRARD</t>
  </si>
  <si>
    <t xml:space="preserve">WISSA</t>
  </si>
  <si>
    <t xml:space="preserve">32 BIS BOULEVARD DE VAUGIRARD</t>
  </si>
  <si>
    <t xml:space="preserve">FROMBAUM</t>
  </si>
  <si>
    <t xml:space="preserve">32 BOULEVARD DE VAUGIRARD</t>
  </si>
  <si>
    <t xml:space="preserve">THIS</t>
  </si>
  <si>
    <t xml:space="preserve">36 RUE DU GENERAL BEURET</t>
  </si>
  <si>
    <t xml:space="preserve">235A</t>
  </si>
  <si>
    <t xml:space="preserve">COSNIER</t>
  </si>
  <si>
    <t xml:space="preserve">CDS ST-JACQUES</t>
  </si>
  <si>
    <t xml:space="preserve">37 RUE DES VOLONTAIRES</t>
  </si>
  <si>
    <t xml:space="preserve">BILLOT</t>
  </si>
  <si>
    <t xml:space="preserve">GOLDSTEIN</t>
  </si>
  <si>
    <t xml:space="preserve">COUTANCEAU</t>
  </si>
  <si>
    <t xml:space="preserve">DE LAJUDIE</t>
  </si>
  <si>
    <t xml:space="preserve">BROGNAUX DEVINOY</t>
  </si>
  <si>
    <t xml:space="preserve">VIVIER DARRAGON</t>
  </si>
  <si>
    <t xml:space="preserve">LAVILLE</t>
  </si>
  <si>
    <t xml:space="preserve">CONTE</t>
  </si>
  <si>
    <t xml:space="preserve">MIRCHER</t>
  </si>
  <si>
    <t xml:space="preserve">Clotilde</t>
  </si>
  <si>
    <t xml:space="preserve">LESCS</t>
  </si>
  <si>
    <t xml:space="preserve">ZURCHER</t>
  </si>
  <si>
    <t xml:space="preserve">Noelle</t>
  </si>
  <si>
    <t xml:space="preserve">DE LA ROBERTIE</t>
  </si>
  <si>
    <t xml:space="preserve">Emeline</t>
  </si>
  <si>
    <t xml:space="preserve">NGUYEN TRONG</t>
  </si>
  <si>
    <t xml:space="preserve">Hieu</t>
  </si>
  <si>
    <t xml:space="preserve">CARRET REBILLAT</t>
  </si>
  <si>
    <t xml:space="preserve">LE CONTE</t>
  </si>
  <si>
    <t xml:space="preserve">JAULT</t>
  </si>
  <si>
    <t xml:space="preserve">CRETU</t>
  </si>
  <si>
    <t xml:space="preserve">Laura Daniela</t>
  </si>
  <si>
    <t xml:space="preserve">DAOUK</t>
  </si>
  <si>
    <t xml:space="preserve">Omar</t>
  </si>
  <si>
    <t xml:space="preserve">37 RUE LECOURBE</t>
  </si>
  <si>
    <t xml:space="preserve">TASLITZKY</t>
  </si>
  <si>
    <t xml:space="preserve">Evelyne</t>
  </si>
  <si>
    <t xml:space="preserve">4 A RUE MARMONTEL</t>
  </si>
  <si>
    <t xml:space="preserve">BRILLANT</t>
  </si>
  <si>
    <t xml:space="preserve">4 IMPASSE MATHIEU</t>
  </si>
  <si>
    <t xml:space="preserve">4 RUE DU DOCTEUR ROUX</t>
  </si>
  <si>
    <t xml:space="preserve">BIGORIE</t>
  </si>
  <si>
    <t xml:space="preserve">4 RUE LEON DELHOMME</t>
  </si>
  <si>
    <t xml:space="preserve">DJABOUROV</t>
  </si>
  <si>
    <t xml:space="preserve">Jeanine</t>
  </si>
  <si>
    <t xml:space="preserve">NOUGAREDE</t>
  </si>
  <si>
    <t xml:space="preserve">ARNAL BERAUD</t>
  </si>
  <si>
    <t xml:space="preserve">DARVES BORNOZ</t>
  </si>
  <si>
    <t xml:space="preserve">48 BOULEVARD DU MONTPARNASSE</t>
  </si>
  <si>
    <t xml:space="preserve">48 RUE PAUL BARRUEL</t>
  </si>
  <si>
    <t xml:space="preserve">PHAM</t>
  </si>
  <si>
    <t xml:space="preserve">ERBAULT</t>
  </si>
  <si>
    <t xml:space="preserve">5 RUE DE LA PROCESSION</t>
  </si>
  <si>
    <t xml:space="preserve">5 RUE FRANCOIS BONVIN</t>
  </si>
  <si>
    <t xml:space="preserve">CHIAVERINI</t>
  </si>
  <si>
    <t xml:space="preserve">52 RUE MADEMOISELLE</t>
  </si>
  <si>
    <t xml:space="preserve">MOUSSALEM</t>
  </si>
  <si>
    <t xml:space="preserve">56 BOULEVARD DU MONTPARNASSE</t>
  </si>
  <si>
    <t xml:space="preserve">ESPOSITO</t>
  </si>
  <si>
    <t xml:space="preserve">KADOURI</t>
  </si>
  <si>
    <t xml:space="preserve">Alane</t>
  </si>
  <si>
    <t xml:space="preserve">BELIER</t>
  </si>
  <si>
    <t xml:space="preserve">59 RUE DE L ABBE GROULT</t>
  </si>
  <si>
    <t xml:space="preserve">ROY</t>
  </si>
  <si>
    <t xml:space="preserve">6 RUE EMILE DUCLAUX</t>
  </si>
  <si>
    <t xml:space="preserve">LE VAGUERESE</t>
  </si>
  <si>
    <t xml:space="preserve">6 RUE MIZON</t>
  </si>
  <si>
    <t xml:space="preserve">ZITOUNI</t>
  </si>
  <si>
    <t xml:space="preserve">Salah</t>
  </si>
  <si>
    <t xml:space="preserve">62 BOULEVARD DU MONTPARNASSE</t>
  </si>
  <si>
    <t xml:space="preserve">VERRIER</t>
  </si>
  <si>
    <t xml:space="preserve">BERTEROTTIERE</t>
  </si>
  <si>
    <t xml:space="preserve">68 BOULEVARD PASTEUR</t>
  </si>
  <si>
    <t xml:space="preserve">Rene</t>
  </si>
  <si>
    <t xml:space="preserve">68 RUE DUTOT</t>
  </si>
  <si>
    <t xml:space="preserve">ROSS</t>
  </si>
  <si>
    <t xml:space="preserve">70 72 RUE MADEMOISELLE</t>
  </si>
  <si>
    <t xml:space="preserve">DOUTRIAUX</t>
  </si>
  <si>
    <t xml:space="preserve">74 RUE LECOURBE</t>
  </si>
  <si>
    <t xml:space="preserve">KOUKI PAINVIN</t>
  </si>
  <si>
    <t xml:space="preserve">Marie Catherine</t>
  </si>
  <si>
    <t xml:space="preserve">76 RUE LECOURBE</t>
  </si>
  <si>
    <t xml:space="preserve">AZZI</t>
  </si>
  <si>
    <t xml:space="preserve">Nayla</t>
  </si>
  <si>
    <t xml:space="preserve">LEBLANC</t>
  </si>
  <si>
    <t xml:space="preserve">8 PLACE FALGUIERE</t>
  </si>
  <si>
    <t xml:space="preserve">MICHEL</t>
  </si>
  <si>
    <t xml:space="preserve">8 RUE CORBON</t>
  </si>
  <si>
    <t xml:space="preserve">HOHENBERG</t>
  </si>
  <si>
    <t xml:space="preserve">8 RUE D ARSONVAL</t>
  </si>
  <si>
    <t xml:space="preserve">CHOPIN HOHENBERG</t>
  </si>
  <si>
    <t xml:space="preserve">BEAUMONT</t>
  </si>
  <si>
    <t xml:space="preserve">8 RUE DE L ARMORIQUE</t>
  </si>
  <si>
    <t xml:space="preserve">HAMMACHE EL KHATIB</t>
  </si>
  <si>
    <t xml:space="preserve">84 BOULEVARD GARIBALDI</t>
  </si>
  <si>
    <t xml:space="preserve">VACQUIER</t>
  </si>
  <si>
    <t xml:space="preserve">88 RUE LECOURBE</t>
  </si>
  <si>
    <t xml:space="preserve">TINGRY</t>
  </si>
  <si>
    <t xml:space="preserve">89 RUE BLOMET</t>
  </si>
  <si>
    <t xml:space="preserve">STEHELIN GAUDILLAT</t>
  </si>
  <si>
    <t xml:space="preserve">WILLEM</t>
  </si>
  <si>
    <t xml:space="preserve">9 RUE DU GENERAL BEURET</t>
  </si>
  <si>
    <t xml:space="preserve">JAURY</t>
  </si>
  <si>
    <t xml:space="preserve">96 RUE LECOURBE</t>
  </si>
  <si>
    <t xml:space="preserve">GODEBERGE</t>
  </si>
  <si>
    <t xml:space="preserve">75PAS</t>
  </si>
  <si>
    <t xml:space="preserve">10 RUE JEAN RICHEPIN</t>
  </si>
  <si>
    <t xml:space="preserve">IMBERT TARRERIAS</t>
  </si>
  <si>
    <t xml:space="preserve">CONTOU</t>
  </si>
  <si>
    <t xml:space="preserve">CORNET</t>
  </si>
  <si>
    <t xml:space="preserve">LASRY BRAOUDE</t>
  </si>
  <si>
    <t xml:space="preserve">10 RUE RAYNOUARD</t>
  </si>
  <si>
    <t xml:space="preserve">ST GERMAIN</t>
  </si>
  <si>
    <t xml:space="preserve">11 RUE DE LA TOUR</t>
  </si>
  <si>
    <t xml:space="preserve">KOVESS MASFETY</t>
  </si>
  <si>
    <t xml:space="preserve">Viviane</t>
  </si>
  <si>
    <t xml:space="preserve">12 AVENUE DE LAMBALLE</t>
  </si>
  <si>
    <t xml:space="preserve">ROYANT PAROLA</t>
  </si>
  <si>
    <t xml:space="preserve">ANDRO</t>
  </si>
  <si>
    <t xml:space="preserve">12 BIS RUE RAYNOUARD</t>
  </si>
  <si>
    <t xml:space="preserve">LE CANUET</t>
  </si>
  <si>
    <t xml:space="preserve">12 BOULEVARD SUCHET</t>
  </si>
  <si>
    <t xml:space="preserve">POCHARD</t>
  </si>
  <si>
    <t xml:space="preserve">12 RUE CORTAMBERT</t>
  </si>
  <si>
    <t xml:space="preserve">IONITA</t>
  </si>
  <si>
    <t xml:space="preserve">Adela</t>
  </si>
  <si>
    <t xml:space="preserve">coordonnées laissées au secrétariat– me rappelera ?</t>
  </si>
  <si>
    <t xml:space="preserve">RAFAL</t>
  </si>
  <si>
    <t xml:space="preserve">12 RUE DE LA POMPE</t>
  </si>
  <si>
    <t xml:space="preserve">Anne Helia</t>
  </si>
  <si>
    <t xml:space="preserve">COLOMBANI</t>
  </si>
  <si>
    <t xml:space="preserve">12 RUE JEAN RICHEPIN</t>
  </si>
  <si>
    <t xml:space="preserve">MICHON RAFFAITIN</t>
  </si>
  <si>
    <t xml:space="preserve">12 RUE OSWALDO CRUZ</t>
  </si>
  <si>
    <t xml:space="preserve">FOUCARD</t>
  </si>
  <si>
    <t xml:space="preserve">12 RUE RAYNOUARD</t>
  </si>
  <si>
    <t xml:space="preserve">MAYEUX</t>
  </si>
  <si>
    <t xml:space="preserve">Pierre Alain</t>
  </si>
  <si>
    <t xml:space="preserve">123 RUE DE LONGCHAMP</t>
  </si>
  <si>
    <t xml:space="preserve">FALLAS</t>
  </si>
  <si>
    <t xml:space="preserve">127 RUE DU RANELAGH</t>
  </si>
  <si>
    <t xml:space="preserve">PHARMACIE PASSY CHERNOVIZ</t>
  </si>
  <si>
    <t xml:space="preserve">13 RUE CHERNOVIZ</t>
  </si>
  <si>
    <t xml:space="preserve">AZZAZENE</t>
  </si>
  <si>
    <t xml:space="preserve">Rachid</t>
  </si>
  <si>
    <t xml:space="preserve">132 RUE DE LONGCHAMP</t>
  </si>
  <si>
    <t xml:space="preserve">COPHIGNON</t>
  </si>
  <si>
    <t xml:space="preserve">LAPRAZ</t>
  </si>
  <si>
    <t xml:space="preserve">133 RUE DU RANELAGH</t>
  </si>
  <si>
    <t xml:space="preserve">MASTAIN</t>
  </si>
  <si>
    <t xml:space="preserve">FIEUX</t>
  </si>
  <si>
    <t xml:space="preserve">Jacques Dominique</t>
  </si>
  <si>
    <t xml:space="preserve">14 AVENUE DU COLONEL BONNET</t>
  </si>
  <si>
    <t xml:space="preserve">VANIER</t>
  </si>
  <si>
    <t xml:space="preserve">14 BIS RUE RAYNOUARD</t>
  </si>
  <si>
    <t xml:space="preserve">GANEM</t>
  </si>
  <si>
    <t xml:space="preserve">14 RUE NICOLO</t>
  </si>
  <si>
    <t xml:space="preserve">AKNIN</t>
  </si>
  <si>
    <t xml:space="preserve">14 RUE RAYNOUARD</t>
  </si>
  <si>
    <t xml:space="preserve">WAJNTRAUB</t>
  </si>
  <si>
    <t xml:space="preserve">15 RUE PETRARQUE</t>
  </si>
  <si>
    <t xml:space="preserve">LUGASSY</t>
  </si>
  <si>
    <t xml:space="preserve">Simon Daniel</t>
  </si>
  <si>
    <t xml:space="preserve">15 RUE SPONTINI</t>
  </si>
  <si>
    <t xml:space="preserve">AIM</t>
  </si>
  <si>
    <t xml:space="preserve">16 AVENUE PAUL DOUMER</t>
  </si>
  <si>
    <t xml:space="preserve">16 BOULEVARD EMILE AUGIER</t>
  </si>
  <si>
    <t xml:space="preserve">SEPT – DOCTOLIB</t>
  </si>
  <si>
    <t xml:space="preserve">CLERY MELIN</t>
  </si>
  <si>
    <t xml:space="preserve">Marie Laure</t>
  </si>
  <si>
    <t xml:space="preserve">SABBAN SERFATI</t>
  </si>
  <si>
    <t xml:space="preserve">17 CHAUSSEE DE LA MUETTE</t>
  </si>
  <si>
    <t xml:space="preserve">DELAFONTAINE</t>
  </si>
  <si>
    <t xml:space="preserve">17 RUE DE LA POMPE</t>
  </si>
  <si>
    <t xml:space="preserve">MENAHEM</t>
  </si>
  <si>
    <t xml:space="preserve">MENAHEM MILHAU</t>
  </si>
  <si>
    <t xml:space="preserve">GOURION</t>
  </si>
  <si>
    <t xml:space="preserve">17 RUE DES MARRONNIERS</t>
  </si>
  <si>
    <t xml:space="preserve">RAFFAITIN</t>
  </si>
  <si>
    <t xml:space="preserve">GERARD</t>
  </si>
  <si>
    <t xml:space="preserve">GAILLARD</t>
  </si>
  <si>
    <t xml:space="preserve">Adeline</t>
  </si>
  <si>
    <t xml:space="preserve">ZARCA</t>
  </si>
  <si>
    <t xml:space="preserve">17 RUE PETRARQUE</t>
  </si>
  <si>
    <t xml:space="preserve">ROGER</t>
  </si>
  <si>
    <t xml:space="preserve">192 194 AVENUE VICTOR HUGO</t>
  </si>
  <si>
    <t xml:space="preserve">2 BIS SQUARE LAMARTINE</t>
  </si>
  <si>
    <t xml:space="preserve">LAUNAY</t>
  </si>
  <si>
    <t xml:space="preserve">POJIDAEVA</t>
  </si>
  <si>
    <t xml:space="preserve">Ianina</t>
  </si>
  <si>
    <t xml:space="preserve">SEGUY</t>
  </si>
  <si>
    <t xml:space="preserve">2 PLACE DE PASSY</t>
  </si>
  <si>
    <t xml:space="preserve">2 RUE ANDRE PASCAL</t>
  </si>
  <si>
    <t xml:space="preserve">CATTAN</t>
  </si>
  <si>
    <t xml:space="preserve">2 RUE ROBERT LE COIN</t>
  </si>
  <si>
    <t xml:space="preserve">MENARD</t>
  </si>
  <si>
    <t xml:space="preserve">2 SQUARE MIGNOT</t>
  </si>
  <si>
    <t xml:space="preserve">AUDEBERT</t>
  </si>
  <si>
    <t xml:space="preserve">20 RUE RAYNOUARD</t>
  </si>
  <si>
    <t xml:space="preserve">EMMANUELLI</t>
  </si>
  <si>
    <t xml:space="preserve">20 RUE SCHEFFER</t>
  </si>
  <si>
    <t xml:space="preserve">FIN</t>
  </si>
  <si>
    <t xml:space="preserve">MIKO KEPES</t>
  </si>
  <si>
    <t xml:space="preserve">Marise</t>
  </si>
  <si>
    <t xml:space="preserve">23 BOULEVARD DELESSERT</t>
  </si>
  <si>
    <t xml:space="preserve">BENZEKRI</t>
  </si>
  <si>
    <t xml:space="preserve">29 RUE DAVIOUD</t>
  </si>
  <si>
    <t xml:space="preserve">MODIANO</t>
  </si>
  <si>
    <t xml:space="preserve">3 BOULEVARD EMILE AUGIER</t>
  </si>
  <si>
    <t xml:space="preserve">ACHE</t>
  </si>
  <si>
    <t xml:space="preserve">3 RUE DE MONTEVIDEO</t>
  </si>
  <si>
    <t xml:space="preserve">VASRAM</t>
  </si>
  <si>
    <t xml:space="preserve">Moustafa</t>
  </si>
  <si>
    <t xml:space="preserve">31 RUE DE LA TOUR</t>
  </si>
  <si>
    <t xml:space="preserve">LARANGOT ROUFFET</t>
  </si>
  <si>
    <t xml:space="preserve">33 RUE BENJAMIN FRANKLIN</t>
  </si>
  <si>
    <t xml:space="preserve">PIGNE</t>
  </si>
  <si>
    <t xml:space="preserve">33 RUE DE LA TOUR</t>
  </si>
  <si>
    <t xml:space="preserve">VIGNAL</t>
  </si>
  <si>
    <t xml:space="preserve">33 RUE NICOLO</t>
  </si>
  <si>
    <t xml:space="preserve">SIOBUD DOROCANT</t>
  </si>
  <si>
    <t xml:space="preserve">Eryc</t>
  </si>
  <si>
    <t xml:space="preserve">36 BIS RUE NICOLO</t>
  </si>
  <si>
    <t xml:space="preserve">ADAM</t>
  </si>
  <si>
    <t xml:space="preserve">36 RUE SCHEFFER</t>
  </si>
  <si>
    <t xml:space="preserve">KOLLEN</t>
  </si>
  <si>
    <t xml:space="preserve">37 BOULEVARD LANNES</t>
  </si>
  <si>
    <t xml:space="preserve">MESNARD DELOCHE</t>
  </si>
  <si>
    <t xml:space="preserve">4 AVENUE DE CAMOENS</t>
  </si>
  <si>
    <t xml:space="preserve">LAROQUE</t>
  </si>
  <si>
    <t xml:space="preserve">4 BOULEVARD FLANDRIN</t>
  </si>
  <si>
    <t xml:space="preserve">BEGHI</t>
  </si>
  <si>
    <t xml:space="preserve">4 RUE LARGILLIERE</t>
  </si>
  <si>
    <t xml:space="preserve">COURBIN</t>
  </si>
  <si>
    <t xml:space="preserve">SARFATI</t>
  </si>
  <si>
    <t xml:space="preserve">INS MÉD DE FERTILITÉ</t>
  </si>
  <si>
    <t xml:space="preserve">4 SQUARE THIERS</t>
  </si>
  <si>
    <t xml:space="preserve">LAMBERT</t>
  </si>
  <si>
    <t xml:space="preserve">Sixtine</t>
  </si>
  <si>
    <t xml:space="preserve">OUAZANA</t>
  </si>
  <si>
    <t xml:space="preserve">SADOUN</t>
  </si>
  <si>
    <t xml:space="preserve">SEBBAG</t>
  </si>
  <si>
    <t xml:space="preserve">Lauren</t>
  </si>
  <si>
    <t xml:space="preserve">BATON</t>
  </si>
  <si>
    <t xml:space="preserve">41 49 RUE DE PASSY</t>
  </si>
  <si>
    <t xml:space="preserve">NOVEMBRE</t>
  </si>
  <si>
    <t xml:space="preserve">BENAIM</t>
  </si>
  <si>
    <t xml:space="preserve">MAVROV ALMOSNI</t>
  </si>
  <si>
    <t xml:space="preserve">Donka</t>
  </si>
  <si>
    <t xml:space="preserve">42 RUE DE LA POMPE</t>
  </si>
  <si>
    <t xml:space="preserve">CLI DE LA MUETTE</t>
  </si>
  <si>
    <t xml:space="preserve">46 48 RUE NICOLO</t>
  </si>
  <si>
    <t xml:space="preserve">BOUJENAH</t>
  </si>
  <si>
    <t xml:space="preserve">Arry</t>
  </si>
  <si>
    <t xml:space="preserve">CHEVALLIER</t>
  </si>
  <si>
    <t xml:space="preserve">RAMBAUD</t>
  </si>
  <si>
    <t xml:space="preserve">DAHAN</t>
  </si>
  <si>
    <t xml:space="preserve">Michael</t>
  </si>
  <si>
    <t xml:space="preserve">MARZOUK</t>
  </si>
  <si>
    <t xml:space="preserve">AKERMAN</t>
  </si>
  <si>
    <t xml:space="preserve">BENZAKINE</t>
  </si>
  <si>
    <t xml:space="preserve">FRAYRET</t>
  </si>
  <si>
    <t xml:space="preserve">MORVAN</t>
  </si>
  <si>
    <t xml:space="preserve">BOHBOT</t>
  </si>
  <si>
    <t xml:space="preserve">46 AVENUE MOZART</t>
  </si>
  <si>
    <t xml:space="preserve">CHEVRANT BRETON</t>
  </si>
  <si>
    <t xml:space="preserve">46 RUE NICOLO</t>
  </si>
  <si>
    <t xml:space="preserve">DESMOULINS</t>
  </si>
  <si>
    <t xml:space="preserve">46 RUE VITAL</t>
  </si>
  <si>
    <t xml:space="preserve">FAESCH GERARD</t>
  </si>
  <si>
    <t xml:space="preserve">CHAMPION</t>
  </si>
  <si>
    <t xml:space="preserve">47 AVENUE PAUL DOUMER</t>
  </si>
  <si>
    <t xml:space="preserve">TIETART FROGE</t>
  </si>
  <si>
    <t xml:space="preserve">49 RUE DE BOULAINVILLIERS</t>
  </si>
  <si>
    <t xml:space="preserve">DE BERC</t>
  </si>
  <si>
    <t xml:space="preserve">Hugues</t>
  </si>
  <si>
    <t xml:space="preserve">49 RUE DU RANELAGH</t>
  </si>
  <si>
    <t xml:space="preserve">RABAIN</t>
  </si>
  <si>
    <t xml:space="preserve">5 BIS RUE LE TASSE</t>
  </si>
  <si>
    <t xml:space="preserve">SALFATI</t>
  </si>
  <si>
    <t xml:space="preserve">5 RUE DAVIOUD</t>
  </si>
  <si>
    <t xml:space="preserve">DESANGES ZABE</t>
  </si>
  <si>
    <t xml:space="preserve">5 RUE FAUSTIN HELIE</t>
  </si>
  <si>
    <t xml:space="preserve">NAIM</t>
  </si>
  <si>
    <t xml:space="preserve">53 RUE DECAMPS</t>
  </si>
  <si>
    <t xml:space="preserve">54 AVENUE MOZART</t>
  </si>
  <si>
    <t xml:space="preserve">LAMAGNERE</t>
  </si>
  <si>
    <t xml:space="preserve">CORNIER</t>
  </si>
  <si>
    <t xml:space="preserve">Edgar</t>
  </si>
  <si>
    <t xml:space="preserve">55 AVENUE BUGEAUD</t>
  </si>
  <si>
    <t xml:space="preserve">Christophe Loic</t>
  </si>
  <si>
    <t xml:space="preserve">57 AVENUE GEORGES MANDEL</t>
  </si>
  <si>
    <t xml:space="preserve">CHARPENTIER DE PUGET</t>
  </si>
  <si>
    <t xml:space="preserve">6 RUE CLAUDE CHAHU</t>
  </si>
  <si>
    <t xml:space="preserve">BOUSQUET</t>
  </si>
  <si>
    <t xml:space="preserve">6 RUE EUGENE DELACROIX</t>
  </si>
  <si>
    <t xml:space="preserve">BARDE</t>
  </si>
  <si>
    <t xml:space="preserve">60 AVENUE DE NEW YORK</t>
  </si>
  <si>
    <t xml:space="preserve">DEBESSE</t>
  </si>
  <si>
    <t xml:space="preserve">Ismat</t>
  </si>
  <si>
    <t xml:space="preserve">TESQUIER</t>
  </si>
  <si>
    <t xml:space="preserve">60 AVENUE PAUL DOUMER</t>
  </si>
  <si>
    <t xml:space="preserve">BOURET</t>
  </si>
  <si>
    <t xml:space="preserve">GUILLAT</t>
  </si>
  <si>
    <t xml:space="preserve">60 BOULEVARD EMILE AUGIER</t>
  </si>
  <si>
    <t xml:space="preserve">AMOUYAL</t>
  </si>
  <si>
    <t xml:space="preserve">SLAMA</t>
  </si>
  <si>
    <t xml:space="preserve">60 RUE DU RANELAGH</t>
  </si>
  <si>
    <t xml:space="preserve">PONSOT</t>
  </si>
  <si>
    <t xml:space="preserve">62 RUE DE LA TOUR</t>
  </si>
  <si>
    <t xml:space="preserve">DE LOUBENS</t>
  </si>
  <si>
    <t xml:space="preserve">PALAZZO</t>
  </si>
  <si>
    <t xml:space="preserve">SARROT</t>
  </si>
  <si>
    <t xml:space="preserve">65 RUE NICOLO</t>
  </si>
  <si>
    <t xml:space="preserve">BOUDJEMA</t>
  </si>
  <si>
    <t xml:space="preserve">Jamail Pascal</t>
  </si>
  <si>
    <t xml:space="preserve">69 RUE DE LA TOUR</t>
  </si>
  <si>
    <t xml:space="preserve">DRIGUEZ</t>
  </si>
  <si>
    <t xml:space="preserve">Pierre Andre</t>
  </si>
  <si>
    <t xml:space="preserve">7 RUE CHERNOVIZ</t>
  </si>
  <si>
    <t xml:space="preserve">DADOUN GEROMETTA</t>
  </si>
  <si>
    <t xml:space="preserve">Rafaele</t>
  </si>
  <si>
    <t xml:space="preserve">7 RUE DE LA POMPE</t>
  </si>
  <si>
    <t xml:space="preserve">BANERJEE</t>
  </si>
  <si>
    <t xml:space="preserve">Anandadev</t>
  </si>
  <si>
    <t xml:space="preserve">DAMMAK</t>
  </si>
  <si>
    <t xml:space="preserve">Amira</t>
  </si>
  <si>
    <t xml:space="preserve">7 RUE MASSENET</t>
  </si>
  <si>
    <t xml:space="preserve">AUSTRUY</t>
  </si>
  <si>
    <t xml:space="preserve">74 AVENUE PAUL DOUMER</t>
  </si>
  <si>
    <t xml:space="preserve">ANJOU</t>
  </si>
  <si>
    <t xml:space="preserve">74 RUE DE LA TOUR</t>
  </si>
  <si>
    <t xml:space="preserve">FARHAT</t>
  </si>
  <si>
    <t xml:space="preserve">Mounir</t>
  </si>
  <si>
    <t xml:space="preserve">76 RUE DE LA TOUR</t>
  </si>
  <si>
    <t xml:space="preserve">app am</t>
  </si>
  <si>
    <t xml:space="preserve">PEWZNER APELOIG</t>
  </si>
  <si>
    <t xml:space="preserve">76 RUE DU RANELAGH</t>
  </si>
  <si>
    <t xml:space="preserve">CHOURAQUI</t>
  </si>
  <si>
    <t xml:space="preserve">Albert</t>
  </si>
  <si>
    <t xml:space="preserve">77 AVENUE PAUL DOUMER</t>
  </si>
  <si>
    <t xml:space="preserve">CHAUCHARD</t>
  </si>
  <si>
    <t xml:space="preserve">TAKUN</t>
  </si>
  <si>
    <t xml:space="preserve">Khalil</t>
  </si>
  <si>
    <t xml:space="preserve">8 AVENUE VION WHITCOMB</t>
  </si>
  <si>
    <t xml:space="preserve">DELUBAC</t>
  </si>
  <si>
    <t xml:space="preserve">8 RUE JEAN RICHEPIN</t>
  </si>
  <si>
    <t xml:space="preserve">DE QUILLACQ</t>
  </si>
  <si>
    <t xml:space="preserve">ACHIR</t>
  </si>
  <si>
    <t xml:space="preserve">Mokrane</t>
  </si>
  <si>
    <t xml:space="preserve">8 RUE LEKAIN</t>
  </si>
  <si>
    <t xml:space="preserve">BENAMOUR</t>
  </si>
  <si>
    <t xml:space="preserve">8 SQUARE THIERS</t>
  </si>
  <si>
    <t xml:space="preserve">APP AM</t>
  </si>
  <si>
    <t xml:space="preserve">THORPE</t>
  </si>
  <si>
    <t xml:space="preserve">BROOMAND</t>
  </si>
  <si>
    <t xml:space="preserve">NEVI</t>
  </si>
  <si>
    <t xml:space="preserve">Christilla</t>
  </si>
  <si>
    <t xml:space="preserve">80 AVENUE PAUL DOUMER</t>
  </si>
  <si>
    <t xml:space="preserve">GRONIER</t>
  </si>
  <si>
    <t xml:space="preserve">BOISSIN</t>
  </si>
  <si>
    <t xml:space="preserve">86 RUE DU RANELAGH</t>
  </si>
  <si>
    <t xml:space="preserve">NAKAB</t>
  </si>
  <si>
    <t xml:space="preserve">89 RUE DE LA POMPE</t>
  </si>
  <si>
    <t xml:space="preserve">HAICAULT DE LA REGONTAIS</t>
  </si>
  <si>
    <t xml:space="preserve">Ghislain</t>
  </si>
  <si>
    <t xml:space="preserve">9 RUE DE SIAM</t>
  </si>
  <si>
    <t xml:space="preserve">BENZAKEN</t>
  </si>
  <si>
    <t xml:space="preserve">90 AVENUE PAUL DOUMER</t>
  </si>
  <si>
    <t xml:space="preserve">HOUDRET</t>
  </si>
  <si>
    <t xml:space="preserve">94 BOULEVARD FLANDRIN</t>
  </si>
  <si>
    <t xml:space="preserve">Hong Mai</t>
  </si>
  <si>
    <t xml:space="preserve">95 RUE DE LA FAISANDERIE</t>
  </si>
  <si>
    <t xml:space="preserve">75PER</t>
  </si>
  <si>
    <t xml:space="preserve">&amp; BOULEVARD DE COURCELLES</t>
  </si>
  <si>
    <t xml:space="preserve">BITOUN</t>
  </si>
  <si>
    <t xml:space="preserve">1 RUE DE CHAZELLES</t>
  </si>
  <si>
    <t xml:space="preserve">CREQUAT</t>
  </si>
  <si>
    <t xml:space="preserve">Joel</t>
  </si>
  <si>
    <t xml:space="preserve">1 RUE DU PRINTEMPS</t>
  </si>
  <si>
    <t xml:space="preserve">FRENKEL</t>
  </si>
  <si>
    <t xml:space="preserve">Annie Laure</t>
  </si>
  <si>
    <t xml:space="preserve">10 RUE EDOUARD DETAILLE</t>
  </si>
  <si>
    <t xml:space="preserve">PALLANCA</t>
  </si>
  <si>
    <t xml:space="preserve">VIENNOT</t>
  </si>
  <si>
    <t xml:space="preserve">COUTRIS</t>
  </si>
  <si>
    <t xml:space="preserve">LEROYER</t>
  </si>
  <si>
    <t xml:space="preserve">Inactif</t>
  </si>
  <si>
    <t xml:space="preserve">BUI</t>
  </si>
  <si>
    <t xml:space="preserve">Thuy Thao</t>
  </si>
  <si>
    <t xml:space="preserve">ne donne pas de rdv pour l’instyant</t>
  </si>
  <si>
    <t xml:space="preserve">MAURICE</t>
  </si>
  <si>
    <t xml:space="preserve">105 BOULEVARD PEREIRE</t>
  </si>
  <si>
    <t xml:space="preserve">KADOUCH</t>
  </si>
  <si>
    <t xml:space="preserve">105 RUE DE COURCELLES</t>
  </si>
  <si>
    <t xml:space="preserve">ALBERT</t>
  </si>
  <si>
    <t xml:space="preserve">NAUDY</t>
  </si>
  <si>
    <t xml:space="preserve">11 BIS RUE AMPERE</t>
  </si>
  <si>
    <t xml:space="preserve">MERIGNARGUES</t>
  </si>
  <si>
    <t xml:space="preserve">11 RUE LEON COGNIET</t>
  </si>
  <si>
    <t xml:space="preserve">DECOURT</t>
  </si>
  <si>
    <t xml:space="preserve">110 AVENUE DE VILLIERS</t>
  </si>
  <si>
    <t xml:space="preserve">VINCENTI BOSCHI</t>
  </si>
  <si>
    <t xml:space="preserve">112 BOULEVARD PEREIRE</t>
  </si>
  <si>
    <t xml:space="preserve">12 RUE THEODULE RIBOT</t>
  </si>
  <si>
    <t xml:space="preserve">EL BEZ COHEN SCALI</t>
  </si>
  <si>
    <t xml:space="preserve">123 AVENUE DE WAGRAM</t>
  </si>
  <si>
    <t xml:space="preserve">CHASSET OMNES</t>
  </si>
  <si>
    <t xml:space="preserve">DANAN</t>
  </si>
  <si>
    <t xml:space="preserve">13 RUE DE TOCQUEVILLE</t>
  </si>
  <si>
    <t xml:space="preserve">131 RUE DES DAMES</t>
  </si>
  <si>
    <t xml:space="preserve">14/17</t>
  </si>
  <si>
    <t xml:space="preserve">HAMOU PLOTKINE</t>
  </si>
  <si>
    <t xml:space="preserve">133 BOULEVARD MALESHERBES</t>
  </si>
  <si>
    <t xml:space="preserve">BISROR</t>
  </si>
  <si>
    <t xml:space="preserve">138 RUE DE COURCELLES</t>
  </si>
  <si>
    <t xml:space="preserve">MEYER FRANCISCO</t>
  </si>
  <si>
    <t xml:space="preserve">ANTIER</t>
  </si>
  <si>
    <t xml:space="preserve">Edwige</t>
  </si>
  <si>
    <t xml:space="preserve">REGENSBERG DE ANDREIS</t>
  </si>
  <si>
    <t xml:space="preserve">14 16 RUE DAUBIGNY</t>
  </si>
  <si>
    <t xml:space="preserve">ITTAH</t>
  </si>
  <si>
    <t xml:space="preserve">14 RUE GUSTAVE DORE</t>
  </si>
  <si>
    <t xml:space="preserve">EL MOUHEBB</t>
  </si>
  <si>
    <t xml:space="preserve">Muhieddine</t>
  </si>
  <si>
    <t xml:space="preserve">LECHEQUE</t>
  </si>
  <si>
    <t xml:space="preserve">LAHANA</t>
  </si>
  <si>
    <t xml:space="preserve">Armand</t>
  </si>
  <si>
    <t xml:space="preserve">The Hung</t>
  </si>
  <si>
    <t xml:space="preserve">141 BOULEVARD PEREIRE</t>
  </si>
  <si>
    <t xml:space="preserve">DE LAROQUE</t>
  </si>
  <si>
    <t xml:space="preserve">145 RUE DE ROME</t>
  </si>
  <si>
    <t xml:space="preserve">HARLE</t>
  </si>
  <si>
    <t xml:space="preserve">146 BOULEVARD PEREIRE</t>
  </si>
  <si>
    <t xml:space="preserve">DELAR</t>
  </si>
  <si>
    <t xml:space="preserve">146 RUE DE COURCELLES</t>
  </si>
  <si>
    <t xml:space="preserve">RUDOWSKI</t>
  </si>
  <si>
    <t xml:space="preserve">147 BOULEVARD MALESHERBES</t>
  </si>
  <si>
    <t xml:space="preserve">15 AVENUE DE VILLIERS</t>
  </si>
  <si>
    <t xml:space="preserve">MOUY</t>
  </si>
  <si>
    <t xml:space="preserve">15 RUE EUGENE FLACHAT</t>
  </si>
  <si>
    <t xml:space="preserve">HERVE</t>
  </si>
  <si>
    <t xml:space="preserve">151 AVENUE DE WAGRAM</t>
  </si>
  <si>
    <t xml:space="preserve">LAFITE</t>
  </si>
  <si>
    <t xml:space="preserve">CHEVALIER</t>
  </si>
  <si>
    <t xml:space="preserve">157 AVENUE DE WAGRAM</t>
  </si>
  <si>
    <t xml:space="preserve">PHARMACIE COURCELLES DEMOURS</t>
  </si>
  <si>
    <t xml:space="preserve">162 RUE DE COURCELLES</t>
  </si>
  <si>
    <t xml:space="preserve">164 RUE DE COURCELLES</t>
  </si>
  <si>
    <t xml:space="preserve">KUTNER</t>
  </si>
  <si>
    <t xml:space="preserve">GODET</t>
  </si>
  <si>
    <t xml:space="preserve">165 RUE DE COURCELLES</t>
  </si>
  <si>
    <t xml:space="preserve">VORONITCHEVA</t>
  </si>
  <si>
    <t xml:space="preserve">Margarita</t>
  </si>
  <si>
    <t xml:space="preserve">17 RUE ALFRED ROLL</t>
  </si>
  <si>
    <t xml:space="preserve">DECUP</t>
  </si>
  <si>
    <t xml:space="preserve">172 BOULEVARD BERTHIER</t>
  </si>
  <si>
    <t xml:space="preserve">MONSONEGO</t>
  </si>
  <si>
    <t xml:space="preserve">174 RUE DE COURCELLES</t>
  </si>
  <si>
    <t xml:space="preserve">SALVATORE</t>
  </si>
  <si>
    <t xml:space="preserve">Ornella</t>
  </si>
  <si>
    <t xml:space="preserve">PEYREFITTE</t>
  </si>
  <si>
    <t xml:space="preserve">18 RUE PHILIBERT DELORME</t>
  </si>
  <si>
    <t xml:space="preserve">SALZGEBER</t>
  </si>
  <si>
    <t xml:space="preserve">18 RUE SALNEUVE</t>
  </si>
  <si>
    <t xml:space="preserve">BERCOT</t>
  </si>
  <si>
    <t xml:space="preserve">Henry</t>
  </si>
  <si>
    <t xml:space="preserve">18 RUE THEODULE RIBOT</t>
  </si>
  <si>
    <t xml:space="preserve">KADDIOUI MAALEJ</t>
  </si>
  <si>
    <t xml:space="preserve">Sahar</t>
  </si>
  <si>
    <t xml:space="preserve">187 RUE DE COURCELLES</t>
  </si>
  <si>
    <t xml:space="preserve">TRESOR</t>
  </si>
  <si>
    <t xml:space="preserve">GOETA</t>
  </si>
  <si>
    <t xml:space="preserve">19 RUE AMPERE</t>
  </si>
  <si>
    <t xml:space="preserve">DUPAGNE</t>
  </si>
  <si>
    <t xml:space="preserve">2 RUE DE PHALSBOURG</t>
  </si>
  <si>
    <t xml:space="preserve">BRZAKOWSKI</t>
  </si>
  <si>
    <t xml:space="preserve">Melanie</t>
  </si>
  <si>
    <t xml:space="preserve">2 RUE GEORGES BERGER</t>
  </si>
  <si>
    <t xml:space="preserve">DAVY</t>
  </si>
  <si>
    <t xml:space="preserve">AUBERT</t>
  </si>
  <si>
    <t xml:space="preserve">LANDOWSKI</t>
  </si>
  <si>
    <t xml:space="preserve">ADAME</t>
  </si>
  <si>
    <t xml:space="preserve">2 VILLA MONCEAU</t>
  </si>
  <si>
    <t xml:space="preserve">BERREBY</t>
  </si>
  <si>
    <t xml:space="preserve">21 BIS RUE GALVANI</t>
  </si>
  <si>
    <t xml:space="preserve">FRIEDERICH</t>
  </si>
  <si>
    <t xml:space="preserve">21 RUE DE CHAZELLES</t>
  </si>
  <si>
    <t xml:space="preserve">THOURY</t>
  </si>
  <si>
    <t xml:space="preserve">LUNEAU</t>
  </si>
  <si>
    <t xml:space="preserve">PORTES</t>
  </si>
  <si>
    <t xml:space="preserve">24 RUE CARDINET</t>
  </si>
  <si>
    <t xml:space="preserve">HAZEN</t>
  </si>
  <si>
    <t xml:space="preserve">26 AVENUE DE VILLIERS</t>
  </si>
  <si>
    <t xml:space="preserve">LAMY</t>
  </si>
  <si>
    <t xml:space="preserve">27 RUE CURNONSKY</t>
  </si>
  <si>
    <t xml:space="preserve">RACKOW</t>
  </si>
  <si>
    <t xml:space="preserve">27 RUE DE TOCQUEVILLE</t>
  </si>
  <si>
    <t xml:space="preserve">rappeler après le 24/10</t>
  </si>
  <si>
    <t xml:space="preserve">GIROULT</t>
  </si>
  <si>
    <t xml:space="preserve">TISSERAND</t>
  </si>
  <si>
    <t xml:space="preserve">LOTERSZTAJN</t>
  </si>
  <si>
    <t xml:space="preserve">3 RUE GOUNOD</t>
  </si>
  <si>
    <t xml:space="preserve">ALCARAZ</t>
  </si>
  <si>
    <t xml:space="preserve">31 33 RUE HENRI ROCHEFORT</t>
  </si>
  <si>
    <t xml:space="preserve">BENRABAH</t>
  </si>
  <si>
    <t xml:space="preserve">Rabah</t>
  </si>
  <si>
    <t xml:space="preserve">32 BOULEVARD DE COURCELLES</t>
  </si>
  <si>
    <t xml:space="preserve">HAZOUT</t>
  </si>
  <si>
    <t xml:space="preserve">34 RUE FORTUNY</t>
  </si>
  <si>
    <t xml:space="preserve">BERDUGO</t>
  </si>
  <si>
    <t xml:space="preserve">Lior</t>
  </si>
  <si>
    <t xml:space="preserve">BRAKA HASSAN</t>
  </si>
  <si>
    <t xml:space="preserve">Deborah</t>
  </si>
  <si>
    <t xml:space="preserve">36 RUE DE LEVIS</t>
  </si>
  <si>
    <t xml:space="preserve">AMIABLE</t>
  </si>
  <si>
    <t xml:space="preserve">37 RUE AMPERE</t>
  </si>
  <si>
    <t xml:space="preserve">DENISTY</t>
  </si>
  <si>
    <t xml:space="preserve">Michel Patrick</t>
  </si>
  <si>
    <t xml:space="preserve">38 RUE DE LEVIS</t>
  </si>
  <si>
    <t xml:space="preserve">NIZARD</t>
  </si>
  <si>
    <t xml:space="preserve">4 AVENUE GOURGAUD</t>
  </si>
  <si>
    <t xml:space="preserve">GARCON</t>
  </si>
  <si>
    <t xml:space="preserve">Alexis</t>
  </si>
  <si>
    <t xml:space="preserve">BLANQUER</t>
  </si>
  <si>
    <t xml:space="preserve">4 BOULEVARD PEREIRE</t>
  </si>
  <si>
    <t xml:space="preserve">NORTIER</t>
  </si>
  <si>
    <t xml:space="preserve">Erik</t>
  </si>
  <si>
    <t xml:space="preserve">4 PLACE DU GENERAL CATROUX</t>
  </si>
  <si>
    <t xml:space="preserve">4 RUE DULONG</t>
  </si>
  <si>
    <t xml:space="preserve">BESSE ASSOULY</t>
  </si>
  <si>
    <t xml:space="preserve">4 RUE MILNE EDWARDS</t>
  </si>
  <si>
    <t xml:space="preserve">MEUNIER HERMAN</t>
  </si>
  <si>
    <t xml:space="preserve">MONNIER</t>
  </si>
  <si>
    <t xml:space="preserve">44 RUE DE TOCQUEVILLE</t>
  </si>
  <si>
    <t xml:space="preserve">LECOLLIER</t>
  </si>
  <si>
    <t xml:space="preserve">49 RUE AMPERE</t>
  </si>
  <si>
    <t xml:space="preserve">BACHE</t>
  </si>
  <si>
    <t xml:space="preserve">5 RUE LEON COGNIET</t>
  </si>
  <si>
    <t xml:space="preserve">BARUCH</t>
  </si>
  <si>
    <t xml:space="preserve">Dan</t>
  </si>
  <si>
    <t xml:space="preserve">5 RUE THEODULE RIBOT</t>
  </si>
  <si>
    <t xml:space="preserve">DE BARY</t>
  </si>
  <si>
    <t xml:space="preserve">DERRAR</t>
  </si>
  <si>
    <t xml:space="preserve">Naima</t>
  </si>
  <si>
    <t xml:space="preserve">54 RUE CARDINET</t>
  </si>
  <si>
    <t xml:space="preserve">LANTZ</t>
  </si>
  <si>
    <t xml:space="preserve">NAOURI VISCHEL</t>
  </si>
  <si>
    <t xml:space="preserve">54 RUE DE PRONY</t>
  </si>
  <si>
    <t xml:space="preserve">LAUNOIS LANBA</t>
  </si>
  <si>
    <t xml:space="preserve">BRENOT</t>
  </si>
  <si>
    <t xml:space="preserve">DYLGJERI</t>
  </si>
  <si>
    <t xml:space="preserve">Suela</t>
  </si>
  <si>
    <t xml:space="preserve">55 RUE LAUGIER</t>
  </si>
  <si>
    <t xml:space="preserve">BEUSTES STEFANELLI</t>
  </si>
  <si>
    <t xml:space="preserve">Mathieu</t>
  </si>
  <si>
    <t xml:space="preserve">6 RUE AMPERE</t>
  </si>
  <si>
    <t xml:space="preserve">BOUDJABI FADLI</t>
  </si>
  <si>
    <t xml:space="preserve">LYS</t>
  </si>
  <si>
    <t xml:space="preserve">6 RUE DE LOGELBACH</t>
  </si>
  <si>
    <t xml:space="preserve">lys.michel@wanadoo.fr</t>
  </si>
  <si>
    <t xml:space="preserve">ZITOUN</t>
  </si>
  <si>
    <t xml:space="preserve">6 RUE GOUNOD</t>
  </si>
  <si>
    <t xml:space="preserve">Esther</t>
  </si>
  <si>
    <t xml:space="preserve">62 RUE LEGENDRE</t>
  </si>
  <si>
    <t xml:space="preserve">ROZENTAL</t>
  </si>
  <si>
    <t xml:space="preserve">66 RUE JOUFFROY D ABBANS</t>
  </si>
  <si>
    <t xml:space="preserve">INFO FLO</t>
  </si>
  <si>
    <t xml:space="preserve">GUIRGIS</t>
  </si>
  <si>
    <t xml:space="preserve">MOUTOT</t>
  </si>
  <si>
    <t xml:space="preserve">Maurice</t>
  </si>
  <si>
    <t xml:space="preserve">68 BOULEVARD DE COURCELLES</t>
  </si>
  <si>
    <t xml:space="preserve">LAGACHE</t>
  </si>
  <si>
    <t xml:space="preserve">Corine</t>
  </si>
  <si>
    <t xml:space="preserve">7 AVENUE DE VILLIERS</t>
  </si>
  <si>
    <t xml:space="preserve">BELHADJ</t>
  </si>
  <si>
    <t xml:space="preserve">Kheireddine</t>
  </si>
  <si>
    <t xml:space="preserve">7 AVENUE GOURGAUD</t>
  </si>
  <si>
    <t xml:space="preserve">pas intéressé</t>
  </si>
  <si>
    <t xml:space="preserve">SELLEM HABIB</t>
  </si>
  <si>
    <t xml:space="preserve">7 AVENUE PAUL ADAM</t>
  </si>
  <si>
    <t xml:space="preserve">KISSELEVA ROMANOVA HOOGHE</t>
  </si>
  <si>
    <t xml:space="preserve">7 PLACE DU GENERAL CATROUX</t>
  </si>
  <si>
    <t xml:space="preserve">PHARMACIE DU MARECHAL JUIN</t>
  </si>
  <si>
    <t xml:space="preserve">7 PLACE DU MARECHAL JUIN</t>
  </si>
  <si>
    <t xml:space="preserve">CESSOT</t>
  </si>
  <si>
    <t xml:space="preserve">7 RUE DESCOMBES</t>
  </si>
  <si>
    <t xml:space="preserve">MUCKENSTURM</t>
  </si>
  <si>
    <t xml:space="preserve">7 VILLA MONCEAU</t>
  </si>
  <si>
    <t xml:space="preserve">DE CHOULY DE LENCLAVE</t>
  </si>
  <si>
    <t xml:space="preserve">Marie Berangere</t>
  </si>
  <si>
    <t xml:space="preserve">72 BOULEVARD DE COURCELLES</t>
  </si>
  <si>
    <t xml:space="preserve">ARTRU</t>
  </si>
  <si>
    <t xml:space="preserve">Solene</t>
  </si>
  <si>
    <t xml:space="preserve">73 RUE DE SAUSSURE</t>
  </si>
  <si>
    <t xml:space="preserve">GOLDBERG FELLOUS</t>
  </si>
  <si>
    <t xml:space="preserve">8 BIS RUE MARGUERITTE</t>
  </si>
  <si>
    <t xml:space="preserve">BERBERIAN</t>
  </si>
  <si>
    <t xml:space="preserve">8 RUE GUSTAVE DORE</t>
  </si>
  <si>
    <t xml:space="preserve">RAST</t>
  </si>
  <si>
    <t xml:space="preserve">DONATI</t>
  </si>
  <si>
    <t xml:space="preserve">8 RUE THEODULE RIBOT</t>
  </si>
  <si>
    <t xml:space="preserve">CROIZIER CHANIOT</t>
  </si>
  <si>
    <t xml:space="preserve">Ozanne</t>
  </si>
  <si>
    <t xml:space="preserve">81 RUE DE ROME</t>
  </si>
  <si>
    <t xml:space="preserve">AUGER</t>
  </si>
  <si>
    <t xml:space="preserve">LORBER</t>
  </si>
  <si>
    <t xml:space="preserve">Eve Marie</t>
  </si>
  <si>
    <t xml:space="preserve">PAVAGEAU</t>
  </si>
  <si>
    <t xml:space="preserve">Wilfrid</t>
  </si>
  <si>
    <t xml:space="preserve">82 BOULEVARD DE COURCELLES</t>
  </si>
  <si>
    <t xml:space="preserve">CHATEL</t>
  </si>
  <si>
    <t xml:space="preserve">CLI STE-THÉRÈSE</t>
  </si>
  <si>
    <t xml:space="preserve">9 RUE GUSTAVE DORE</t>
  </si>
  <si>
    <t xml:space="preserve">PETIT</t>
  </si>
  <si>
    <t xml:space="preserve">DULMAN</t>
  </si>
  <si>
    <t xml:space="preserve">Jean Laurent</t>
  </si>
  <si>
    <t xml:space="preserve">MAJOULET</t>
  </si>
  <si>
    <t xml:space="preserve">Laurene</t>
  </si>
  <si>
    <t xml:space="preserve">ISHAK</t>
  </si>
  <si>
    <t xml:space="preserve">Samia</t>
  </si>
  <si>
    <t xml:space="preserve">VUE AUTRE SECTEUR</t>
  </si>
  <si>
    <t xml:space="preserve">SEBBAN</t>
  </si>
  <si>
    <t xml:space="preserve">Sydney</t>
  </si>
  <si>
    <t xml:space="preserve">9 RUE JEAN BAPTISTE DUMAS</t>
  </si>
  <si>
    <t xml:space="preserve">90 AVENUE NIEL</t>
  </si>
  <si>
    <t xml:space="preserve">BRANCATO</t>
  </si>
  <si>
    <t xml:space="preserve">Valeria</t>
  </si>
  <si>
    <t xml:space="preserve">96 AVENUE DE VILLIERS</t>
  </si>
  <si>
    <t xml:space="preserve">FERRETTI</t>
  </si>
  <si>
    <t xml:space="preserve">Caterina</t>
  </si>
  <si>
    <t xml:space="preserve">DEMANOFF</t>
  </si>
  <si>
    <t xml:space="preserve">Prasquevy</t>
  </si>
  <si>
    <t xml:space="preserve">97 AVENUE NIEL</t>
  </si>
  <si>
    <t xml:space="preserve">KONE</t>
  </si>
  <si>
    <t xml:space="preserve">COURCELLES MEDICAL</t>
  </si>
  <si>
    <t xml:space="preserve">97 RUE JOUFFROY D ABBANS</t>
  </si>
  <si>
    <t xml:space="preserve">ESTHETIQUE</t>
  </si>
  <si>
    <t xml:space="preserve">ATHIAS</t>
  </si>
  <si>
    <t xml:space="preserve">Lea</t>
  </si>
  <si>
    <t xml:space="preserve">BERROUYNE</t>
  </si>
  <si>
    <t xml:space="preserve">Maroua</t>
  </si>
  <si>
    <t xml:space="preserve">STELLA</t>
  </si>
  <si>
    <t xml:space="preserve">Francesca</t>
  </si>
  <si>
    <t xml:space="preserve">GENOTELLE</t>
  </si>
  <si>
    <t xml:space="preserve">75TER</t>
  </si>
  <si>
    <t xml:space="preserve">1 PLACE JULES RENARD</t>
  </si>
  <si>
    <t xml:space="preserve">HAMEL</t>
  </si>
  <si>
    <t xml:space="preserve">Loraine</t>
  </si>
  <si>
    <t xml:space="preserve">SALATO</t>
  </si>
  <si>
    <t xml:space="preserve">1 RUE LAMENNAIS</t>
  </si>
  <si>
    <t xml:space="preserve">FREIHERR VON SECKENDORFF</t>
  </si>
  <si>
    <t xml:space="preserve">10 RUE BREY</t>
  </si>
  <si>
    <t xml:space="preserve">DRAGOS</t>
  </si>
  <si>
    <t xml:space="preserve">Simone</t>
  </si>
  <si>
    <t xml:space="preserve">102 AVENUE DES CHAMPS ELYSEES</t>
  </si>
  <si>
    <t xml:space="preserve">TANNEAU</t>
  </si>
  <si>
    <t xml:space="preserve">11 BIS AVENUE MAC MAHON</t>
  </si>
  <si>
    <t xml:space="preserve">TRAN DINH CAN</t>
  </si>
  <si>
    <t xml:space="preserve">11 BIS PASSAGE DOISY</t>
  </si>
  <si>
    <t xml:space="preserve">RAZAFIMBELO DEKETELAERE</t>
  </si>
  <si>
    <t xml:space="preserve">Rose</t>
  </si>
  <si>
    <t xml:space="preserve">SFAR</t>
  </si>
  <si>
    <t xml:space="preserve">Chiraz</t>
  </si>
  <si>
    <t xml:space="preserve">11 RUE ANATOLE DE LA FORGE</t>
  </si>
  <si>
    <t xml:space="preserve">BARBEAU</t>
  </si>
  <si>
    <t xml:space="preserve">Marthe</t>
  </si>
  <si>
    <t xml:space="preserve">14 AVENUE DE WAGRAM</t>
  </si>
  <si>
    <t xml:space="preserve">Victor</t>
  </si>
  <si>
    <t xml:space="preserve">14 BIS RUE DARU</t>
  </si>
  <si>
    <t xml:space="preserve">BENKHATAR</t>
  </si>
  <si>
    <t xml:space="preserve">Marie Fatima</t>
  </si>
  <si>
    <t xml:space="preserve">15 BIS AVENUE BEAUCOUR</t>
  </si>
  <si>
    <t xml:space="preserve">OLIVENNES</t>
  </si>
  <si>
    <t xml:space="preserve">15 RUE FARADAY</t>
  </si>
  <si>
    <t xml:space="preserve">MAECHEL</t>
  </si>
  <si>
    <t xml:space="preserve">15 RUE PIERRE DEMOURS</t>
  </si>
  <si>
    <t xml:space="preserve">DESPORTE</t>
  </si>
  <si>
    <t xml:space="preserve">16 PLACE DE VERDUN</t>
  </si>
  <si>
    <t xml:space="preserve">CHEDRU</t>
  </si>
  <si>
    <t xml:space="preserve">16 RUE FARADAY</t>
  </si>
  <si>
    <t xml:space="preserve">ZAPISESCU</t>
  </si>
  <si>
    <t xml:space="preserve">HÔP MARMOTTAN</t>
  </si>
  <si>
    <t xml:space="preserve">17 19 RUE D ARMAILLE</t>
  </si>
  <si>
    <t xml:space="preserve">JEROME</t>
  </si>
  <si>
    <t xml:space="preserve">FAVEZ</t>
  </si>
  <si>
    <t xml:space="preserve">Maureen</t>
  </si>
  <si>
    <t xml:space="preserve">SEBEYRAN</t>
  </si>
  <si>
    <t xml:space="preserve">LE QUERE</t>
  </si>
  <si>
    <t xml:space="preserve">Mario</t>
  </si>
  <si>
    <t xml:space="preserve">CHOUIK MEZRAR</t>
  </si>
  <si>
    <t xml:space="preserve">Messaouda</t>
  </si>
  <si>
    <t xml:space="preserve">DUCROIX</t>
  </si>
  <si>
    <t xml:space="preserve">HAUTEFEUILLE</t>
  </si>
  <si>
    <t xml:space="preserve">HECQUET</t>
  </si>
  <si>
    <t xml:space="preserve">KALMI EL LAIK</t>
  </si>
  <si>
    <t xml:space="preserve">ROBERTS</t>
  </si>
  <si>
    <t xml:space="preserve">Dina</t>
  </si>
  <si>
    <t xml:space="preserve">GELINET</t>
  </si>
  <si>
    <t xml:space="preserve">17 RUE DARU</t>
  </si>
  <si>
    <t xml:space="preserve">GOETGHELUCK</t>
  </si>
  <si>
    <t xml:space="preserve">PIOCHE</t>
  </si>
  <si>
    <t xml:space="preserve">17 RUE DU COLONEL MOLL</t>
  </si>
  <si>
    <t xml:space="preserve">Jean Maurice</t>
  </si>
  <si>
    <t xml:space="preserve">18 AVENUE CARNOT</t>
  </si>
  <si>
    <t xml:space="preserve">JABY SERGENT</t>
  </si>
  <si>
    <t xml:space="preserve">19 RUE CHATEAUBRIAND</t>
  </si>
  <si>
    <t xml:space="preserve">PELTRIAUX</t>
  </si>
  <si>
    <t xml:space="preserve">20 BIS RUE DARU</t>
  </si>
  <si>
    <t xml:space="preserve">COHEN KOUBI</t>
  </si>
  <si>
    <t xml:space="preserve">MENU</t>
  </si>
  <si>
    <t xml:space="preserve">20 RUE D ARMAILLE</t>
  </si>
  <si>
    <t xml:space="preserve">BELLEGARDE JOACHIM</t>
  </si>
  <si>
    <t xml:space="preserve">CDS MEDIKSANTE</t>
  </si>
  <si>
    <t xml:space="preserve">206 BOULEVARD PEREIRE</t>
  </si>
  <si>
    <t xml:space="preserve">SANCHEZ</t>
  </si>
  <si>
    <t xml:space="preserve">CORTES</t>
  </si>
  <si>
    <t xml:space="preserve">GEBHARD</t>
  </si>
  <si>
    <t xml:space="preserve">RETORE</t>
  </si>
  <si>
    <t xml:space="preserve">Jean Yves</t>
  </si>
  <si>
    <t xml:space="preserve">POILPRE</t>
  </si>
  <si>
    <t xml:space="preserve">21 AVENUE MAC MAHON</t>
  </si>
  <si>
    <t xml:space="preserve">FLAJOLLET</t>
  </si>
  <si>
    <t xml:space="preserve">Jean Gabriel</t>
  </si>
  <si>
    <t xml:space="preserve">21 RUE DU COLONEL MOLL</t>
  </si>
  <si>
    <t xml:space="preserve">LYON</t>
  </si>
  <si>
    <t xml:space="preserve">21 RUE FARADAY</t>
  </si>
  <si>
    <t xml:space="preserve">HANAU JAMA</t>
  </si>
  <si>
    <t xml:space="preserve">21 RUE LAUGIER</t>
  </si>
  <si>
    <t xml:space="preserve">NEMES</t>
  </si>
  <si>
    <t xml:space="preserve">218 BIS BOULEVARD PEREIRE</t>
  </si>
  <si>
    <t xml:space="preserve">CARLANDER</t>
  </si>
  <si>
    <t xml:space="preserve">ROMAND MONNIER</t>
  </si>
  <si>
    <t xml:space="preserve">22 AVENUE DE FRIEDLAND</t>
  </si>
  <si>
    <t xml:space="preserve">JOUANJEAN</t>
  </si>
  <si>
    <t xml:space="preserve">22 RUE BEAUJON</t>
  </si>
  <si>
    <t xml:space="preserve">TEXIER PRAT</t>
  </si>
  <si>
    <t xml:space="preserve">235 RUE DU FAUBOURG ST HONORE</t>
  </si>
  <si>
    <t xml:space="preserve">DURAND</t>
  </si>
  <si>
    <t xml:space="preserve">24 RUE BAYEN</t>
  </si>
  <si>
    <t xml:space="preserve">LAMAZOU</t>
  </si>
  <si>
    <t xml:space="preserve">25 RUE PIERRE DEMOURS</t>
  </si>
  <si>
    <t xml:space="preserve">VERITE SAVIGNY</t>
  </si>
  <si>
    <t xml:space="preserve">254 RUE DU FAUBOURG ST HONORE</t>
  </si>
  <si>
    <t xml:space="preserve">DARDANNE</t>
  </si>
  <si>
    <t xml:space="preserve">Aymeric</t>
  </si>
  <si>
    <t xml:space="preserve">26 AVENUE CARNOT</t>
  </si>
  <si>
    <t xml:space="preserve">LENGRE</t>
  </si>
  <si>
    <t xml:space="preserve">26 BOULEVARD GOUVION ST CYR</t>
  </si>
  <si>
    <t xml:space="preserve">RENNESSON</t>
  </si>
  <si>
    <t xml:space="preserve">26 RUE WASHINGTON</t>
  </si>
  <si>
    <t xml:space="preserve">GRUPPER</t>
  </si>
  <si>
    <t xml:space="preserve">D ASSIGNIES</t>
  </si>
  <si>
    <t xml:space="preserve">27 RUE FOURCROY</t>
  </si>
  <si>
    <t xml:space="preserve">VALADE</t>
  </si>
  <si>
    <t xml:space="preserve">275 BOULEVARD PEREIRE</t>
  </si>
  <si>
    <t xml:space="preserve">FAURIE</t>
  </si>
  <si>
    <t xml:space="preserve">28 AVENUE CARNOT</t>
  </si>
  <si>
    <t xml:space="preserve">THERON GERARD</t>
  </si>
  <si>
    <t xml:space="preserve">Lucie Marie</t>
  </si>
  <si>
    <t xml:space="preserve">TOTAH</t>
  </si>
  <si>
    <t xml:space="preserve">METHNI</t>
  </si>
  <si>
    <t xml:space="preserve">Ahlem</t>
  </si>
  <si>
    <t xml:space="preserve">28 AVENUE DE FRIEDLAND</t>
  </si>
  <si>
    <t xml:space="preserve">PEYRON CHAMOUN</t>
  </si>
  <si>
    <t xml:space="preserve">28 AVENUE HOCHE</t>
  </si>
  <si>
    <t xml:space="preserve">CHOUKROUN</t>
  </si>
  <si>
    <t xml:space="preserve">BAILLARGEAT</t>
  </si>
  <si>
    <t xml:space="preserve">28 PLACE ST FERDINAND</t>
  </si>
  <si>
    <t xml:space="preserve">MIFSUD</t>
  </si>
  <si>
    <t xml:space="preserve">Remi</t>
  </si>
  <si>
    <t xml:space="preserve">3 RUE BALNY D AVRICOURT</t>
  </si>
  <si>
    <t xml:space="preserve">HAFFEN</t>
  </si>
  <si>
    <t xml:space="preserve">3 RUE DES TERNES</t>
  </si>
  <si>
    <t xml:space="preserve">30 RUE BREY</t>
  </si>
  <si>
    <t xml:space="preserve">LEMONNIER</t>
  </si>
  <si>
    <t xml:space="preserve">Morgan</t>
  </si>
  <si>
    <t xml:space="preserve">32 RUE DES RENAUDES</t>
  </si>
  <si>
    <t xml:space="preserve">DJAMA</t>
  </si>
  <si>
    <t xml:space="preserve">34 RUE LAUGIER</t>
  </si>
  <si>
    <t xml:space="preserve">36 AVENUE DE WAGRAM</t>
  </si>
  <si>
    <t xml:space="preserve">YOKA</t>
  </si>
  <si>
    <t xml:space="preserve">Huguette</t>
  </si>
  <si>
    <t xml:space="preserve">36 AVENUE NIEL</t>
  </si>
  <si>
    <t xml:space="preserve">PONROY</t>
  </si>
  <si>
    <t xml:space="preserve">FRELAUT</t>
  </si>
  <si>
    <t xml:space="preserve">37 39 RUE BAYEN</t>
  </si>
  <si>
    <t xml:space="preserve">RIGHINI</t>
  </si>
  <si>
    <t xml:space="preserve">Claudia</t>
  </si>
  <si>
    <t xml:space="preserve">39 RUE DE BERRI</t>
  </si>
  <si>
    <t xml:space="preserve">TONDINI</t>
  </si>
  <si>
    <t xml:space="preserve">Ghislaine</t>
  </si>
  <si>
    <t xml:space="preserve">STEINITZ</t>
  </si>
  <si>
    <t xml:space="preserve">BARBIER</t>
  </si>
  <si>
    <t xml:space="preserve">ROUGEMONT</t>
  </si>
  <si>
    <t xml:space="preserve">39 RUE PIERRE DEMOURS</t>
  </si>
  <si>
    <t xml:space="preserve">ADDA HERZOG</t>
  </si>
  <si>
    <t xml:space="preserve">4 RUE BRUNEL</t>
  </si>
  <si>
    <t xml:space="preserve">LECOUTURIER</t>
  </si>
  <si>
    <t xml:space="preserve">ROSEAU</t>
  </si>
  <si>
    <t xml:space="preserve">43 RUE GUERSANT</t>
  </si>
  <si>
    <t xml:space="preserve">ANASTASSIOU</t>
  </si>
  <si>
    <t xml:space="preserve">Evangelos</t>
  </si>
  <si>
    <t xml:space="preserve">BRUNSCHWIG</t>
  </si>
  <si>
    <t xml:space="preserve">44 RUE ST FERDINAND</t>
  </si>
  <si>
    <t xml:space="preserve">FEYEREISEN</t>
  </si>
  <si>
    <t xml:space="preserve">Estelle</t>
  </si>
  <si>
    <t xml:space="preserve">45 AVENUE DE WAGRAM</t>
  </si>
  <si>
    <t xml:space="preserve">CALVO</t>
  </si>
  <si>
    <t xml:space="preserve">RAAD</t>
  </si>
  <si>
    <t xml:space="preserve">Jade</t>
  </si>
  <si>
    <t xml:space="preserve">JERUZALSKA</t>
  </si>
  <si>
    <t xml:space="preserve">45 RUE ST FERDINAND</t>
  </si>
  <si>
    <t xml:space="preserve">MAYOU</t>
  </si>
  <si>
    <t xml:space="preserve">Patrice</t>
  </si>
  <si>
    <t xml:space="preserve">TALLEC</t>
  </si>
  <si>
    <t xml:space="preserve">48 RUE LAUGIER</t>
  </si>
  <si>
    <t xml:space="preserve">BERGONT</t>
  </si>
  <si>
    <t xml:space="preserve">49 AVENUE DE WAGRAM</t>
  </si>
  <si>
    <t xml:space="preserve">BURNAT</t>
  </si>
  <si>
    <t xml:space="preserve">5 RUE FREDERIC BASTIAT</t>
  </si>
  <si>
    <t xml:space="preserve">GATRI</t>
  </si>
  <si>
    <t xml:space="preserve">Chaima</t>
  </si>
  <si>
    <t xml:space="preserve">5 RUE THEODORE DE BANVILLE</t>
  </si>
  <si>
    <t xml:space="preserve">DUFETRE</t>
  </si>
  <si>
    <t xml:space="preserve">5 SQUARE DU ROULE</t>
  </si>
  <si>
    <t xml:space="preserve">HERVET</t>
  </si>
  <si>
    <t xml:space="preserve">CALLET AFDJEI</t>
  </si>
  <si>
    <t xml:space="preserve">Nasrine</t>
  </si>
  <si>
    <t xml:space="preserve">BOUADJILA</t>
  </si>
  <si>
    <t xml:space="preserve">BURSZTYN</t>
  </si>
  <si>
    <t xml:space="preserve">51 RUE PIERRE DEMOURS</t>
  </si>
  <si>
    <t xml:space="preserve">VERSINI</t>
  </si>
  <si>
    <t xml:space="preserve">52 AVENUE DE WAGRAM</t>
  </si>
  <si>
    <t xml:space="preserve">AKOKA</t>
  </si>
  <si>
    <t xml:space="preserve">53 BOULEVARD DE COURCELLES</t>
  </si>
  <si>
    <t xml:space="preserve">CHPINDEL BRUNO</t>
  </si>
  <si>
    <t xml:space="preserve">59 RUE DE PONTHIEU</t>
  </si>
  <si>
    <t xml:space="preserve">TRINH</t>
  </si>
  <si>
    <t xml:space="preserve">Quang Ngoc</t>
  </si>
  <si>
    <t xml:space="preserve">6 AVENUE MAC MAHON</t>
  </si>
  <si>
    <t xml:space="preserve">ZACZYK</t>
  </si>
  <si>
    <t xml:space="preserve">ALLEMANDI</t>
  </si>
  <si>
    <t xml:space="preserve">6 RUE BREY</t>
  </si>
  <si>
    <t xml:space="preserve">BENNIS</t>
  </si>
  <si>
    <t xml:space="preserve">Kenza</t>
  </si>
  <si>
    <t xml:space="preserve">6 RUE FOURCROY</t>
  </si>
  <si>
    <t xml:space="preserve">PRUNIERES</t>
  </si>
  <si>
    <t xml:space="preserve">AMSELLEM SOLAL</t>
  </si>
  <si>
    <t xml:space="preserve">CHELLY</t>
  </si>
  <si>
    <t xml:space="preserve">6 SQUARE DU ROULE</t>
  </si>
  <si>
    <t xml:space="preserve">BEN HADDOU</t>
  </si>
  <si>
    <t xml:space="preserve">Ghizlaine</t>
  </si>
  <si>
    <t xml:space="preserve">61 AVENUE FRANKLIN DELANO ROOSEVELT</t>
  </si>
  <si>
    <t xml:space="preserve">ISMAIL</t>
  </si>
  <si>
    <t xml:space="preserve">Mariem</t>
  </si>
  <si>
    <t xml:space="preserve">OGRIN</t>
  </si>
  <si>
    <t xml:space="preserve">62 AVENUE DE LA GRANDE ARMEE</t>
  </si>
  <si>
    <t xml:space="preserve">BRATTER</t>
  </si>
  <si>
    <t xml:space="preserve">62 BIS RUE PIERRE DEMOURS</t>
  </si>
  <si>
    <t xml:space="preserve">TORDJMAN LEVY</t>
  </si>
  <si>
    <t xml:space="preserve">63 RUE DE PONTHIEU</t>
  </si>
  <si>
    <t xml:space="preserve">RATIO</t>
  </si>
  <si>
    <t xml:space="preserve">67 BOULEVARD DE COURCELLES</t>
  </si>
  <si>
    <t xml:space="preserve">7 RUE ALFRED DE VIGNY</t>
  </si>
  <si>
    <t xml:space="preserve">NATHAN</t>
  </si>
  <si>
    <t xml:space="preserve">Maria Laura</t>
  </si>
  <si>
    <t xml:space="preserve">7 RUE MARCEL RENAULT</t>
  </si>
  <si>
    <t xml:space="preserve">76 78 AVENUE DES CHAMPS ELYSEES</t>
  </si>
  <si>
    <t xml:space="preserve">CLERGET</t>
  </si>
  <si>
    <t xml:space="preserve">VALET</t>
  </si>
  <si>
    <t xml:space="preserve">ROMANO</t>
  </si>
  <si>
    <t xml:space="preserve">76 AVENUE DES CHAMPS ELYSEES</t>
  </si>
  <si>
    <t xml:space="preserve">Déménage en  Suisse</t>
  </si>
  <si>
    <t xml:space="preserve">SIMON LAB</t>
  </si>
  <si>
    <t xml:space="preserve">77 AVENUE DE WAGRAM</t>
  </si>
  <si>
    <t xml:space="preserve">78 AVENUE DES TERNES</t>
  </si>
  <si>
    <t xml:space="preserve">O HANA</t>
  </si>
  <si>
    <t xml:space="preserve">SCEMAMA ITTAH</t>
  </si>
  <si>
    <t xml:space="preserve">83 BOULEVARD DE COURCELLES</t>
  </si>
  <si>
    <t xml:space="preserve">UTZMANN</t>
  </si>
  <si>
    <t xml:space="preserve">85 RUE LA BOETIE</t>
  </si>
  <si>
    <t xml:space="preserve">MIMOUN</t>
  </si>
  <si>
    <t xml:space="preserve">KANGA</t>
  </si>
  <si>
    <t xml:space="preserve">87 BOULEVARD DE COURCELLES</t>
  </si>
  <si>
    <t xml:space="preserve">HANTOUCHE</t>
  </si>
  <si>
    <t xml:space="preserve">89 BOULEVARD DE COURCELLES</t>
  </si>
  <si>
    <t xml:space="preserve">MILLOCHAU</t>
  </si>
  <si>
    <t xml:space="preserve">Jenny Claude</t>
  </si>
  <si>
    <t xml:space="preserve">9 AVENUE MAC MAHON</t>
  </si>
  <si>
    <t xml:space="preserve">SABAILA OLLIER</t>
  </si>
  <si>
    <t xml:space="preserve">LAUGA</t>
  </si>
  <si>
    <t xml:space="preserve">Pierre Edouard</t>
  </si>
  <si>
    <t xml:space="preserve">9 AVENUE NIEL</t>
  </si>
  <si>
    <t xml:space="preserve">9 RUE PIERRE DEMOURS</t>
  </si>
  <si>
    <t xml:space="preserve">CHIESA LE ROY</t>
  </si>
  <si>
    <t xml:space="preserve">Carina</t>
  </si>
  <si>
    <t xml:space="preserve">9 RUE PIERRE LE GRAND</t>
  </si>
  <si>
    <t xml:space="preserve">NEVEUX</t>
  </si>
  <si>
    <t xml:space="preserve">9 RUE TROYON</t>
  </si>
  <si>
    <t xml:space="preserve">ZAKI</t>
  </si>
  <si>
    <t xml:space="preserve">75TRO</t>
  </si>
  <si>
    <t xml:space="preserve">1 RUE GOETHE</t>
  </si>
  <si>
    <t xml:space="preserve">CHEFTEL</t>
  </si>
  <si>
    <t xml:space="preserve">1 VILLA BOISSIERE</t>
  </si>
  <si>
    <t xml:space="preserve">SOLAL</t>
  </si>
  <si>
    <t xml:space="preserve">Pierre Henri</t>
  </si>
  <si>
    <t xml:space="preserve">10 AVENUE D EYLAU</t>
  </si>
  <si>
    <t xml:space="preserve">SLATTERY</t>
  </si>
  <si>
    <t xml:space="preserve">Francis</t>
  </si>
  <si>
    <t xml:space="preserve">10 RUE FREYCINET</t>
  </si>
  <si>
    <t xml:space="preserve">LEYDIER</t>
  </si>
  <si>
    <t xml:space="preserve">10 RUE GEORGES VILLE</t>
  </si>
  <si>
    <t xml:space="preserve">BENSAAD</t>
  </si>
  <si>
    <t xml:space="preserve">Abel</t>
  </si>
  <si>
    <t xml:space="preserve">10 RUE LAURENT PICHAT</t>
  </si>
  <si>
    <t xml:space="preserve">GOUMET</t>
  </si>
  <si>
    <t xml:space="preserve">10 RUE LEROUX</t>
  </si>
  <si>
    <t xml:space="preserve">LABLANCHY</t>
  </si>
  <si>
    <t xml:space="preserve">105 AVENUE VICTOR HUGO</t>
  </si>
  <si>
    <t xml:space="preserve">106 AVENUE KLEBER</t>
  </si>
  <si>
    <t xml:space="preserve">SCIALOM HAN</t>
  </si>
  <si>
    <t xml:space="preserve">108 AVENUE VICTOR HUGO</t>
  </si>
  <si>
    <t xml:space="preserve">BUK SERERO</t>
  </si>
  <si>
    <t xml:space="preserve">ROMANELLO</t>
  </si>
  <si>
    <t xml:space="preserve">SPATZIERER</t>
  </si>
  <si>
    <t xml:space="preserve">11 AVENUE D EYLAU</t>
  </si>
  <si>
    <t xml:space="preserve">RECOULES ARCHE</t>
  </si>
  <si>
    <t xml:space="preserve">ARMESSEN</t>
  </si>
  <si>
    <t xml:space="preserve">11 AVENUE RAYMOND POINCARE</t>
  </si>
  <si>
    <t xml:space="preserve">JIMENEZ</t>
  </si>
  <si>
    <t xml:space="preserve">COMTET</t>
  </si>
  <si>
    <t xml:space="preserve">11 RUE MAGELLAN</t>
  </si>
  <si>
    <t xml:space="preserve">DESVAUX</t>
  </si>
  <si>
    <t xml:space="preserve">LELASSEUX</t>
  </si>
  <si>
    <t xml:space="preserve">12 AVENUE KLEBER</t>
  </si>
  <si>
    <t xml:space="preserve">LEPAGE</t>
  </si>
  <si>
    <t xml:space="preserve">12 AVENUE PIERRE 1ER DE SERBIE</t>
  </si>
  <si>
    <t xml:space="preserve">ROCHE</t>
  </si>
  <si>
    <t xml:space="preserve">Serena</t>
  </si>
  <si>
    <t xml:space="preserve">12 RUE DE SAIGON</t>
  </si>
  <si>
    <t xml:space="preserve">THIEBAUT PEDRONO</t>
  </si>
  <si>
    <t xml:space="preserve">121 RUE DE LA POMPE</t>
  </si>
  <si>
    <t xml:space="preserve">HUBERMAN COHEN</t>
  </si>
  <si>
    <t xml:space="preserve">122 AVENUE DE MALAKOFF</t>
  </si>
  <si>
    <t xml:space="preserve">ATLAN</t>
  </si>
  <si>
    <t xml:space="preserve">129 RUE LAURISTON</t>
  </si>
  <si>
    <t xml:space="preserve">YAZBECK</t>
  </si>
  <si>
    <t xml:space="preserve">Chadi</t>
  </si>
  <si>
    <t xml:space="preserve">134 AVENUE VICTOR HUGO</t>
  </si>
  <si>
    <t xml:space="preserve">14 16 RUE DES SABLONS</t>
  </si>
  <si>
    <t xml:space="preserve">BEGEL DEVAUX</t>
  </si>
  <si>
    <t xml:space="preserve">140 AVENUE VICTOR HUGO</t>
  </si>
  <si>
    <t xml:space="preserve">VEREBELYI</t>
  </si>
  <si>
    <t xml:space="preserve">ABELLO</t>
  </si>
  <si>
    <t xml:space="preserve">147 AVENUE DE MALAKOFF</t>
  </si>
  <si>
    <t xml:space="preserve">PEZ</t>
  </si>
  <si>
    <t xml:space="preserve">15 AVENUE D EYLAU</t>
  </si>
  <si>
    <t xml:space="preserve">ALVAREZ</t>
  </si>
  <si>
    <t xml:space="preserve">15 AVENUE RAYMOND POINCARE</t>
  </si>
  <si>
    <t xml:space="preserve">AUTRAN</t>
  </si>
  <si>
    <t xml:space="preserve">15 RUE LAURISTON</t>
  </si>
  <si>
    <t xml:space="preserve">NORDMANN AMAR</t>
  </si>
  <si>
    <t xml:space="preserve">Daniele Marion</t>
  </si>
  <si>
    <t xml:space="preserve">17 AVENUE VICTOR HUGO</t>
  </si>
  <si>
    <t xml:space="preserve">GASTEAU</t>
  </si>
  <si>
    <t xml:space="preserve">17 RUE GREUZE</t>
  </si>
  <si>
    <t xml:space="preserve">GIRARD STEIN</t>
  </si>
  <si>
    <t xml:space="preserve">175 RUE DE LA POMPE</t>
  </si>
  <si>
    <t xml:space="preserve">SEJEAN ORTOLE</t>
  </si>
  <si>
    <t xml:space="preserve">Marie Antoinette</t>
  </si>
  <si>
    <t xml:space="preserve">18 RUE DES BELLES FEUILLES</t>
  </si>
  <si>
    <t xml:space="preserve">DEL CUL</t>
  </si>
  <si>
    <t xml:space="preserve">18 RUE GREUZE</t>
  </si>
  <si>
    <t xml:space="preserve">CASTEL MENDAK</t>
  </si>
  <si>
    <t xml:space="preserve">2 VILLA BOISSIERE</t>
  </si>
  <si>
    <t xml:space="preserve">GARROS</t>
  </si>
  <si>
    <t xml:space="preserve">2 VILLA MALAKOFF</t>
  </si>
  <si>
    <t xml:space="preserve">MEYER</t>
  </si>
  <si>
    <t xml:space="preserve">20 RUE DE LONGCHAMP</t>
  </si>
  <si>
    <t xml:space="preserve">MADELIN</t>
  </si>
  <si>
    <t xml:space="preserve">Claude Jeanne</t>
  </si>
  <si>
    <t xml:space="preserve">COHEN SCALI</t>
  </si>
  <si>
    <t xml:space="preserve">21 AVENUE GEORGE V</t>
  </si>
  <si>
    <t xml:space="preserve">MAUREL GYORGI</t>
  </si>
  <si>
    <t xml:space="preserve">Melinda</t>
  </si>
  <si>
    <t xml:space="preserve">CASAL</t>
  </si>
  <si>
    <t xml:space="preserve">Berengere</t>
  </si>
  <si>
    <t xml:space="preserve">LANDOLFI</t>
  </si>
  <si>
    <t xml:space="preserve">Stefano</t>
  </si>
  <si>
    <t xml:space="preserve">ARSAN</t>
  </si>
  <si>
    <t xml:space="preserve">21 BIS AVENUE D IENA</t>
  </si>
  <si>
    <t xml:space="preserve">22 AVENUE D EYLAU</t>
  </si>
  <si>
    <t xml:space="preserve">SOMPAIRAC</t>
  </si>
  <si>
    <t xml:space="preserve">22 RUE DES SABLONS</t>
  </si>
  <si>
    <t xml:space="preserve">BOUTBOUL</t>
  </si>
  <si>
    <t xml:space="preserve">23 AVENUE VICTOR HUGO</t>
  </si>
  <si>
    <t xml:space="preserve">SEROUSSI</t>
  </si>
  <si>
    <t xml:space="preserve">FARGES</t>
  </si>
  <si>
    <t xml:space="preserve">COLONNA</t>
  </si>
  <si>
    <t xml:space="preserve">23 RUE DECAMPS</t>
  </si>
  <si>
    <t xml:space="preserve">JOB</t>
  </si>
  <si>
    <t xml:space="preserve">CLI BIZET</t>
  </si>
  <si>
    <t xml:space="preserve">23 RUE GEORGES BIZET</t>
  </si>
  <si>
    <t xml:space="preserve">MUSAT</t>
  </si>
  <si>
    <t xml:space="preserve">Angela</t>
  </si>
  <si>
    <t xml:space="preserve">SUSSMANN NADJAR</t>
  </si>
  <si>
    <t xml:space="preserve">AYACHE</t>
  </si>
  <si>
    <t xml:space="preserve">GALLOULA</t>
  </si>
  <si>
    <t xml:space="preserve">CHAPUT SAVILLE</t>
  </si>
  <si>
    <t xml:space="preserve">24 BIS AVENUE DU PRESIDENT WILSON</t>
  </si>
  <si>
    <t xml:space="preserve">LEDRU</t>
  </si>
  <si>
    <t xml:space="preserve">25 RUE ST DIDIER</t>
  </si>
  <si>
    <t xml:space="preserve">AHDAD YATA</t>
  </si>
  <si>
    <t xml:space="preserve">Naouel</t>
  </si>
  <si>
    <t xml:space="preserve">26 RUE BOISSIERE</t>
  </si>
  <si>
    <t xml:space="preserve">DRAY</t>
  </si>
  <si>
    <t xml:space="preserve">Charles Michel</t>
  </si>
  <si>
    <t xml:space="preserve">28 AVENUE D EYLAU</t>
  </si>
  <si>
    <t xml:space="preserve">PAUPHILET</t>
  </si>
  <si>
    <t xml:space="preserve">28 AVENUE DU PRESIDENT WILSON</t>
  </si>
  <si>
    <t xml:space="preserve">LEMAIRE</t>
  </si>
  <si>
    <t xml:space="preserve">28 RUE GUSTAVE COURBET</t>
  </si>
  <si>
    <t xml:space="preserve">GARNIER</t>
  </si>
  <si>
    <t xml:space="preserve">29 RUE ST DIDIER</t>
  </si>
  <si>
    <t xml:space="preserve">HOANG HUU PHUONG</t>
  </si>
  <si>
    <t xml:space="preserve">GADEYNE</t>
  </si>
  <si>
    <t xml:space="preserve">THOMPSON</t>
  </si>
  <si>
    <t xml:space="preserve">Quitterie</t>
  </si>
  <si>
    <t xml:space="preserve">SALAMA</t>
  </si>
  <si>
    <t xml:space="preserve">3 AVENUE DU PRESIDENT WILSON</t>
  </si>
  <si>
    <t xml:space="preserve">MIKAYELYAN</t>
  </si>
  <si>
    <t xml:space="preserve">CHICHEPORTICHE AYACHE</t>
  </si>
  <si>
    <t xml:space="preserve">30 AVENUE DU PRESIDENT WILSON</t>
  </si>
  <si>
    <t xml:space="preserve">LEBREC</t>
  </si>
  <si>
    <t xml:space="preserve">30 RUE DE LUBECK</t>
  </si>
  <si>
    <t xml:space="preserve">DUBEAU</t>
  </si>
  <si>
    <t xml:space="preserve">Marie Charlotte</t>
  </si>
  <si>
    <t xml:space="preserve">DURET FOURQUET</t>
  </si>
  <si>
    <t xml:space="preserve">AMARIS DIAZ</t>
  </si>
  <si>
    <t xml:space="preserve">Juan Arturo</t>
  </si>
  <si>
    <t xml:space="preserve">34 AVENUE D EYLAU</t>
  </si>
  <si>
    <t xml:space="preserve">LALAU KERALY</t>
  </si>
  <si>
    <t xml:space="preserve">HUEL</t>
  </si>
  <si>
    <t xml:space="preserve">Chan</t>
  </si>
  <si>
    <t xml:space="preserve">34 RUE PERGOLESE</t>
  </si>
  <si>
    <t xml:space="preserve">BEKOV</t>
  </si>
  <si>
    <t xml:space="preserve">Khamzat</t>
  </si>
  <si>
    <t xml:space="preserve">35 AVENUE D EYLAU</t>
  </si>
  <si>
    <t xml:space="preserve">RAPP</t>
  </si>
  <si>
    <t xml:space="preserve">36 RUE DE L AMIRAL HAMELIN</t>
  </si>
  <si>
    <t xml:space="preserve">CHAPPE</t>
  </si>
  <si>
    <t xml:space="preserve">DE CARVALHO</t>
  </si>
  <si>
    <t xml:space="preserve">37 AVENUE VICTOR HUGO</t>
  </si>
  <si>
    <t xml:space="preserve">BARON</t>
  </si>
  <si>
    <t xml:space="preserve">Bernadette</t>
  </si>
  <si>
    <t xml:space="preserve">MICHAELI</t>
  </si>
  <si>
    <t xml:space="preserve">37 RUE PERGOLESE</t>
  </si>
  <si>
    <t xml:space="preserve">BAGOT</t>
  </si>
  <si>
    <t xml:space="preserve">4 AVENUE D EYLAU</t>
  </si>
  <si>
    <t xml:space="preserve">MAZIT</t>
  </si>
  <si>
    <t xml:space="preserve">Ghezala</t>
  </si>
  <si>
    <t xml:space="preserve">4 AVENUE MARCEAU</t>
  </si>
  <si>
    <t xml:space="preserve">CHAGNAUD</t>
  </si>
  <si>
    <t xml:space="preserve">4 AVENUE ST HONORE D EYLAU</t>
  </si>
  <si>
    <t xml:space="preserve">ESTRADE HUCHON</t>
  </si>
  <si>
    <t xml:space="preserve">AMI</t>
  </si>
  <si>
    <t xml:space="preserve">4 RUE DE SONTAY</t>
  </si>
  <si>
    <t xml:space="preserve">ROUER SAPORTA</t>
  </si>
  <si>
    <t xml:space="preserve">40 AVENUE DU PRESIDENT WILSON</t>
  </si>
  <si>
    <t xml:space="preserve">SAUVAGNAT</t>
  </si>
  <si>
    <t xml:space="preserve">Rokaya</t>
  </si>
  <si>
    <t xml:space="preserve">ARRAGO</t>
  </si>
  <si>
    <t xml:space="preserve">44 AVENUE KLEBER</t>
  </si>
  <si>
    <t xml:space="preserve">MOULY</t>
  </si>
  <si>
    <t xml:space="preserve">DEIS</t>
  </si>
  <si>
    <t xml:space="preserve">45 AVENUE VICTOR HUGO</t>
  </si>
  <si>
    <t xml:space="preserve">BENSABAT</t>
  </si>
  <si>
    <t xml:space="preserve">Soly</t>
  </si>
  <si>
    <t xml:space="preserve">PALVAIR</t>
  </si>
  <si>
    <t xml:space="preserve">TEYSSEDOU MAIRE</t>
  </si>
  <si>
    <t xml:space="preserve">46 48 RUE LAURISTON</t>
  </si>
  <si>
    <t xml:space="preserve">MAKOWSKI</t>
  </si>
  <si>
    <t xml:space="preserve">48 AVENUE KLEBER</t>
  </si>
  <si>
    <t xml:space="preserve">FARTOUX</t>
  </si>
  <si>
    <t xml:space="preserve">5 BIS RUE DU DOME</t>
  </si>
  <si>
    <t xml:space="preserve">BENHAMOU</t>
  </si>
  <si>
    <t xml:space="preserve">MESNER</t>
  </si>
  <si>
    <t xml:space="preserve">CRETIN DUVERNOIS</t>
  </si>
  <si>
    <t xml:space="preserve">5 PLACE VICTOR HUGO</t>
  </si>
  <si>
    <t xml:space="preserve">TAWIL</t>
  </si>
  <si>
    <t xml:space="preserve">Sami Paul</t>
  </si>
  <si>
    <t xml:space="preserve">5 RUE DE SFAX</t>
  </si>
  <si>
    <t xml:space="preserve">CHNEIWEISS</t>
  </si>
  <si>
    <t xml:space="preserve">5 RUE KEPLER</t>
  </si>
  <si>
    <t xml:space="preserve">ABUSUBUL</t>
  </si>
  <si>
    <t xml:space="preserve">LAGODKA</t>
  </si>
  <si>
    <t xml:space="preserve">BERARD</t>
  </si>
  <si>
    <t xml:space="preserve">5 RUE PAUL VALERY</t>
  </si>
  <si>
    <t xml:space="preserve">MACQUERON</t>
  </si>
  <si>
    <t xml:space="preserve">5 VILLA BOISSIERE</t>
  </si>
  <si>
    <t xml:space="preserve">SIARI MACQUERON</t>
  </si>
  <si>
    <t xml:space="preserve">SHANOUDA VIJAYAKANTHAN</t>
  </si>
  <si>
    <t xml:space="preserve">Christina</t>
  </si>
  <si>
    <t xml:space="preserve">50 AVENUE VICTOR HUGO</t>
  </si>
  <si>
    <t xml:space="preserve">Hugo</t>
  </si>
  <si>
    <t xml:space="preserve">GNANSIA</t>
  </si>
  <si>
    <t xml:space="preserve">RUBINSZTEJN</t>
  </si>
  <si>
    <t xml:space="preserve">CAB MÉD</t>
  </si>
  <si>
    <t xml:space="preserve">SOUAMI</t>
  </si>
  <si>
    <t xml:space="preserve">Kahina Dayana</t>
  </si>
  <si>
    <t xml:space="preserve">WILLIOT</t>
  </si>
  <si>
    <t xml:space="preserve">51 AVENUE RAYMOND POINCARE</t>
  </si>
  <si>
    <t xml:space="preserve">STRAWCZYNSKI</t>
  </si>
  <si>
    <t xml:space="preserve">51 RUE DES BELLES FEUILLES</t>
  </si>
  <si>
    <t xml:space="preserve">FERRAND MANGIN</t>
  </si>
  <si>
    <t xml:space="preserve">BAROIS</t>
  </si>
  <si>
    <t xml:space="preserve">54 AVENUE KLEBER</t>
  </si>
  <si>
    <t xml:space="preserve">RASSINIER</t>
  </si>
  <si>
    <t xml:space="preserve">56 AVENUE KLEBER</t>
  </si>
  <si>
    <t xml:space="preserve">ACHA</t>
  </si>
  <si>
    <t xml:space="preserve">56 AVENUE VICTOR HUGO</t>
  </si>
  <si>
    <t xml:space="preserve">PIETRIGA</t>
  </si>
  <si>
    <t xml:space="preserve">57 AVENUE MARCEAU</t>
  </si>
  <si>
    <t xml:space="preserve">LAHOUEL ZAIER</t>
  </si>
  <si>
    <t xml:space="preserve">Wafa</t>
  </si>
  <si>
    <t xml:space="preserve">57 RUE BOISSIERE</t>
  </si>
  <si>
    <t xml:space="preserve">OULD RABAH</t>
  </si>
  <si>
    <t xml:space="preserve">KARDOUSS</t>
  </si>
  <si>
    <t xml:space="preserve">6 14 RUE LA PEROUSE</t>
  </si>
  <si>
    <t xml:space="preserve">KAHN</t>
  </si>
  <si>
    <t xml:space="preserve">Alev</t>
  </si>
  <si>
    <t xml:space="preserve">MONTEL</t>
  </si>
  <si>
    <t xml:space="preserve">NGUYEN THANG HANG</t>
  </si>
  <si>
    <t xml:space="preserve">SABA</t>
  </si>
  <si>
    <t xml:space="preserve">6 RUE DE SONTAY</t>
  </si>
  <si>
    <t xml:space="preserve">SABBAH LIM</t>
  </si>
  <si>
    <t xml:space="preserve">6 RUE PICOT</t>
  </si>
  <si>
    <t xml:space="preserve">SOULAN</t>
  </si>
  <si>
    <t xml:space="preserve">CONTEJEAN</t>
  </si>
  <si>
    <t xml:space="preserve">GLUCK VANLAER</t>
  </si>
  <si>
    <t xml:space="preserve">ROUCH</t>
  </si>
  <si>
    <t xml:space="preserve">60 AVENUE D IENA</t>
  </si>
  <si>
    <t xml:space="preserve">ABBOU FAJERMAN</t>
  </si>
  <si>
    <t xml:space="preserve">Josee</t>
  </si>
  <si>
    <t xml:space="preserve">COUDRON</t>
  </si>
  <si>
    <t xml:space="preserve">Lionel</t>
  </si>
  <si>
    <t xml:space="preserve">61 AVENUE VICTOR HUGO</t>
  </si>
  <si>
    <t xml:space="preserve">HENRY MAMOU</t>
  </si>
  <si>
    <t xml:space="preserve">Jean Elie</t>
  </si>
  <si>
    <t xml:space="preserve">62 AVENUE RAYMOND POINCARE</t>
  </si>
  <si>
    <t xml:space="preserve">TOMA</t>
  </si>
  <si>
    <t xml:space="preserve">63 AVENUE MARCEAU</t>
  </si>
  <si>
    <t xml:space="preserve">BOUHOURS</t>
  </si>
  <si>
    <t xml:space="preserve">65 AVENUE FOCH</t>
  </si>
  <si>
    <t xml:space="preserve">SACKSICK</t>
  </si>
  <si>
    <t xml:space="preserve">67 69 AVENUE VICTOR HUGO</t>
  </si>
  <si>
    <t xml:space="preserve">BAMBERGER</t>
  </si>
  <si>
    <t xml:space="preserve">69 AVENUE RAYMOND POINCARE</t>
  </si>
  <si>
    <t xml:space="preserve">DAOUI</t>
  </si>
  <si>
    <t xml:space="preserve">Samir</t>
  </si>
  <si>
    <t xml:space="preserve">7 AVENUE DU PRESIDENT WILSON</t>
  </si>
  <si>
    <t xml:space="preserve">7 RUE YVON VILLARCEAU</t>
  </si>
  <si>
    <t xml:space="preserve">NATIVELLE</t>
  </si>
  <si>
    <t xml:space="preserve">70 RUE ST DIDIER</t>
  </si>
  <si>
    <t xml:space="preserve">PARLIER</t>
  </si>
  <si>
    <t xml:space="preserve">72 AVENUE D IENA</t>
  </si>
  <si>
    <t xml:space="preserve">EDERY</t>
  </si>
  <si>
    <t xml:space="preserve">GENTILHOMME</t>
  </si>
  <si>
    <t xml:space="preserve">Lucie</t>
  </si>
  <si>
    <t xml:space="preserve">SELETTI</t>
  </si>
  <si>
    <t xml:space="preserve">74 AVENUE KLEBER</t>
  </si>
  <si>
    <t xml:space="preserve">CARRIERE</t>
  </si>
  <si>
    <t xml:space="preserve">JOCHIMEK CHOLAL</t>
  </si>
  <si>
    <t xml:space="preserve">Francine</t>
  </si>
  <si>
    <t xml:space="preserve">CAB MÉD R POINCARÉ</t>
  </si>
  <si>
    <t xml:space="preserve">76 AVENUE RAYMOND POINCARE</t>
  </si>
  <si>
    <t xml:space="preserve">MARECHAL</t>
  </si>
  <si>
    <t xml:space="preserve">MOGA</t>
  </si>
  <si>
    <t xml:space="preserve">ROUSSEAUX</t>
  </si>
  <si>
    <t xml:space="preserve">LE DORIOL</t>
  </si>
  <si>
    <t xml:space="preserve">AUDOUY</t>
  </si>
  <si>
    <t xml:space="preserve">79 RUE BOISSIERE</t>
  </si>
  <si>
    <t xml:space="preserve">COUDERT</t>
  </si>
  <si>
    <t xml:space="preserve">80 AVENUE KLEBER</t>
  </si>
  <si>
    <t xml:space="preserve">DELCHEV</t>
  </si>
  <si>
    <t xml:space="preserve">Yavor</t>
  </si>
  <si>
    <t xml:space="preserve">80 RUE BOISSIERE</t>
  </si>
  <si>
    <t xml:space="preserve">DUTOYA BENFTIMA</t>
  </si>
  <si>
    <t xml:space="preserve">Sihem</t>
  </si>
  <si>
    <t xml:space="preserve">82 RUE LAURISTON</t>
  </si>
  <si>
    <t xml:space="preserve">RELOUZAT</t>
  </si>
  <si>
    <t xml:space="preserve">Raoul</t>
  </si>
  <si>
    <t xml:space="preserve">EVRARD</t>
  </si>
  <si>
    <t xml:space="preserve">Monique Maya</t>
  </si>
  <si>
    <t xml:space="preserve">VERCKEN</t>
  </si>
  <si>
    <t xml:space="preserve">9 RUE LEONCE REYNAUD</t>
  </si>
  <si>
    <t xml:space="preserve">VOLF FERDMAN</t>
  </si>
  <si>
    <t xml:space="preserve">9 RUE QUENTIN BAUCHART</t>
  </si>
  <si>
    <t xml:space="preserve">92 RUE DE LA POMPE</t>
  </si>
  <si>
    <t xml:space="preserve">BENSHIMON</t>
  </si>
  <si>
    <t xml:space="preserve">95 AVENUE VICTOR HUGO</t>
  </si>
  <si>
    <t xml:space="preserve">SADIA FEDIDA</t>
  </si>
  <si>
    <t xml:space="preserve">96 AVENUE VICTOR HUGO</t>
  </si>
  <si>
    <t xml:space="preserve">BAZIN BORLOO</t>
  </si>
  <si>
    <t xml:space="preserve">Jeanne Marie</t>
  </si>
  <si>
    <t xml:space="preserve">97 AVENUE VICTOR HUGO</t>
  </si>
  <si>
    <t xml:space="preserve">BAZIN BORLOO (remplaçant)</t>
  </si>
  <si>
    <t xml:space="preserve">DUCELLIER</t>
  </si>
  <si>
    <t xml:space="preserve">Jocelyne</t>
  </si>
  <si>
    <t xml:space="preserve">SAUVAGE RIGAL</t>
  </si>
  <si>
    <t xml:space="preserve">75VAU</t>
  </si>
  <si>
    <t xml:space="preserve">1 RUE OLIVIER DE SERRES</t>
  </si>
  <si>
    <t xml:space="preserve">FLEURET BELLANGER</t>
  </si>
  <si>
    <t xml:space="preserve">HOEFLER</t>
  </si>
  <si>
    <t xml:space="preserve">Leonie</t>
  </si>
  <si>
    <t xml:space="preserve">FOUDJET</t>
  </si>
  <si>
    <t xml:space="preserve">HÔP VAUGIRARD</t>
  </si>
  <si>
    <t xml:space="preserve">10 RUE VAUGELAS</t>
  </si>
  <si>
    <t xml:space="preserve">BOURZAM</t>
  </si>
  <si>
    <t xml:space="preserve">Mouna</t>
  </si>
  <si>
    <t xml:space="preserve">ROCHE DE RODELLEC</t>
  </si>
  <si>
    <t xml:space="preserve">Blandine</t>
  </si>
  <si>
    <t xml:space="preserve">Darius</t>
  </si>
  <si>
    <t xml:space="preserve">Swasti</t>
  </si>
  <si>
    <t xml:space="preserve">AIT AMER</t>
  </si>
  <si>
    <t xml:space="preserve">Salima</t>
  </si>
  <si>
    <t xml:space="preserve">JIBIDAR NOUMAZALAYI</t>
  </si>
  <si>
    <t xml:space="preserve">Hilda Ablavi</t>
  </si>
  <si>
    <t xml:space="preserve">FRESCO</t>
  </si>
  <si>
    <t xml:space="preserve">11 RUE EUGENE GIBEZ</t>
  </si>
  <si>
    <t xml:space="preserve">FREBAULT</t>
  </si>
  <si>
    <t xml:space="preserve">111 RUE OLIVIER DE SERRES</t>
  </si>
  <si>
    <t xml:space="preserve">GRUDET</t>
  </si>
  <si>
    <t xml:space="preserve">12 RUE ANDRE THEURIET</t>
  </si>
  <si>
    <t xml:space="preserve">POISSON</t>
  </si>
  <si>
    <t xml:space="preserve">BILLAUD</t>
  </si>
  <si>
    <t xml:space="preserve">BENKACI</t>
  </si>
  <si>
    <t xml:space="preserve">12 RUE LERICHE</t>
  </si>
  <si>
    <t xml:space="preserve">LANSIER</t>
  </si>
  <si>
    <t xml:space="preserve">Cyrile</t>
  </si>
  <si>
    <t xml:space="preserve">COLIN DE VERDIERE</t>
  </si>
  <si>
    <t xml:space="preserve">Armelle</t>
  </si>
  <si>
    <t xml:space="preserve">13 RUE MARMONTEL</t>
  </si>
  <si>
    <t xml:space="preserve">SOUDAN</t>
  </si>
  <si>
    <t xml:space="preserve">136 BIS RUE BLOMET</t>
  </si>
  <si>
    <t xml:space="preserve">MERIGOT DE TREIGNY</t>
  </si>
  <si>
    <t xml:space="preserve">Rim</t>
  </si>
  <si>
    <t xml:space="preserve">ABOULKHEIR HADIDA</t>
  </si>
  <si>
    <t xml:space="preserve">14 RUE DE VOUILLE</t>
  </si>
  <si>
    <t xml:space="preserve">COLELLA</t>
  </si>
  <si>
    <t xml:space="preserve">Carolina</t>
  </si>
  <si>
    <t xml:space="preserve">DIMITROV</t>
  </si>
  <si>
    <t xml:space="preserve">143 BOULEVARD LEFEBVRE</t>
  </si>
  <si>
    <t xml:space="preserve">MIGNON</t>
  </si>
  <si>
    <t xml:space="preserve">149 BIS RUE BLOMET</t>
  </si>
  <si>
    <t xml:space="preserve">PRADINES</t>
  </si>
  <si>
    <t xml:space="preserve">HÔP COGNACQ-JAY</t>
  </si>
  <si>
    <t xml:space="preserve">15 RUE EUGENE MILLON</t>
  </si>
  <si>
    <t xml:space="preserve">ARRAULT CHAYA</t>
  </si>
  <si>
    <t xml:space="preserve">Maria</t>
  </si>
  <si>
    <t xml:space="preserve">MARCHE WILSON</t>
  </si>
  <si>
    <t xml:space="preserve">CHANTALAT</t>
  </si>
  <si>
    <t xml:space="preserve">ABBA SAIAH</t>
  </si>
  <si>
    <t xml:space="preserve">KOWAL</t>
  </si>
  <si>
    <t xml:space="preserve">15 RUE GEORGES PITARD</t>
  </si>
  <si>
    <t xml:space="preserve">FASS</t>
  </si>
  <si>
    <t xml:space="preserve">155 BIS RUE DE LA CONVENTION</t>
  </si>
  <si>
    <t xml:space="preserve">DUPUY</t>
  </si>
  <si>
    <t xml:space="preserve">175 RUE DE LA CONVENTION</t>
  </si>
  <si>
    <t xml:space="preserve">BILLY</t>
  </si>
  <si>
    <t xml:space="preserve">HOVANESSIAN</t>
  </si>
  <si>
    <t xml:space="preserve">Yveline</t>
  </si>
  <si>
    <t xml:space="preserve">18 RUE OLIVIER DE SERRES</t>
  </si>
  <si>
    <t xml:space="preserve">BONET</t>
  </si>
  <si>
    <t xml:space="preserve">186 RUE DE LA CONVENTION</t>
  </si>
  <si>
    <t xml:space="preserve">FAWAZ</t>
  </si>
  <si>
    <t xml:space="preserve">Mahmoud</t>
  </si>
  <si>
    <t xml:space="preserve">MARIA BACHMEYER</t>
  </si>
  <si>
    <t xml:space="preserve">2 RUE FERDINAND FABRE</t>
  </si>
  <si>
    <t xml:space="preserve">CHAMPAULT</t>
  </si>
  <si>
    <t xml:space="preserve">200 RUE DE LA CONVENTION</t>
  </si>
  <si>
    <t xml:space="preserve">AMIOT</t>
  </si>
  <si>
    <t xml:space="preserve">Aurelien</t>
  </si>
  <si>
    <t xml:space="preserve">205 RUE DE JAVEL</t>
  </si>
  <si>
    <t xml:space="preserve">COTTIN</t>
  </si>
  <si>
    <t xml:space="preserve">210 RUE LECOURBE</t>
  </si>
  <si>
    <t xml:space="preserve">GUYOT</t>
  </si>
  <si>
    <t xml:space="preserve">MDS CONVENTION-LECOURBE</t>
  </si>
  <si>
    <t xml:space="preserve">223 RUE LECOURBE</t>
  </si>
  <si>
    <t xml:space="preserve">CHARLON</t>
  </si>
  <si>
    <t xml:space="preserve">Yannis</t>
  </si>
  <si>
    <t xml:space="preserve">ETIENNE</t>
  </si>
  <si>
    <t xml:space="preserve">Anahi Laure</t>
  </si>
  <si>
    <t xml:space="preserve">DUCOURET</t>
  </si>
  <si>
    <t xml:space="preserve">Hortense</t>
  </si>
  <si>
    <t xml:space="preserve">PATUREAU</t>
  </si>
  <si>
    <t xml:space="preserve">228 RUE DE LA CONVENTION</t>
  </si>
  <si>
    <t xml:space="preserve">LECART</t>
  </si>
  <si>
    <t xml:space="preserve">233 RUE DE LA CROIX NIVERT</t>
  </si>
  <si>
    <t xml:space="preserve">FENECH</t>
  </si>
  <si>
    <t xml:space="preserve">Noemie</t>
  </si>
  <si>
    <t xml:space="preserve">237 RUE DE LA CROIX NIVERT</t>
  </si>
  <si>
    <t xml:space="preserve">AZRIA</t>
  </si>
  <si>
    <t xml:space="preserve">Philippe Benjamin</t>
  </si>
  <si>
    <t xml:space="preserve">ZAGHDOUN</t>
  </si>
  <si>
    <t xml:space="preserve">Gregory David</t>
  </si>
  <si>
    <t xml:space="preserve">MAHE</t>
  </si>
  <si>
    <t xml:space="preserve">Annabelle</t>
  </si>
  <si>
    <t xml:space="preserve">BOULALAM</t>
  </si>
  <si>
    <t xml:space="preserve">Soumaya</t>
  </si>
  <si>
    <t xml:space="preserve">25 RUE THIBOUMERY</t>
  </si>
  <si>
    <t xml:space="preserve">LEZMY BARACASSA</t>
  </si>
  <si>
    <t xml:space="preserve">25 RUE VICTOR DURUY</t>
  </si>
  <si>
    <t xml:space="preserve">BEHEREC</t>
  </si>
  <si>
    <t xml:space="preserve">3 5 RUE EUGENE MILLON</t>
  </si>
  <si>
    <t xml:space="preserve">DIGE MICHAUX</t>
  </si>
  <si>
    <t xml:space="preserve">MEILLAND</t>
  </si>
  <si>
    <t xml:space="preserve">PECHAUD</t>
  </si>
  <si>
    <t xml:space="preserve">ASTRAUD</t>
  </si>
  <si>
    <t xml:space="preserve">Louis Paul</t>
  </si>
  <si>
    <t xml:space="preserve">3 RUE EUGENE MILLON</t>
  </si>
  <si>
    <t xml:space="preserve">DECQ</t>
  </si>
  <si>
    <t xml:space="preserve">3 SQUARE FREDERIC VALLOIS</t>
  </si>
  <si>
    <t xml:space="preserve">PATRY</t>
  </si>
  <si>
    <t xml:space="preserve">33 RUE OLIVIER DE SERRES</t>
  </si>
  <si>
    <t xml:space="preserve">GELBERT</t>
  </si>
  <si>
    <t xml:space="preserve">335 RUE DE VAUGIRARD</t>
  </si>
  <si>
    <t xml:space="preserve">LEPAGNOL</t>
  </si>
  <si>
    <t xml:space="preserve">Astrid</t>
  </si>
  <si>
    <t xml:space="preserve">34 RUE DESNOUETTES</t>
  </si>
  <si>
    <t xml:space="preserve">BASSIL</t>
  </si>
  <si>
    <t xml:space="preserve">35 BOULEVARD LEFEBVRE</t>
  </si>
  <si>
    <t xml:space="preserve">SCHWAB BASSIL</t>
  </si>
  <si>
    <t xml:space="preserve">PERETOUT</t>
  </si>
  <si>
    <t xml:space="preserve">39 47 RUE ST LAMBERT</t>
  </si>
  <si>
    <t xml:space="preserve">ROLLAND</t>
  </si>
  <si>
    <t xml:space="preserve">DURET</t>
  </si>
  <si>
    <t xml:space="preserve">MELESE</t>
  </si>
  <si>
    <t xml:space="preserve">4 RUE LEON DELAGRANGE</t>
  </si>
  <si>
    <t xml:space="preserve">SOAVA</t>
  </si>
  <si>
    <t xml:space="preserve">4 RUE THUREAU DANGIN</t>
  </si>
  <si>
    <t xml:space="preserve">RIZK</t>
  </si>
  <si>
    <t xml:space="preserve">45 RUE ST LAMBERT</t>
  </si>
  <si>
    <t xml:space="preserve">RUZZA</t>
  </si>
  <si>
    <t xml:space="preserve">LAHAYE PEREZ</t>
  </si>
  <si>
    <t xml:space="preserve">5 RUE JACQUES MAWAS</t>
  </si>
  <si>
    <t xml:space="preserve">CADET</t>
  </si>
  <si>
    <t xml:space="preserve">5 SQUARE FREDERIC VALLOIS</t>
  </si>
  <si>
    <t xml:space="preserve">LEPRISE</t>
  </si>
  <si>
    <t xml:space="preserve">56 RUE DE VOUILLE</t>
  </si>
  <si>
    <t xml:space="preserve">LANG</t>
  </si>
  <si>
    <t xml:space="preserve">LE HENAFF</t>
  </si>
  <si>
    <t xml:space="preserve">BILLARD</t>
  </si>
  <si>
    <t xml:space="preserve">63 65 RUE OLIVIER DE SERRES</t>
  </si>
  <si>
    <t xml:space="preserve">REYNIER</t>
  </si>
  <si>
    <t xml:space="preserve">64 RUE LABROUSTE</t>
  </si>
  <si>
    <t xml:space="preserve">EL MNIAI</t>
  </si>
  <si>
    <t xml:space="preserve">Jihane</t>
  </si>
  <si>
    <t xml:space="preserve">NGWEM</t>
  </si>
  <si>
    <t xml:space="preserve">Tatiana</t>
  </si>
  <si>
    <t xml:space="preserve">LAUDE LEMOINE</t>
  </si>
  <si>
    <t xml:space="preserve">65 RUE LABROUSTE</t>
  </si>
  <si>
    <t xml:space="preserve">LARCHER</t>
  </si>
  <si>
    <t xml:space="preserve">89 RUE DES MORILLONS</t>
  </si>
  <si>
    <t xml:space="preserve">WILLE LEDON</t>
  </si>
  <si>
    <t xml:space="preserve">Chrystele</t>
  </si>
  <si>
    <t xml:space="preserve">9 RUE DES PERICHAUX</t>
  </si>
  <si>
    <t xml:space="preserve">BERDAH</t>
  </si>
  <si>
    <t xml:space="preserve">MAILLOL</t>
  </si>
  <si>
    <t xml:space="preserve">9 RUE FOURCADE</t>
  </si>
  <si>
    <t xml:space="preserve">JUNES</t>
  </si>
  <si>
    <t xml:space="preserve">90 RUE DE L ABBE GROULT</t>
  </si>
  <si>
    <t xml:space="preserve">BIBERSON</t>
  </si>
  <si>
    <t xml:space="preserve">92LEV</t>
  </si>
  <si>
    <t xml:space="preserve">1 ALLEE PIERRE BURELLE</t>
  </si>
  <si>
    <t xml:space="preserve">LEVALLOIS PERRET</t>
  </si>
  <si>
    <t xml:space="preserve">MEISCH</t>
  </si>
  <si>
    <t xml:space="preserve">LE BAIL</t>
  </si>
  <si>
    <t xml:space="preserve">1 BIS RUE COLLANGE</t>
  </si>
  <si>
    <t xml:space="preserve">ARMINJON</t>
  </si>
  <si>
    <t xml:space="preserve">VITALI</t>
  </si>
  <si>
    <t xml:space="preserve">KALIFA</t>
  </si>
  <si>
    <t xml:space="preserve">Golan</t>
  </si>
  <si>
    <t xml:space="preserve">1 RUE DU PARC</t>
  </si>
  <si>
    <t xml:space="preserve">TARGOWLA SCANDOLO</t>
  </si>
  <si>
    <t xml:space="preserve">103 RUE ARISTIDE BRIAND</t>
  </si>
  <si>
    <t xml:space="preserve">ABERTURAS</t>
  </si>
  <si>
    <t xml:space="preserve">Paloma</t>
  </si>
  <si>
    <t xml:space="preserve">GARREAU</t>
  </si>
  <si>
    <t xml:space="preserve">106 RUE BAUDIN</t>
  </si>
  <si>
    <t xml:space="preserve">HAVETTE BLOT</t>
  </si>
  <si>
    <t xml:space="preserve">114 RUE BAUDIN</t>
  </si>
  <si>
    <t xml:space="preserve">ERRARD</t>
  </si>
  <si>
    <t xml:space="preserve">114 RUE VICTOR HUGO</t>
  </si>
  <si>
    <t xml:space="preserve">ISSARTEL</t>
  </si>
  <si>
    <t xml:space="preserve">12 RUE BARBES</t>
  </si>
  <si>
    <t xml:space="preserve">FRETIN</t>
  </si>
  <si>
    <t xml:space="preserve">RISBOURG</t>
  </si>
  <si>
    <t xml:space="preserve">122 BIS RUE LOUIS ROUQUIER</t>
  </si>
  <si>
    <t xml:space="preserve">PARTOUCHE</t>
  </si>
  <si>
    <t xml:space="preserve">122 RUE ANATOLE FRANCE</t>
  </si>
  <si>
    <t xml:space="preserve">OHAYON</t>
  </si>
  <si>
    <t xml:space="preserve">Jordan</t>
  </si>
  <si>
    <t xml:space="preserve">SIMEON</t>
  </si>
  <si>
    <t xml:space="preserve">124 RUE MARIUS AUFAN</t>
  </si>
  <si>
    <t xml:space="preserve">SENNEPIN</t>
  </si>
  <si>
    <t xml:space="preserve">129 RUE DANTON</t>
  </si>
  <si>
    <t xml:space="preserve">TONNELLIER</t>
  </si>
  <si>
    <t xml:space="preserve">18 RUE GREFFULHE</t>
  </si>
  <si>
    <t xml:space="preserve">BENSIMON</t>
  </si>
  <si>
    <t xml:space="preserve">18 RUE MARIUS AUFAN</t>
  </si>
  <si>
    <t xml:space="preserve">BABCHIA</t>
  </si>
  <si>
    <t xml:space="preserve">Habib</t>
  </si>
  <si>
    <t xml:space="preserve">2 BIS RUE CAMILLE PELLETAN</t>
  </si>
  <si>
    <t xml:space="preserve">HOGUIN</t>
  </si>
  <si>
    <t xml:space="preserve">22 RUE D ALSACE</t>
  </si>
  <si>
    <t xml:space="preserve">RIMBAUD</t>
  </si>
  <si>
    <t xml:space="preserve">23 RUE MARIUS AUFAN</t>
  </si>
  <si>
    <t xml:space="preserve">GHAZI</t>
  </si>
  <si>
    <t xml:space="preserve">AYACHE MIMOUN</t>
  </si>
  <si>
    <t xml:space="preserve">25 RUE ERNEST COGNACQ</t>
  </si>
  <si>
    <t xml:space="preserve">CHEMLA PERETZ</t>
  </si>
  <si>
    <t xml:space="preserve">29 RUE KLEBER</t>
  </si>
  <si>
    <t xml:space="preserve">CAUCHON RAULT</t>
  </si>
  <si>
    <t xml:space="preserve">Marie Eve</t>
  </si>
  <si>
    <t xml:space="preserve">MOHEBI</t>
  </si>
  <si>
    <t xml:space="preserve">3 BOULEVARD BINEAU</t>
  </si>
  <si>
    <t xml:space="preserve">MERCKELBAGH</t>
  </si>
  <si>
    <t xml:space="preserve">Hilde</t>
  </si>
  <si>
    <t xml:space="preserve">HÔP FRANCO-BRITANNIQUE</t>
  </si>
  <si>
    <t xml:space="preserve">3 RUE BARBES</t>
  </si>
  <si>
    <t xml:space="preserve">ROSEFORT</t>
  </si>
  <si>
    <t xml:space="preserve">LESAVRE</t>
  </si>
  <si>
    <t xml:space="preserve">Magali</t>
  </si>
  <si>
    <t xml:space="preserve">SAJOVITZ</t>
  </si>
  <si>
    <t xml:space="preserve">BERNABE DUPONT</t>
  </si>
  <si>
    <t xml:space="preserve">CLEMENT</t>
  </si>
  <si>
    <t xml:space="preserve">Denys</t>
  </si>
  <si>
    <t xml:space="preserve">MAIROVITZ BOCQUET</t>
  </si>
  <si>
    <t xml:space="preserve">MANTEL</t>
  </si>
  <si>
    <t xml:space="preserve">TRICHOT</t>
  </si>
  <si>
    <t xml:space="preserve">LAROUZEE</t>
  </si>
  <si>
    <t xml:space="preserve">VERBEQUE</t>
  </si>
  <si>
    <t xml:space="preserve">DOUIBI</t>
  </si>
  <si>
    <t xml:space="preserve">JOLLY PAUL</t>
  </si>
  <si>
    <t xml:space="preserve">Gunita</t>
  </si>
  <si>
    <t xml:space="preserve">RHAZAL</t>
  </si>
  <si>
    <t xml:space="preserve">Soria</t>
  </si>
  <si>
    <t xml:space="preserve">PIERRE</t>
  </si>
  <si>
    <t xml:space="preserve">Erin</t>
  </si>
  <si>
    <t xml:space="preserve">DE CHILLAZ</t>
  </si>
  <si>
    <t xml:space="preserve">NICLOUX</t>
  </si>
  <si>
    <t xml:space="preserve">GAGLIARDONE</t>
  </si>
  <si>
    <t xml:space="preserve">BOUADAM</t>
  </si>
  <si>
    <t xml:space="preserve">Hana</t>
  </si>
  <si>
    <t xml:space="preserve">GHAITH</t>
  </si>
  <si>
    <t xml:space="preserve">Abir</t>
  </si>
  <si>
    <t xml:space="preserve">FERRON</t>
  </si>
  <si>
    <t xml:space="preserve">STRUILLOU</t>
  </si>
  <si>
    <t xml:space="preserve">THIBONNIER</t>
  </si>
  <si>
    <t xml:space="preserve">SOUDEE MAYER</t>
  </si>
  <si>
    <t xml:space="preserve">30 RUE RASPAIL</t>
  </si>
  <si>
    <t xml:space="preserve">DUMITRESCU</t>
  </si>
  <si>
    <t xml:space="preserve">Madalina Andrea</t>
  </si>
  <si>
    <t xml:space="preserve">MORYUSEF</t>
  </si>
  <si>
    <t xml:space="preserve">33 PLACE GEORGES POMPIDOU</t>
  </si>
  <si>
    <t xml:space="preserve">SPECIEL</t>
  </si>
  <si>
    <t xml:space="preserve">35 BIS RUE RIVAY</t>
  </si>
  <si>
    <t xml:space="preserve">BISMUTH</t>
  </si>
  <si>
    <t xml:space="preserve">39 AVENUE GEORGES POMPIDOU</t>
  </si>
  <si>
    <t xml:space="preserve">4 RUE KLEBER</t>
  </si>
  <si>
    <t xml:space="preserve">MASSOT LEGEAY</t>
  </si>
  <si>
    <t xml:space="preserve">BOUAMOUD</t>
  </si>
  <si>
    <t xml:space="preserve">LATRACHE</t>
  </si>
  <si>
    <t xml:space="preserve">Sofya</t>
  </si>
  <si>
    <t xml:space="preserve">ZONGO</t>
  </si>
  <si>
    <t xml:space="preserve">Drissa</t>
  </si>
  <si>
    <t xml:space="preserve">AUFFRET</t>
  </si>
  <si>
    <t xml:space="preserve">DUREAU</t>
  </si>
  <si>
    <t xml:space="preserve">CELERIER</t>
  </si>
  <si>
    <t xml:space="preserve">TRIALOUP</t>
  </si>
  <si>
    <t xml:space="preserve">Sarah Laure</t>
  </si>
  <si>
    <t xml:space="preserve">BANCIU</t>
  </si>
  <si>
    <t xml:space="preserve">Marius</t>
  </si>
  <si>
    <t xml:space="preserve">BOUCHY</t>
  </si>
  <si>
    <t xml:space="preserve">CADENNES</t>
  </si>
  <si>
    <t xml:space="preserve">FORCE</t>
  </si>
  <si>
    <t xml:space="preserve">FOUCART CARON</t>
  </si>
  <si>
    <t xml:space="preserve">Saskia</t>
  </si>
  <si>
    <t xml:space="preserve">JOCKEY</t>
  </si>
  <si>
    <t xml:space="preserve">LEDER</t>
  </si>
  <si>
    <t xml:space="preserve">MOUZAOUI</t>
  </si>
  <si>
    <t xml:space="preserve">Mourad</t>
  </si>
  <si>
    <t xml:space="preserve">PERREAU</t>
  </si>
  <si>
    <t xml:space="preserve">RONSIN ZANKER</t>
  </si>
  <si>
    <t xml:space="preserve">TOUAM</t>
  </si>
  <si>
    <t xml:space="preserve">Maya</t>
  </si>
  <si>
    <t xml:space="preserve">WAGHELA</t>
  </si>
  <si>
    <t xml:space="preserve">Roselyne</t>
  </si>
  <si>
    <t xml:space="preserve">ROBELLAZ</t>
  </si>
  <si>
    <t xml:space="preserve">MAREUSE</t>
  </si>
  <si>
    <t xml:space="preserve">SISSAOUI</t>
  </si>
  <si>
    <t xml:space="preserve">DHABI</t>
  </si>
  <si>
    <t xml:space="preserve">Abdelkader</t>
  </si>
  <si>
    <t xml:space="preserve">HOLLOS</t>
  </si>
  <si>
    <t xml:space="preserve">4 RUE PARFAIT JANS</t>
  </si>
  <si>
    <t xml:space="preserve">LARGET</t>
  </si>
  <si>
    <t xml:space="preserve">40 42 RUE DU PRESIDENT WILSON</t>
  </si>
  <si>
    <t xml:space="preserve">BONNARDEL</t>
  </si>
  <si>
    <t xml:space="preserve">ROSANVAL</t>
  </si>
  <si>
    <t xml:space="preserve">41 AVENUE GEORGES POMPIDOU</t>
  </si>
  <si>
    <t xml:space="preserve">SABAN</t>
  </si>
  <si>
    <t xml:space="preserve">41 RUE ARISTIDE BRIAND</t>
  </si>
  <si>
    <t xml:space="preserve">41 RUE CLEMENT BAYARD</t>
  </si>
  <si>
    <t xml:space="preserve">CHANTELARD</t>
  </si>
  <si>
    <t xml:space="preserve">42 44 RUE TREBOIS</t>
  </si>
  <si>
    <t xml:space="preserve">CHATAIGNAULT</t>
  </si>
  <si>
    <t xml:space="preserve">45 RUE KLEBER</t>
  </si>
  <si>
    <t xml:space="preserve">GUITI HAMIDIEH</t>
  </si>
  <si>
    <t xml:space="preserve">Sepideh</t>
  </si>
  <si>
    <t xml:space="preserve">46 RUE DE VILLIERS</t>
  </si>
  <si>
    <t xml:space="preserve">DANINO</t>
  </si>
  <si>
    <t xml:space="preserve">5 BOULEVARD BINEAU</t>
  </si>
  <si>
    <t xml:space="preserve">STEFANESCU</t>
  </si>
  <si>
    <t xml:space="preserve">Gabriela</t>
  </si>
  <si>
    <t xml:space="preserve">5 PLACE DU MARECHAL DE LATTRE DE TASSIGNY</t>
  </si>
  <si>
    <t xml:space="preserve">CHABBAL</t>
  </si>
  <si>
    <t xml:space="preserve">5 RUE VOLTAIRE</t>
  </si>
  <si>
    <t xml:space="preserve">SASPORTAS</t>
  </si>
  <si>
    <t xml:space="preserve">54 RUE CARNOT</t>
  </si>
  <si>
    <t xml:space="preserve">BUZAGLO BRAUN</t>
  </si>
  <si>
    <t xml:space="preserve">55 RUE LOUISE MICHEL</t>
  </si>
  <si>
    <t xml:space="preserve">DE BEAUCHESNE</t>
  </si>
  <si>
    <t xml:space="preserve">57 61 RUE DU PRESIDENT WILSON</t>
  </si>
  <si>
    <t xml:space="preserve">ZERR</t>
  </si>
  <si>
    <t xml:space="preserve">58 RUE CARNOT</t>
  </si>
  <si>
    <t xml:space="preserve">AISENBERG</t>
  </si>
  <si>
    <t xml:space="preserve">58 RUE DU PRESIDENT WILSON</t>
  </si>
  <si>
    <t xml:space="preserve">HACCOUN</t>
  </si>
  <si>
    <t xml:space="preserve">CLINIQUE MONCEAU</t>
  </si>
  <si>
    <t xml:space="preserve">6 ALLEE AUGUSTE RENOIR</t>
  </si>
  <si>
    <t xml:space="preserve">ME RAPPELLE</t>
  </si>
  <si>
    <t xml:space="preserve">GUENOUX</t>
  </si>
  <si>
    <t xml:space="preserve">BILLERACH DERELY</t>
  </si>
  <si>
    <t xml:space="preserve">6 RUE ARISTIDE BRIAND</t>
  </si>
  <si>
    <t xml:space="preserve">CHAUDOYE</t>
  </si>
  <si>
    <t xml:space="preserve">6 RUE CARNOT</t>
  </si>
  <si>
    <t xml:space="preserve">VINCHENT</t>
  </si>
  <si>
    <t xml:space="preserve">66 RUE DU PRESIDENT WILSON</t>
  </si>
  <si>
    <t xml:space="preserve">AMAR</t>
  </si>
  <si>
    <t xml:space="preserve">68 T RUE MARJOLIN</t>
  </si>
  <si>
    <t xml:space="preserve">70 RUE BAUDIN</t>
  </si>
  <si>
    <t xml:space="preserve">TAOUSS</t>
  </si>
  <si>
    <t xml:space="preserve">Frederik</t>
  </si>
  <si>
    <t xml:space="preserve">72 RUE ANATOLE FRANCE</t>
  </si>
  <si>
    <t xml:space="preserve">RENOULT</t>
  </si>
  <si>
    <t xml:space="preserve">PERALTA</t>
  </si>
  <si>
    <t xml:space="preserve">SIDALI</t>
  </si>
  <si>
    <t xml:space="preserve">Dalila</t>
  </si>
  <si>
    <t xml:space="preserve">ABERCHIH DAHMANE</t>
  </si>
  <si>
    <t xml:space="preserve">75 RUE CARNOT</t>
  </si>
  <si>
    <t xml:space="preserve">CALVET</t>
  </si>
  <si>
    <t xml:space="preserve">Marie Joelle</t>
  </si>
  <si>
    <t xml:space="preserve">77 BIS RUE VOLTAIRE</t>
  </si>
  <si>
    <t xml:space="preserve">nbuméro pas attribué – pas d’autre</t>
  </si>
  <si>
    <t xml:space="preserve">BELLET</t>
  </si>
  <si>
    <t xml:space="preserve">82 RUE BAUDIN</t>
  </si>
  <si>
    <t xml:space="preserve">LIZOP</t>
  </si>
  <si>
    <t xml:space="preserve">Marie Madeleine</t>
  </si>
  <si>
    <t xml:space="preserve">83 RUE ARISTIDE BRIAND</t>
  </si>
  <si>
    <t xml:space="preserve">86 RUE DU PRESIDENT WILSON</t>
  </si>
  <si>
    <t xml:space="preserve">Candice</t>
  </si>
  <si>
    <t xml:space="preserve">BOCCARA</t>
  </si>
  <si>
    <t xml:space="preserve">GOTTHEFF SOUSSAN</t>
  </si>
  <si>
    <t xml:space="preserve">Keren</t>
  </si>
  <si>
    <t xml:space="preserve">86 RUE MARIUS AUFAN</t>
  </si>
  <si>
    <t xml:space="preserve">RIAZUL</t>
  </si>
  <si>
    <t xml:space="preserve">Isshaque</t>
  </si>
  <si>
    <t xml:space="preserve">88 RUE DE VILLIERS</t>
  </si>
  <si>
    <t xml:space="preserve">MARION</t>
  </si>
  <si>
    <t xml:space="preserve">88 RUE RIVAY</t>
  </si>
  <si>
    <t xml:space="preserve">LUQUET</t>
  </si>
  <si>
    <t xml:space="preserve">89 RUE JULES GUESDE</t>
  </si>
  <si>
    <t xml:space="preserve">RAGEAU</t>
  </si>
  <si>
    <t xml:space="preserve">REBETEZ</t>
  </si>
  <si>
    <t xml:space="preserve">BECHARD DE SPIRLET</t>
  </si>
  <si>
    <t xml:space="preserve">9 RUE GREFFULHE</t>
  </si>
  <si>
    <t xml:space="preserve">MAJOU DE LA DEBUTRIE</t>
  </si>
  <si>
    <t xml:space="preserve">DAGOUAT</t>
  </si>
  <si>
    <t xml:space="preserve">90 RUE MARIUS AUFAN</t>
  </si>
  <si>
    <t xml:space="preserve">PRAJS</t>
  </si>
  <si>
    <t xml:space="preserve">92 RUE BAUDIN</t>
  </si>
  <si>
    <t xml:space="preserve">COHEN ROUAH</t>
  </si>
  <si>
    <t xml:space="preserve">92NEU</t>
  </si>
  <si>
    <t xml:space="preserve">1 ALLEE CLAUDE MONET</t>
  </si>
  <si>
    <t xml:space="preserve">NETTER</t>
  </si>
  <si>
    <t xml:space="preserve">YEN</t>
  </si>
  <si>
    <t xml:space="preserve">10 RUE DE L HOTEL DE VILLE</t>
  </si>
  <si>
    <t xml:space="preserve">NEUILLY-SUR-SEINE</t>
  </si>
  <si>
    <t xml:space="preserve">FOUQUIER D HEROUEL</t>
  </si>
  <si>
    <t xml:space="preserve">10 RUE ST PIERRE</t>
  </si>
  <si>
    <t xml:space="preserve">ASSOUS</t>
  </si>
  <si>
    <t xml:space="preserve">Raymond</t>
  </si>
  <si>
    <t xml:space="preserve">109 AVENUE CHARLES DE GAULLE</t>
  </si>
  <si>
    <t xml:space="preserve">GARRIGUE</t>
  </si>
  <si>
    <t xml:space="preserve">LESENECHAL</t>
  </si>
  <si>
    <t xml:space="preserve">11 BIS AVENUE DE MADRID</t>
  </si>
  <si>
    <t xml:space="preserve">LABASTIRE BAIXAS</t>
  </si>
  <si>
    <t xml:space="preserve">11 RUE D ORLEANS</t>
  </si>
  <si>
    <t xml:space="preserve">DESGRANGES</t>
  </si>
  <si>
    <t xml:space="preserve">SELLAM</t>
  </si>
  <si>
    <t xml:space="preserve">LIM</t>
  </si>
  <si>
    <t xml:space="preserve">Chheng Hao</t>
  </si>
  <si>
    <t xml:space="preserve">11 RUE DU GENERAL CORDONNIER</t>
  </si>
  <si>
    <t xml:space="preserve">PELLETIER</t>
  </si>
  <si>
    <t xml:space="preserve">111 AVENUE CHARLES DE GAULLE</t>
  </si>
  <si>
    <t xml:space="preserve">CHARLES</t>
  </si>
  <si>
    <t xml:space="preserve">121 BOULEVARD BINEAU</t>
  </si>
  <si>
    <t xml:space="preserve">MALARMEY</t>
  </si>
  <si>
    <t xml:space="preserve">136 AVENUE ACHILLE PERETTI</t>
  </si>
  <si>
    <t xml:space="preserve">HADDAD HALIMI</t>
  </si>
  <si>
    <t xml:space="preserve">Jean Eric</t>
  </si>
  <si>
    <t xml:space="preserve">143 RUE DE LONGCHAMP</t>
  </si>
  <si>
    <t xml:space="preserve">146 BIS AVENUE CHARLES DE GAULLE</t>
  </si>
  <si>
    <t xml:space="preserve">NEUKIRCH</t>
  </si>
  <si>
    <t xml:space="preserve">15 17 AVENUE STE FOY</t>
  </si>
  <si>
    <t xml:space="preserve">WINTREBERT</t>
  </si>
  <si>
    <t xml:space="preserve">15 BIS RUE DE L EGLISE</t>
  </si>
  <si>
    <t xml:space="preserve">DEROCHE</t>
  </si>
  <si>
    <t xml:space="preserve">152 AVENUE CHARLES DE GAULLE</t>
  </si>
  <si>
    <t xml:space="preserve">ROYER</t>
  </si>
  <si>
    <t xml:space="preserve">BOUKASSEM BOURBIA</t>
  </si>
  <si>
    <t xml:space="preserve">Sabiha</t>
  </si>
  <si>
    <t xml:space="preserve">153 AVENUE CHARLES DE GAULLE</t>
  </si>
  <si>
    <t xml:space="preserve">BORDON</t>
  </si>
  <si>
    <t xml:space="preserve">155 AVENUE CHARLES DE GAULLE</t>
  </si>
  <si>
    <t xml:space="preserve">160 AVENUE CHARLES DE GAULLE</t>
  </si>
  <si>
    <t xml:space="preserve">CHICHE</t>
  </si>
  <si>
    <t xml:space="preserve">MAURETTE</t>
  </si>
  <si>
    <t xml:space="preserve">GILLET</t>
  </si>
  <si>
    <t xml:space="preserve">169 AVENUE ACHILLE PERETTI</t>
  </si>
  <si>
    <t xml:space="preserve">TROLLIET</t>
  </si>
  <si>
    <t xml:space="preserve">MGHAIETH</t>
  </si>
  <si>
    <t xml:space="preserve">Khaled</t>
  </si>
  <si>
    <t xml:space="preserve">190 BOULEVARD BINEAU</t>
  </si>
  <si>
    <t xml:space="preserve">NISOLLE TAOUREL</t>
  </si>
  <si>
    <t xml:space="preserve">VALLEE</t>
  </si>
  <si>
    <t xml:space="preserve">2 BIS RUE DE L EGLISE</t>
  </si>
  <si>
    <t xml:space="preserve">LE DUC SOLUS</t>
  </si>
  <si>
    <t xml:space="preserve">2 RUE DES HUISSIERS</t>
  </si>
  <si>
    <t xml:space="preserve">20 AVENUE CHARLES DE GAULLE</t>
  </si>
  <si>
    <t xml:space="preserve">LASSALLE</t>
  </si>
  <si>
    <t xml:space="preserve">LARRE DOUILLARD</t>
  </si>
  <si>
    <t xml:space="preserve">203 AVENUE CHARLES DE GAULLE</t>
  </si>
  <si>
    <t xml:space="preserve">21 23 RUE MONTROSIER</t>
  </si>
  <si>
    <t xml:space="preserve">RICCHI</t>
  </si>
  <si>
    <t xml:space="preserve">ANDLAUER HELLOCO</t>
  </si>
  <si>
    <t xml:space="preserve">25 27 BOULEVARD VICTOR HUGO</t>
  </si>
  <si>
    <t xml:space="preserve">BRISSET</t>
  </si>
  <si>
    <t xml:space="preserve">LISOVOSKI</t>
  </si>
  <si>
    <t xml:space="preserve">BOUHNIK</t>
  </si>
  <si>
    <t xml:space="preserve">Yoram</t>
  </si>
  <si>
    <t xml:space="preserve">CLI AMBROISE PARÉ</t>
  </si>
  <si>
    <t xml:space="preserve">26 BOULEVARD VICTOR HUGO</t>
  </si>
  <si>
    <t xml:space="preserve">Pr.</t>
  </si>
  <si>
    <t xml:space="preserve">TANASA STEFANESCU</t>
  </si>
  <si>
    <t xml:space="preserve">Carmen</t>
  </si>
  <si>
    <t xml:space="preserve">Coo laissées à la secrétaire</t>
  </si>
  <si>
    <t xml:space="preserve">KHEFACHA</t>
  </si>
  <si>
    <t xml:space="preserve">Ahmed</t>
  </si>
  <si>
    <t xml:space="preserve">DUPUI</t>
  </si>
  <si>
    <t xml:space="preserve">27 BOULEVARD VICTOR HUGO</t>
  </si>
  <si>
    <t xml:space="preserve">VERDIERE</t>
  </si>
  <si>
    <t xml:space="preserve">3 BIS RUE SOYER</t>
  </si>
  <si>
    <t xml:space="preserve">BELOUCIF KEFSI</t>
  </si>
  <si>
    <t xml:space="preserve">Lynda</t>
  </si>
  <si>
    <t xml:space="preserve">HÔP DE NEUILLY</t>
  </si>
  <si>
    <t xml:space="preserve">36 BOULEVARD DU GENERAL LECLERC</t>
  </si>
  <si>
    <t xml:space="preserve">BEN NASR</t>
  </si>
  <si>
    <t xml:space="preserve">FOMMARTY</t>
  </si>
  <si>
    <t xml:space="preserve">MOSER</t>
  </si>
  <si>
    <t xml:space="preserve">GALIMARD</t>
  </si>
  <si>
    <t xml:space="preserve">MAZIGHI LE GOFF</t>
  </si>
  <si>
    <t xml:space="preserve">POUJADE</t>
  </si>
  <si>
    <t xml:space="preserve">ABBOU</t>
  </si>
  <si>
    <t xml:space="preserve">Siham</t>
  </si>
  <si>
    <t xml:space="preserve">BOTTO</t>
  </si>
  <si>
    <t xml:space="preserve">CARREZ</t>
  </si>
  <si>
    <t xml:space="preserve">BONTOUX</t>
  </si>
  <si>
    <t xml:space="preserve">Laure Marie</t>
  </si>
  <si>
    <t xml:space="preserve">BOUZIDI</t>
  </si>
  <si>
    <t xml:space="preserve">Anissa</t>
  </si>
  <si>
    <t xml:space="preserve">ROHFRITSCH PHUNG</t>
  </si>
  <si>
    <t xml:space="preserve">Thanh Vy</t>
  </si>
  <si>
    <t xml:space="preserve">WEYMULLER</t>
  </si>
  <si>
    <t xml:space="preserve">AMMOUS</t>
  </si>
  <si>
    <t xml:space="preserve">VALENTIN</t>
  </si>
  <si>
    <t xml:space="preserve">LEQUOY</t>
  </si>
  <si>
    <t xml:space="preserve">PROUHEZE</t>
  </si>
  <si>
    <t xml:space="preserve">ROSE</t>
  </si>
  <si>
    <t xml:space="preserve">SADAOULI</t>
  </si>
  <si>
    <t xml:space="preserve">BOTELLA</t>
  </si>
  <si>
    <t xml:space="preserve">DUTECH</t>
  </si>
  <si>
    <t xml:space="preserve">HADRAMI</t>
  </si>
  <si>
    <t xml:space="preserve">Jamal</t>
  </si>
  <si>
    <t xml:space="preserve">VIGNOLO</t>
  </si>
  <si>
    <t xml:space="preserve">CORNU</t>
  </si>
  <si>
    <t xml:space="preserve">Antonin</t>
  </si>
  <si>
    <t xml:space="preserve">DUBRAY</t>
  </si>
  <si>
    <t xml:space="preserve">Laureline</t>
  </si>
  <si>
    <t xml:space="preserve">MAILLARD</t>
  </si>
  <si>
    <t xml:space="preserve">Amelie</t>
  </si>
  <si>
    <t xml:space="preserve">ABERKANE DURAND</t>
  </si>
  <si>
    <t xml:space="preserve">Asma</t>
  </si>
  <si>
    <t xml:space="preserve">AKIL</t>
  </si>
  <si>
    <t xml:space="preserve">Rachida</t>
  </si>
  <si>
    <t xml:space="preserve">BLOT</t>
  </si>
  <si>
    <t xml:space="preserve">CHERNAI</t>
  </si>
  <si>
    <t xml:space="preserve">GATEL</t>
  </si>
  <si>
    <t xml:space="preserve">MARCU MARIN</t>
  </si>
  <si>
    <t xml:space="preserve">PEJOAN</t>
  </si>
  <si>
    <t xml:space="preserve">AHMED ALI</t>
  </si>
  <si>
    <t xml:space="preserve">Nassima</t>
  </si>
  <si>
    <t xml:space="preserve">FICHTER</t>
  </si>
  <si>
    <t xml:space="preserve">HARBULOT</t>
  </si>
  <si>
    <t xml:space="preserve">LOGE</t>
  </si>
  <si>
    <t xml:space="preserve">LAGHA</t>
  </si>
  <si>
    <t xml:space="preserve">Maha</t>
  </si>
  <si>
    <t xml:space="preserve">DUPONT ANDRE</t>
  </si>
  <si>
    <t xml:space="preserve">BEZZINE</t>
  </si>
  <si>
    <t xml:space="preserve">HAJJI</t>
  </si>
  <si>
    <t xml:space="preserve">Hela</t>
  </si>
  <si>
    <t xml:space="preserve">BELKAID</t>
  </si>
  <si>
    <t xml:space="preserve">Celena</t>
  </si>
  <si>
    <t xml:space="preserve">BENISSA</t>
  </si>
  <si>
    <t xml:space="preserve">Mohamed Reda</t>
  </si>
  <si>
    <t xml:space="preserve">BOURGINE</t>
  </si>
  <si>
    <t xml:space="preserve">Tina</t>
  </si>
  <si>
    <t xml:space="preserve">BARBOTIN</t>
  </si>
  <si>
    <t xml:space="preserve">CAVAN</t>
  </si>
  <si>
    <t xml:space="preserve">LAHOCHE</t>
  </si>
  <si>
    <t xml:space="preserve">Marie Alice</t>
  </si>
  <si>
    <t xml:space="preserve">PELTIER</t>
  </si>
  <si>
    <t xml:space="preserve">Justine</t>
  </si>
  <si>
    <t xml:space="preserve">MARETTE</t>
  </si>
  <si>
    <t xml:space="preserve">VISINET</t>
  </si>
  <si>
    <t xml:space="preserve">4 RUE DEVES</t>
  </si>
  <si>
    <t xml:space="preserve">SALMI</t>
  </si>
  <si>
    <t xml:space="preserve">CMP DE NEUILLY</t>
  </si>
  <si>
    <t xml:space="preserve">40 RUE DU PONT</t>
  </si>
  <si>
    <t xml:space="preserve">Yamouna</t>
  </si>
  <si>
    <t xml:space="preserve">MOSHARRAF OL MOLK</t>
  </si>
  <si>
    <t xml:space="preserve">Homa</t>
  </si>
  <si>
    <t xml:space="preserve">BACHA</t>
  </si>
  <si>
    <t xml:space="preserve">AZAIZ</t>
  </si>
  <si>
    <t xml:space="preserve">Djamel</t>
  </si>
  <si>
    <t xml:space="preserve">HERBELIN</t>
  </si>
  <si>
    <t xml:space="preserve">41 BOULEVARD PAUL EMILE VICTOR</t>
  </si>
  <si>
    <t xml:space="preserve">FABRE TESTE</t>
  </si>
  <si>
    <t xml:space="preserve">41 RUE MADELEINE MICHELIS</t>
  </si>
  <si>
    <t xml:space="preserve">MANDERFELD</t>
  </si>
  <si>
    <t xml:space="preserve">48 T BOULEVARD VICTOR HUGO</t>
  </si>
  <si>
    <t xml:space="preserve">BADER</t>
  </si>
  <si>
    <t xml:space="preserve">NIRO</t>
  </si>
  <si>
    <t xml:space="preserve">FLORET</t>
  </si>
  <si>
    <t xml:space="preserve">PORTEFAIX</t>
  </si>
  <si>
    <t xml:space="preserve">5 AVENUE STE FOY</t>
  </si>
  <si>
    <t xml:space="preserve">DWORZAK ROPERT</t>
  </si>
  <si>
    <t xml:space="preserve">5 BIS RUE SOYER</t>
  </si>
  <si>
    <t xml:space="preserve">NATHAN ABOU</t>
  </si>
  <si>
    <t xml:space="preserve">CLI PIERRE CHEREST</t>
  </si>
  <si>
    <t xml:space="preserve">5 RUE PIERRE CHEREST</t>
  </si>
  <si>
    <t xml:space="preserve">SCARABIN CARRE</t>
  </si>
  <si>
    <t xml:space="preserve">LEMAITRE</t>
  </si>
  <si>
    <t xml:space="preserve">Joumana</t>
  </si>
  <si>
    <t xml:space="preserve">MARGULIES</t>
  </si>
  <si>
    <t xml:space="preserve">GAUCHE CAZALIS</t>
  </si>
  <si>
    <t xml:space="preserve">CHETRIT</t>
  </si>
  <si>
    <t xml:space="preserve">50 AVENUE DU ROULE</t>
  </si>
  <si>
    <t xml:space="preserve">58 BOULEVARD D ARGENSON</t>
  </si>
  <si>
    <t xml:space="preserve">BAMMOUNE</t>
  </si>
  <si>
    <t xml:space="preserve">Zahra</t>
  </si>
  <si>
    <t xml:space="preserve">MONSOH</t>
  </si>
  <si>
    <t xml:space="preserve">Lincoln</t>
  </si>
  <si>
    <t xml:space="preserve">FACON CAMBRAI</t>
  </si>
  <si>
    <t xml:space="preserve">QUITTELIER</t>
  </si>
  <si>
    <t xml:space="preserve">RIBAUT</t>
  </si>
  <si>
    <t xml:space="preserve">QUARTON MICHAUD</t>
  </si>
  <si>
    <t xml:space="preserve">6 RUE BOUTARD</t>
  </si>
  <si>
    <t xml:space="preserve">CUSIN</t>
  </si>
  <si>
    <t xml:space="preserve">6 RUE DELABORDERE</t>
  </si>
  <si>
    <t xml:space="preserve">TARAVEL</t>
  </si>
  <si>
    <t xml:space="preserve">60 62 RUE DE CHEZY</t>
  </si>
  <si>
    <t xml:space="preserve">CHARBIT</t>
  </si>
  <si>
    <t xml:space="preserve">HÔP AMÉRICAIN</t>
  </si>
  <si>
    <t xml:space="preserve">63 BOULEVARD VICTOR HUGO</t>
  </si>
  <si>
    <t xml:space="preserve">GOMPEL</t>
  </si>
  <si>
    <t xml:space="preserve">KARSENTY</t>
  </si>
  <si>
    <t xml:space="preserve">ZYLBERBERG</t>
  </si>
  <si>
    <t xml:space="preserve">SAMAHA</t>
  </si>
  <si>
    <t xml:space="preserve">Elia</t>
  </si>
  <si>
    <t xml:space="preserve">BOIKO</t>
  </si>
  <si>
    <t xml:space="preserve">Oksana</t>
  </si>
  <si>
    <t xml:space="preserve">YAMGNANE KIRSCH</t>
  </si>
  <si>
    <t xml:space="preserve">Amina</t>
  </si>
  <si>
    <t xml:space="preserve">KRIEF</t>
  </si>
  <si>
    <t xml:space="preserve">Fabien</t>
  </si>
  <si>
    <t xml:space="preserve">BRAMI</t>
  </si>
  <si>
    <t xml:space="preserve">SANANES</t>
  </si>
  <si>
    <t xml:space="preserve">MC GINNIS</t>
  </si>
  <si>
    <t xml:space="preserve">Jocelyn</t>
  </si>
  <si>
    <t xml:space="preserve">ROLET</t>
  </si>
  <si>
    <t xml:space="preserve">SEDBON</t>
  </si>
  <si>
    <t xml:space="preserve">TIBI</t>
  </si>
  <si>
    <t xml:space="preserve">NISAND</t>
  </si>
  <si>
    <t xml:space="preserve">Israel</t>
  </si>
  <si>
    <t xml:space="preserve">GEYL</t>
  </si>
  <si>
    <t xml:space="preserve">GEORGES PICOT</t>
  </si>
  <si>
    <t xml:space="preserve">SIOU</t>
  </si>
  <si>
    <t xml:space="preserve">STUDER</t>
  </si>
  <si>
    <t xml:space="preserve">CHAPON</t>
  </si>
  <si>
    <t xml:space="preserve">KHAYAT</t>
  </si>
  <si>
    <t xml:space="preserve">KILMARTIN</t>
  </si>
  <si>
    <t xml:space="preserve">MIMURA</t>
  </si>
  <si>
    <t xml:space="preserve">Yoshihiro</t>
  </si>
  <si>
    <t xml:space="preserve">PAPON</t>
  </si>
  <si>
    <t xml:space="preserve">SHIGGINS</t>
  </si>
  <si>
    <t xml:space="preserve">ALLA</t>
  </si>
  <si>
    <t xml:space="preserve">GUGLIELMI</t>
  </si>
  <si>
    <t xml:space="preserve">TAILLIA</t>
  </si>
  <si>
    <t xml:space="preserve">SCHNEBLE IBOS AUGE</t>
  </si>
  <si>
    <t xml:space="preserve">Nathanaelle</t>
  </si>
  <si>
    <t xml:space="preserve">LOVEJOY</t>
  </si>
  <si>
    <t xml:space="preserve">John</t>
  </si>
  <si>
    <t xml:space="preserve">RAAB</t>
  </si>
  <si>
    <t xml:space="preserve">LAURY</t>
  </si>
  <si>
    <t xml:space="preserve">KRYS</t>
  </si>
  <si>
    <t xml:space="preserve">74 76 BOULEVARD BOURDON</t>
  </si>
  <si>
    <t xml:space="preserve">WICART POQUE</t>
  </si>
  <si>
    <t xml:space="preserve">80 AVENUE CHARLES DE GAULLE</t>
  </si>
  <si>
    <t xml:space="preserve">SIBEUD</t>
  </si>
  <si>
    <t xml:space="preserve">MENEUX</t>
  </si>
  <si>
    <t xml:space="preserve">85 AVENUE CHARLES DE GAULLE</t>
  </si>
  <si>
    <t xml:space="preserve">GABRIEL</t>
  </si>
  <si>
    <t xml:space="preserve">86 RUE DE LONGCHAMP</t>
  </si>
  <si>
    <t xml:space="preserve">HUEBER</t>
  </si>
  <si>
    <t xml:space="preserve">88 BIS AVENUE CHARLES DE GAULLE</t>
  </si>
  <si>
    <t xml:space="preserve">SAULNIER</t>
  </si>
  <si>
    <t xml:space="preserve">BARNICHON</t>
  </si>
  <si>
    <t xml:space="preserve">89 BOULEVARD BINEAU</t>
  </si>
  <si>
    <t xml:space="preserve">BARANES</t>
  </si>
  <si>
    <t xml:space="preserve">9 AVENUE STE FOY</t>
  </si>
  <si>
    <t xml:space="preserve">CAILLAUD BARANES</t>
  </si>
  <si>
    <t xml:space="preserve">CABINET COMMUN BARANES</t>
  </si>
  <si>
    <t xml:space="preserve">D ESCATHA</t>
  </si>
  <si>
    <t xml:space="preserve">9 RUE ANCELLE</t>
  </si>
  <si>
    <t xml:space="preserve">MOUROT</t>
  </si>
  <si>
    <t xml:space="preserve">90 AVENUE CHARLES DE GAULLE</t>
  </si>
  <si>
    <t xml:space="preserve">CIP</t>
  </si>
  <si>
    <t xml:space="preserve">NOM</t>
  </si>
  <si>
    <t xml:space="preserve">UGA</t>
  </si>
  <si>
    <t xml:space="preserve">CIB. DP</t>
  </si>
  <si>
    <t xml:space="preserve">CIB. DSO</t>
  </si>
  <si>
    <t xml:space="preserve">NV2022</t>
  </si>
  <si>
    <t xml:space="preserve">DDV</t>
  </si>
  <si>
    <t xml:space="preserve">CA CIRCADIN
CMA Fev.23</t>
  </si>
  <si>
    <t xml:space="preserve">RANG
CA CIRCADIN</t>
  </si>
  <si>
    <t xml:space="preserve">CA UL
CMA Fev.23</t>
  </si>
  <si>
    <t xml:space="preserve">RANG
CA UL</t>
  </si>
  <si>
    <t xml:space="preserve"> CA CIRCADIN
CMA Juin.23 </t>
  </si>
  <si>
    <t xml:space="preserve"> CA UL
CMA Juin.23 </t>
  </si>
  <si>
    <t xml:space="preserve">DEC. 2023</t>
  </si>
  <si>
    <t xml:space="preserve">GROUPEMENT</t>
  </si>
  <si>
    <t xml:space="preserve">CONTRAT 2023</t>
  </si>
  <si>
    <t xml:space="preserve">PHARMACIE PONSARD</t>
  </si>
  <si>
    <t xml:space="preserve">4 CHAUSSEE DE LA MUETTE</t>
  </si>
  <si>
    <t xml:space="preserve">CA&lt;7500 PARTENAIRE</t>
  </si>
  <si>
    <t xml:space="preserve">PHARMACIE ZANEA</t>
  </si>
  <si>
    <t xml:space="preserve">13 RUE DU COMMERCE</t>
  </si>
  <si>
    <t xml:space="preserve">APOTHICAL</t>
  </si>
  <si>
    <t xml:space="preserve">IPHARM</t>
  </si>
  <si>
    <t xml:space="preserve">PHARMACIE SEGUIN</t>
  </si>
  <si>
    <t xml:space="preserve">141 RUE DE LA TOUR</t>
  </si>
  <si>
    <t xml:space="preserve">CA&gt;7500 STAR PLUS COOP</t>
  </si>
  <si>
    <t xml:space="preserve">PHARMACIE ZANA</t>
  </si>
  <si>
    <t xml:space="preserve">55 AVENUE DE SUFFREN</t>
  </si>
  <si>
    <t xml:space="preserve">APRIUM</t>
  </si>
  <si>
    <t xml:space="preserve">PHARMACIE DE LA PORTE D AUTEUIL</t>
  </si>
  <si>
    <t xml:space="preserve">52 RUE D AUTEUIL</t>
  </si>
  <si>
    <t xml:space="preserve">PHARMACIE DE LA POMPE</t>
  </si>
  <si>
    <t xml:space="preserve">66 RUE DE LA POMPE</t>
  </si>
  <si>
    <t xml:space="preserve">COS 500</t>
  </si>
  <si>
    <t xml:space="preserve">PHARMACIE EXELMANS</t>
  </si>
  <si>
    <t xml:space="preserve">77 BOULEVARD EXELMANS</t>
  </si>
  <si>
    <t xml:space="preserve">CENTRALE DES PHARMACIENS</t>
  </si>
  <si>
    <t xml:space="preserve">CA&gt;7500 PARTENAIRE PLUS</t>
  </si>
  <si>
    <t xml:space="preserve">PHARMACIE BAILLY</t>
  </si>
  <si>
    <t xml:space="preserve">48 B AVENUE MOZART</t>
  </si>
  <si>
    <t xml:space="preserve">EXCEL PHARMA</t>
  </si>
  <si>
    <t xml:space="preserve">CA&lt;7500 TOP24</t>
  </si>
  <si>
    <t xml:space="preserve">PHARMACIE DE L ECOLE DE GUERRE</t>
  </si>
  <si>
    <t xml:space="preserve">57 B AVENUE DE LA MOTTE PICQUET</t>
  </si>
  <si>
    <t xml:space="preserve">PHARMACIE DE LONGCHAMPS</t>
  </si>
  <si>
    <t xml:space="preserve">9 B RUE ERNEST DELOISON</t>
  </si>
  <si>
    <t xml:space="preserve">NEUILLY SUR SEINE</t>
  </si>
  <si>
    <t xml:space="preserve">PHARMACIE DU GARIGLIANO</t>
  </si>
  <si>
    <t xml:space="preserve">167 AVENUE DE VERSAILLES</t>
  </si>
  <si>
    <t xml:space="preserve">PHARMACIE DU MARCHE</t>
  </si>
  <si>
    <t xml:space="preserve">197 AVENUE DE VERSAILLES</t>
  </si>
  <si>
    <t xml:space="preserve">PHARMAZON</t>
  </si>
  <si>
    <t xml:space="preserve">PHARMACIE WUHRLIN CHARBONNEL</t>
  </si>
  <si>
    <t xml:space="preserve">64 RUE DE TOCQUEVILLE</t>
  </si>
  <si>
    <t xml:space="preserve">LEADER SANTE/ APRIUM STAR</t>
  </si>
  <si>
    <t xml:space="preserve">PHARMACIE AOUIZERAT</t>
  </si>
  <si>
    <t xml:space="preserve">43 RUE D AUTEUIL</t>
  </si>
  <si>
    <t xml:space="preserve">PHARMACIE LEON</t>
  </si>
  <si>
    <t xml:space="preserve">39 BOULEVARD DE GRENELLE</t>
  </si>
  <si>
    <t xml:space="preserve">PHARMACIE DE LA PORTE DE SAINT CLOUD</t>
  </si>
  <si>
    <t xml:space="preserve">122 BOULEVARD MURAT</t>
  </si>
  <si>
    <t xml:space="preserve">ELSIE</t>
  </si>
  <si>
    <t xml:space="preserve">ELSIE VIP</t>
  </si>
  <si>
    <t xml:space="preserve">PHARMACIE DE NEUILLY</t>
  </si>
  <si>
    <t xml:space="preserve">43 RUE DE CHARTRES</t>
  </si>
  <si>
    <t xml:space="preserve">LEADER SANTE/ APRIUM STAR PLUS</t>
  </si>
  <si>
    <t xml:space="preserve">PHARMACIE EL KAIM LESELBAUM</t>
  </si>
  <si>
    <t xml:space="preserve">1 PLACE DE LA REPUBLIQUE</t>
  </si>
  <si>
    <t xml:space="preserve">PHARMACTIV</t>
  </si>
  <si>
    <t xml:space="preserve">CA&lt;7500 STAR</t>
  </si>
  <si>
    <t xml:space="preserve">PHARMACIE ANGLAISE</t>
  </si>
  <si>
    <t xml:space="preserve">62 AVENUE DES CHAMPS ELYSEES</t>
  </si>
  <si>
    <t xml:space="preserve">APRIUM UM</t>
  </si>
  <si>
    <t xml:space="preserve">PHARMACIE BOUCICAUT</t>
  </si>
  <si>
    <t xml:space="preserve">45 AVENUE FELIX FAURE</t>
  </si>
  <si>
    <t xml:space="preserve">SUPRAPHARM</t>
  </si>
  <si>
    <t xml:space="preserve">PHARMACIE DU PONT DE NEUILLY</t>
  </si>
  <si>
    <t xml:space="preserve">174 AVENUE CHARLES DE GAULLE</t>
  </si>
  <si>
    <t xml:space="preserve">ALPHEGA DIAMANT</t>
  </si>
  <si>
    <t xml:space="preserve">PHARMACIE LOURMEL</t>
  </si>
  <si>
    <t xml:space="preserve">105 AVENUE FELIX FAURE</t>
  </si>
  <si>
    <t xml:space="preserve">PHARMACIE DES BELLES FEUILLES</t>
  </si>
  <si>
    <t xml:space="preserve">37 41 RUE SAINT DIDIER</t>
  </si>
  <si>
    <t xml:space="preserve">LEADER SANTE</t>
  </si>
  <si>
    <t xml:space="preserve">PHARMACIE DE LA TERRASSE</t>
  </si>
  <si>
    <t xml:space="preserve">35 RUE DE LEVIS</t>
  </si>
  <si>
    <t xml:space="preserve">PHARMACIE DU ROULE</t>
  </si>
  <si>
    <t xml:space="preserve">8 PLACE DU GENERAL GOURAUD</t>
  </si>
  <si>
    <t xml:space="preserve">PHARMACIE BOULAINVILLIERS</t>
  </si>
  <si>
    <t xml:space="preserve">48 RUE DE BOULAINVILLIERS</t>
  </si>
  <si>
    <t xml:space="preserve">GRANDE PHARMACIE D AUTEUIL</t>
  </si>
  <si>
    <t xml:space="preserve">4 RUE POUSSIN</t>
  </si>
  <si>
    <t xml:space="preserve">PHARMAVIE GOLD</t>
  </si>
  <si>
    <t xml:space="preserve">PHARMACIE MOREAU</t>
  </si>
  <si>
    <t xml:space="preserve">5 PLACE DE MEXICO</t>
  </si>
  <si>
    <t xml:space="preserve">PHARMACIE CONSEIL PASSY</t>
  </si>
  <si>
    <t xml:space="preserve">7 RUE DE L ALBONI</t>
  </si>
  <si>
    <t xml:space="preserve">PHARMACIE SOLARD</t>
  </si>
  <si>
    <t xml:space="preserve">106 BOULEVARD DE COURCELLES</t>
  </si>
  <si>
    <t xml:space="preserve">PHARMACIE DU GRAND PAVOIS</t>
  </si>
  <si>
    <t xml:space="preserve">360 RUE LECOURBE</t>
  </si>
  <si>
    <t xml:space="preserve">PHARMACIE NECKER</t>
  </si>
  <si>
    <t xml:space="preserve">47 BOULEVARD PASTEUR</t>
  </si>
  <si>
    <t xml:space="preserve">COTE PHARMA</t>
  </si>
  <si>
    <t xml:space="preserve">PHARMACIE PHARMAVANCE</t>
  </si>
  <si>
    <t xml:space="preserve">315 RUE DE VAUGIRARD</t>
  </si>
  <si>
    <t xml:space="preserve">PHARMACIE LITSCHI</t>
  </si>
  <si>
    <t xml:space="preserve">156 AVENUE VICTOR HUGO</t>
  </si>
  <si>
    <t xml:space="preserve">PHARMACIE REMUSAT</t>
  </si>
  <si>
    <t xml:space="preserve">14 RUE DE REMUSAT</t>
  </si>
  <si>
    <t xml:space="preserve">PHARMACIE LECOURBE CAMBRONNE</t>
  </si>
  <si>
    <t xml:space="preserve">GRANDE PHARMACIE DOUMER PASSY</t>
  </si>
  <si>
    <t xml:space="preserve">83 AVENUE PAUL DOUMER</t>
  </si>
  <si>
    <t xml:space="preserve">PHARMACIE GRENELLE TOUR EIFFEL</t>
  </si>
  <si>
    <t xml:space="preserve">63 BOULEVARD DE GRENELLE</t>
  </si>
  <si>
    <t xml:space="preserve">PHARMACIE DU CENTRE</t>
  </si>
  <si>
    <t xml:space="preserve">89 AVENUE DU ROULE</t>
  </si>
  <si>
    <t xml:space="preserve">PHARMACIE BUGEAUD</t>
  </si>
  <si>
    <t xml:space="preserve">18 AVENUE BUGEAUD</t>
  </si>
  <si>
    <t xml:space="preserve">PHARMACIE PLACE CAMBRONNE</t>
  </si>
  <si>
    <t xml:space="preserve">6 PLACE CAMBRONNE</t>
  </si>
  <si>
    <t xml:space="preserve">PHARMACIE CHARLES MICHELS</t>
  </si>
  <si>
    <t xml:space="preserve">9 PLACE CHARLES MICHELS</t>
  </si>
  <si>
    <t xml:space="preserve">PHARMACIE PARIS EIFFEL</t>
  </si>
  <si>
    <t xml:space="preserve">114 RUE SAINT DOMINIQUE</t>
  </si>
  <si>
    <t xml:space="preserve">PHARMACIE BEAUGRENELLE</t>
  </si>
  <si>
    <t xml:space="preserve">36 B RUE DES ENTREPRENEURS</t>
  </si>
  <si>
    <t xml:space="preserve">PHARMACIE FELLOUS</t>
  </si>
  <si>
    <t xml:space="preserve">CA&gt;7500 STAR PLUS</t>
  </si>
  <si>
    <t xml:space="preserve">PHARMACIE PARISIENNE</t>
  </si>
  <si>
    <t xml:space="preserve">104 RUE SAINT DOMINIQUE</t>
  </si>
  <si>
    <t xml:space="preserve">PHARMAVIE ULTIMATE</t>
  </si>
  <si>
    <t xml:space="preserve">PHARMACIE SAINT JAMES</t>
  </si>
  <si>
    <t xml:space="preserve">14 AVENUE DE MADRID</t>
  </si>
  <si>
    <t xml:space="preserve">GRANDE PHARMACIE FALGUIERE</t>
  </si>
  <si>
    <t xml:space="preserve">6 PLACE FALGUIERE</t>
  </si>
  <si>
    <t xml:space="preserve">PHARMACIE CONTET</t>
  </si>
  <si>
    <t xml:space="preserve">1 RUE DUBAN</t>
  </si>
  <si>
    <t xml:space="preserve">PYXIS</t>
  </si>
  <si>
    <t xml:space="preserve">PHARMACIE DU PARC DES PRINCES</t>
  </si>
  <si>
    <t xml:space="preserve">92 BOULEVARD MURAT</t>
  </si>
  <si>
    <t xml:space="preserve">PHARMACIE SAINT LAMBERT</t>
  </si>
  <si>
    <t xml:space="preserve">188 RUE LECOURBE</t>
  </si>
  <si>
    <t xml:space="preserve">PHARMACIE BAYEN</t>
  </si>
  <si>
    <t xml:space="preserve">45 RUE BAYEN</t>
  </si>
  <si>
    <t xml:space="preserve">PHARMACIE LAFARGE</t>
  </si>
  <si>
    <t xml:space="preserve">25 RUE DU BOIS DE BOULOGNE</t>
  </si>
  <si>
    <t xml:space="preserve">PHARMACIE CENTRALE DE PASSY</t>
  </si>
  <si>
    <t xml:space="preserve">38 RUE DE PASSY</t>
  </si>
  <si>
    <t xml:space="preserve">GRANDE PHARMACIE DU MARCHE</t>
  </si>
  <si>
    <t xml:space="preserve">211 RUE DE LA CONVENTION</t>
  </si>
  <si>
    <t xml:space="preserve">PHARMACIE BAC VERNEUIL</t>
  </si>
  <si>
    <t xml:space="preserve">19 RUE DU BAC</t>
  </si>
  <si>
    <t xml:space="preserve">PHARMACIE BROSSOLETTE</t>
  </si>
  <si>
    <t xml:space="preserve">26 RUE PIERRE BROSSOLETTE</t>
  </si>
  <si>
    <t xml:space="preserve">PHARMACIE DE VILLIERS</t>
  </si>
  <si>
    <t xml:space="preserve">8 AVENUE DE VILLIERS</t>
  </si>
  <si>
    <t xml:space="preserve">PHARMACIE FRANCAISE</t>
  </si>
  <si>
    <t xml:space="preserve">40 RUE DES ACACIAS</t>
  </si>
  <si>
    <t xml:space="preserve">SYNERGIPHAR</t>
  </si>
  <si>
    <t xml:space="preserve">PHARMACIE DE PRONY</t>
  </si>
  <si>
    <t xml:space="preserve">53 RUE DE PRONY</t>
  </si>
  <si>
    <t xml:space="preserve">PHARMACIE BOULET</t>
  </si>
  <si>
    <t xml:space="preserve">PHARMACIE LA FONTAINE</t>
  </si>
  <si>
    <t xml:space="preserve">4 RUE JEAN DE LA FONTAINE</t>
  </si>
  <si>
    <t xml:space="preserve">PHARMACIE BASIRE</t>
  </si>
  <si>
    <t xml:space="preserve">143 RUE DE LA POMPE</t>
  </si>
  <si>
    <t xml:space="preserve">PHARMACIE DE SEVRES</t>
  </si>
  <si>
    <t xml:space="preserve">119 RUE DE SEVRES</t>
  </si>
  <si>
    <t xml:space="preserve">PHARMACIE 111</t>
  </si>
  <si>
    <t xml:space="preserve">111 AVENUE VICTOR HUGO</t>
  </si>
  <si>
    <t xml:space="preserve">PHARMACIE DE LA PORTE DE VERSAILLES</t>
  </si>
  <si>
    <t xml:space="preserve">395 397 RUE DE VAUGIRARD</t>
  </si>
  <si>
    <t xml:space="preserve">PHARMACIE DE L EUROPE</t>
  </si>
  <si>
    <t xml:space="preserve">20 AVENUE DE L EUROPE</t>
  </si>
  <si>
    <t xml:space="preserve">PHARMACIE MALESHERBES</t>
  </si>
  <si>
    <t xml:space="preserve">87 BOULEVARD MALESHERBES</t>
  </si>
  <si>
    <t xml:space="preserve">EVOLUPHARM</t>
  </si>
  <si>
    <t xml:space="preserve">PHARMACIE RONCIN</t>
  </si>
  <si>
    <t xml:space="preserve">25 27 RUE JOUFFROY D ABBANS</t>
  </si>
  <si>
    <t xml:space="preserve">PHARMACIE DU BIEN ETRE</t>
  </si>
  <si>
    <t xml:space="preserve">36 RUE DE LA POMPE</t>
  </si>
  <si>
    <t xml:space="preserve">PHARMACIE MIRABEAU</t>
  </si>
  <si>
    <t xml:space="preserve">65 RUE DES CEVENNES</t>
  </si>
  <si>
    <t xml:space="preserve">PHARMACIE KLEBER</t>
  </si>
  <si>
    <t xml:space="preserve">91 AVENUE KLEBER</t>
  </si>
  <si>
    <t xml:space="preserve">PHARMACIE AMIEL HANOUNA</t>
  </si>
  <si>
    <t xml:space="preserve">22 RUE CHAUVEAU</t>
  </si>
  <si>
    <t xml:space="preserve">PHARMACIE DE BRETEUIL</t>
  </si>
  <si>
    <t xml:space="preserve">6 PLACE DE BRETEUIL</t>
  </si>
  <si>
    <t xml:space="preserve">PHARMACIE BARBELET POULLE</t>
  </si>
  <si>
    <t xml:space="preserve">40 BOULEVARD PASTEUR</t>
  </si>
  <si>
    <t xml:space="preserve">PHARMACIE DE LA PORTE MAILLOT</t>
  </si>
  <si>
    <t xml:space="preserve">68 AVENUE DE LA GRANDE ARMEE</t>
  </si>
  <si>
    <t xml:space="preserve">NORCAP</t>
  </si>
  <si>
    <t xml:space="preserve">PHARMACIE DES SPORTS</t>
  </si>
  <si>
    <t xml:space="preserve">2 PLACE DU GENERAL KOENIG</t>
  </si>
  <si>
    <t xml:space="preserve">71 AVENUE FRANKLIN DELANO ROOSEVELT</t>
  </si>
  <si>
    <t xml:space="preserve">COS 650</t>
  </si>
  <si>
    <t xml:space="preserve">PHARMACIE SAINT PIERRE</t>
  </si>
  <si>
    <t xml:space="preserve">18 RUE GEORGES BIZET</t>
  </si>
  <si>
    <t xml:space="preserve">PHARMACIE DE LA FAISANDERIE</t>
  </si>
  <si>
    <t xml:space="preserve">63 RUE DE LA FAISANDERIE</t>
  </si>
  <si>
    <t xml:space="preserve">PHARMACIE EDEN PHARMA</t>
  </si>
  <si>
    <t xml:space="preserve">214 RUE DE COURCELLES</t>
  </si>
  <si>
    <t xml:space="preserve">PHARMACIE DU PARC</t>
  </si>
  <si>
    <t xml:space="preserve">4 AVENUE SAINTE FOY</t>
  </si>
  <si>
    <t xml:space="preserve">GRANDE PHARMACIE DURET</t>
  </si>
  <si>
    <t xml:space="preserve">29 RUE DURET</t>
  </si>
  <si>
    <t xml:space="preserve">UNIPHARM GRAND OUEST</t>
  </si>
  <si>
    <t xml:space="preserve">PHARMACIE BRAITMAN BOUBLIL</t>
  </si>
  <si>
    <t xml:space="preserve">1 PLACE VICTOR HUGO</t>
  </si>
  <si>
    <t xml:space="preserve">PHARMACIE CENTRALE</t>
  </si>
  <si>
    <t xml:space="preserve">52 54 RUE DU COMMERCE</t>
  </si>
  <si>
    <t xml:space="preserve">PHARMACIE DE L HORLOGE</t>
  </si>
  <si>
    <t xml:space="preserve">54 RUE DE SABLONVILLE</t>
  </si>
  <si>
    <t xml:space="preserve">PHARMACIE DESNOUETTES</t>
  </si>
  <si>
    <t xml:space="preserve">1 RUE DESNOUETTES</t>
  </si>
  <si>
    <t xml:space="preserve">WELL &amp; WELL</t>
  </si>
  <si>
    <t xml:space="preserve">PHARMACIE PHARMAVANCE VOUILLE</t>
  </si>
  <si>
    <t xml:space="preserve">3 RUE DE VOUILLE</t>
  </si>
  <si>
    <t xml:space="preserve">PHARMACIE ANGLO AMERICAINE</t>
  </si>
  <si>
    <t xml:space="preserve">37 AVENUE MARCEAU</t>
  </si>
  <si>
    <t xml:space="preserve">PHARMACIE DUBLY</t>
  </si>
  <si>
    <t xml:space="preserve">72 AVENUE KLEBER</t>
  </si>
  <si>
    <t xml:space="preserve">PHARMACIE JOUVENET</t>
  </si>
  <si>
    <t xml:space="preserve">49 RUE CHARDON LAGACHE</t>
  </si>
  <si>
    <t xml:space="preserve">PHARMACIE 37 BOURGOGNE</t>
  </si>
  <si>
    <t xml:space="preserve">37 RUE DE BOURGOGNE</t>
  </si>
  <si>
    <t xml:space="preserve">PHARMACIE DE LA MUETTE</t>
  </si>
  <si>
    <t xml:space="preserve">2 AVENUE MOZART</t>
  </si>
  <si>
    <t xml:space="preserve">PHARMACIE DE LA MADELEINE</t>
  </si>
  <si>
    <t xml:space="preserve">5 RUE CHAUVEAU LAGARDE</t>
  </si>
  <si>
    <t xml:space="preserve">PHARMACIE ALTOBELLI CHEKROUN</t>
  </si>
  <si>
    <t xml:space="preserve">75 RUE SAINT DOMINIQUE</t>
  </si>
  <si>
    <t xml:space="preserve">PHARMACIE EUROPEENNE</t>
  </si>
  <si>
    <t xml:space="preserve">PHIE PRINCIPALE DES MORILLONS</t>
  </si>
  <si>
    <t xml:space="preserve">54 RUE OLIVIER DE SERRES</t>
  </si>
  <si>
    <t xml:space="preserve">PHARMATAM</t>
  </si>
  <si>
    <t xml:space="preserve">76 RUE DES ENTREPRENEURS</t>
  </si>
  <si>
    <t xml:space="preserve">PHARMACIE HAUSSMANN LABORDE</t>
  </si>
  <si>
    <t xml:space="preserve">130 BOULEVARD HAUSSMANN</t>
  </si>
  <si>
    <t xml:space="preserve">COS 200</t>
  </si>
  <si>
    <t xml:space="preserve">GRANDE PHARMACIE DU 15EME</t>
  </si>
  <si>
    <t xml:space="preserve">119 RUE SAINT CHARLES</t>
  </si>
  <si>
    <t xml:space="preserve">SYNERGIPHAR CAP</t>
  </si>
  <si>
    <t xml:space="preserve">PHARMACIE PHARMAGREEN BOUCICAUT</t>
  </si>
  <si>
    <t xml:space="preserve">95 RUE DE LA CONVENTION</t>
  </si>
  <si>
    <t xml:space="preserve">PHARMACIE LAMARTINE</t>
  </si>
  <si>
    <t xml:space="preserve">132 AVENUE VICTOR HUGO</t>
  </si>
  <si>
    <t xml:space="preserve">PHARMACIE DE LA MAIRIE</t>
  </si>
  <si>
    <t xml:space="preserve">82 RUE DE LA POMPE</t>
  </si>
  <si>
    <t xml:space="preserve">3 B RUE LOUISE MICHEL</t>
  </si>
  <si>
    <t xml:space="preserve">PHARMACIE HAHNEMANN</t>
  </si>
  <si>
    <t xml:space="preserve">347 RUE DE VAUGIRARD</t>
  </si>
  <si>
    <t xml:space="preserve">PHARMACIE DU MIDI</t>
  </si>
  <si>
    <t xml:space="preserve">38 AVENUE FELIX FAURE</t>
  </si>
  <si>
    <t xml:space="preserve">PHARMACIE LE MIRE</t>
  </si>
  <si>
    <t xml:space="preserve">10 PLACE RAOUL DAUTRY</t>
  </si>
  <si>
    <t xml:space="preserve">PHARMABEST</t>
  </si>
  <si>
    <t xml:space="preserve">PHARMACIE GAUMERAIS</t>
  </si>
  <si>
    <t xml:space="preserve">59 BOULEVARD LEFEBVRE</t>
  </si>
  <si>
    <t xml:space="preserve">PHARMACIE DU DRUGSTORE CHAMPS ELYSEE</t>
  </si>
  <si>
    <t xml:space="preserve">133 AVENUE DES CHAMPS ELYSEES</t>
  </si>
  <si>
    <t xml:space="preserve">PARIS CEDEX 08</t>
  </si>
  <si>
    <t xml:space="preserve">PHARMACIE DES ARTS ELYSEES</t>
  </si>
  <si>
    <t xml:space="preserve">27 RUE DE MIROMESNIL</t>
  </si>
  <si>
    <t xml:space="preserve">PHARMACIE DU SEPTIEME</t>
  </si>
  <si>
    <t xml:space="preserve">18 B AVENUE DE LA MOTTE PICQUET</t>
  </si>
  <si>
    <t xml:space="preserve">MB PHARM</t>
  </si>
  <si>
    <t xml:space="preserve">19 AVENUE FELIX FAURE</t>
  </si>
  <si>
    <t xml:space="preserve">PHARMACIE DU PALAIS DES SPORTS</t>
  </si>
  <si>
    <t xml:space="preserve">32 RUE GABRIEL PERI</t>
  </si>
  <si>
    <t xml:space="preserve">PHARMACIE PERETTI</t>
  </si>
  <si>
    <t xml:space="preserve">110 AVENUE ACHILLE PERETTI</t>
  </si>
  <si>
    <t xml:space="preserve">PHARMACIE CHAPTAL</t>
  </si>
  <si>
    <t xml:space="preserve">78 BOULEVARD DES BATIGNOLLES</t>
  </si>
  <si>
    <t xml:space="preserve">PHARMACIE DE LA PORTE BRANCION</t>
  </si>
  <si>
    <t xml:space="preserve">94 BOULEVARD LEFEBVRE</t>
  </si>
  <si>
    <t xml:space="preserve">PHARMACIE DAMBREVILLE</t>
  </si>
  <si>
    <t xml:space="preserve">101 AVENUE MOZART</t>
  </si>
  <si>
    <t xml:space="preserve">PHARMACIE LAURISTON 99</t>
  </si>
  <si>
    <t xml:space="preserve">99 RUE LAURISTON</t>
  </si>
  <si>
    <t xml:space="preserve">PHARMACIE DE L ILE DE LA JATTE</t>
  </si>
  <si>
    <t xml:space="preserve">199 BOULEVARD BINEAU</t>
  </si>
  <si>
    <t xml:space="preserve">PHARMACIE LEFEVRE NGUYEN PHU KHAI</t>
  </si>
  <si>
    <t xml:space="preserve">42 RUE DU THEATRE</t>
  </si>
  <si>
    <t xml:space="preserve">PHARMACIE KADIRBAY</t>
  </si>
  <si>
    <t xml:space="preserve">60 RUE DUTOT</t>
  </si>
  <si>
    <t xml:space="preserve">GIROPHARM</t>
  </si>
  <si>
    <t xml:space="preserve">GIROPHARM PARTENAIRE</t>
  </si>
  <si>
    <t xml:space="preserve">PHARMACIE BOIRON</t>
  </si>
  <si>
    <t xml:space="preserve">64 BOULEVARD MALESHERBES</t>
  </si>
  <si>
    <t xml:space="preserve">PHIE CONVENTION SAINT CHARLES</t>
  </si>
  <si>
    <t xml:space="preserve">55 B RUE DE LA CONVENTION</t>
  </si>
  <si>
    <t xml:space="preserve">PHARMACIE MIROMESNIL</t>
  </si>
  <si>
    <t xml:space="preserve">58 RUE DE MIROMESNIL</t>
  </si>
  <si>
    <t xml:space="preserve">PHARMACIE MESNARD</t>
  </si>
  <si>
    <t xml:space="preserve">42 AVENUE DE BRETEUIL</t>
  </si>
  <si>
    <t xml:space="preserve">PHARMACIE THEOPILE GAUTIER</t>
  </si>
  <si>
    <t xml:space="preserve">2 AVENUE THEOPHILE GAUTIER</t>
  </si>
  <si>
    <t xml:space="preserve">PHARMACIE DUROC</t>
  </si>
  <si>
    <t xml:space="preserve">76 RUE DE SEVRES</t>
  </si>
  <si>
    <t xml:space="preserve">PHARMACIE BRANCION VOUILLE</t>
  </si>
  <si>
    <t xml:space="preserve">22 RUE DE VOUILLE</t>
  </si>
  <si>
    <t xml:space="preserve">PHARMACIE DE LA PORTE D ASNIERES</t>
  </si>
  <si>
    <t xml:space="preserve">96 BOULEVARD BERTHIER</t>
  </si>
  <si>
    <t xml:space="preserve">PHARMACIE BOISSIERE</t>
  </si>
  <si>
    <t xml:space="preserve">43 45 AVENUE KLEBER</t>
  </si>
  <si>
    <t xml:space="preserve">PHARMACIE MATIGNON</t>
  </si>
  <si>
    <t xml:space="preserve">1 AVENUE MATIGNON</t>
  </si>
  <si>
    <t xml:space="preserve">PHARMACIE DU TRIANGLE</t>
  </si>
  <si>
    <t xml:space="preserve">2 AVENUE DE FRIEDLAND</t>
  </si>
  <si>
    <t xml:space="preserve">LEADER SANTE/ APRIUM PARTENAIRE</t>
  </si>
  <si>
    <t xml:space="preserve">PHARMACIE DE PARIS</t>
  </si>
  <si>
    <t xml:space="preserve">5 PLACE DE LA PORTE DE CHAMPERRET</t>
  </si>
  <si>
    <t xml:space="preserve">PHARMACIE SATELLITE</t>
  </si>
  <si>
    <t xml:space="preserve">118 AVENUE DE VILLIERS</t>
  </si>
  <si>
    <t xml:space="preserve">PHARMACIE DU FAUBOURG ST HONORE</t>
  </si>
  <si>
    <t xml:space="preserve">122 RUE DU FAUBOURG SAINT HONORE</t>
  </si>
  <si>
    <t xml:space="preserve">PHARMACIE DU MARCHE DE PASSY</t>
  </si>
  <si>
    <t xml:space="preserve">PHARMACIE VERSAILLES MIRABEAU</t>
  </si>
  <si>
    <t xml:space="preserve">38 AVENUE DE VERSAILLES</t>
  </si>
  <si>
    <t xml:space="preserve">PHARMACIE BONNEL</t>
  </si>
  <si>
    <t xml:space="preserve">23 AVENUE DE LA MOTTE PICQUET</t>
  </si>
  <si>
    <t xml:space="preserve">GRANDE PHARMACIE DU COMMERCE</t>
  </si>
  <si>
    <t xml:space="preserve">PHARMACIE LUPORSI</t>
  </si>
  <si>
    <t xml:space="preserve">PHARM SCHAFLER</t>
  </si>
  <si>
    <t xml:space="preserve">373 B RUE DE VAUGIRARD</t>
  </si>
  <si>
    <t xml:space="preserve">PHARMACIE PINTA</t>
  </si>
  <si>
    <t xml:space="preserve">44 AVENUE CHARLES DE GAULLE</t>
  </si>
  <si>
    <t xml:space="preserve">PHARMACIE DANAN</t>
  </si>
  <si>
    <t xml:space="preserve">119 RUE CAMBRONNE</t>
  </si>
  <si>
    <t xml:space="preserve">PHARMACIE JEANNE</t>
  </si>
  <si>
    <t xml:space="preserve">182 AVENUE DE VERSAILLES</t>
  </si>
  <si>
    <t xml:space="preserve">PHARMACIE BERTHIER</t>
  </si>
  <si>
    <t xml:space="preserve">134 136 BOULEVARD BERTHIER</t>
  </si>
  <si>
    <t xml:space="preserve">PHARMACIE FOURCROY</t>
  </si>
  <si>
    <t xml:space="preserve">PHARMACIE DE L ETOILE</t>
  </si>
  <si>
    <t xml:space="preserve">9 AVENUE DE LA GRANDE ARMEE</t>
  </si>
  <si>
    <t xml:space="preserve">PHARMACIE LEBON</t>
  </si>
  <si>
    <t xml:space="preserve">5 RUE LEBON</t>
  </si>
  <si>
    <t xml:space="preserve">PHARMACIE FRIEDLAND</t>
  </si>
  <si>
    <t xml:space="preserve">29 AVENUE DE FRIEDLAND</t>
  </si>
  <si>
    <t xml:space="preserve">PHARMACIE VOLONTAIRES</t>
  </si>
  <si>
    <t xml:space="preserve">198 RUE DE VAUGIRARD</t>
  </si>
  <si>
    <t xml:space="preserve">GRANDE PHARMACIE WAGRAM</t>
  </si>
  <si>
    <t xml:space="preserve">239 RUE DU FAUBOURG SAINT HONORE</t>
  </si>
  <si>
    <t xml:space="preserve">ELSIE VIP PLUS</t>
  </si>
  <si>
    <t xml:space="preserve">PHARMACIE DE LA PLACE ST FERDINAND</t>
  </si>
  <si>
    <t xml:space="preserve">2 RUE DU DEBARCADERE</t>
  </si>
  <si>
    <t xml:space="preserve">PHARMACIE 40 VANEAU</t>
  </si>
  <si>
    <t xml:space="preserve">40 RUE VANEAU</t>
  </si>
  <si>
    <t xml:space="preserve">PHARMACIE FONTAINE PHARMA</t>
  </si>
  <si>
    <t xml:space="preserve">35 RUE JEAN DE LA FONTAINE</t>
  </si>
  <si>
    <t xml:space="preserve">GDE PHARMACIE DE LA CONVENTION</t>
  </si>
  <si>
    <t xml:space="preserve">242 RUE DE LA CONVENTION</t>
  </si>
  <si>
    <t xml:space="preserve">38 BOULEVARD DU MONTPARNASSE</t>
  </si>
  <si>
    <t xml:space="preserve">PHARMACIE DE LA POSTE</t>
  </si>
  <si>
    <t xml:space="preserve">60 RUE DE LA CROIX NIVERT</t>
  </si>
  <si>
    <t xml:space="preserve">PHARMACIE DE BIR HAKEIM</t>
  </si>
  <si>
    <t xml:space="preserve">6 BOULEVARD DE GRENELLE</t>
  </si>
  <si>
    <t xml:space="preserve">PHARMACIE DES 5K</t>
  </si>
  <si>
    <t xml:space="preserve">22 B RUE D ALSACE</t>
  </si>
  <si>
    <t xml:space="preserve">PHARMACIE CAMBRONNE CROIX NIVERT</t>
  </si>
  <si>
    <t xml:space="preserve">19 RUE DE LA CROIX NIVERT</t>
  </si>
  <si>
    <t xml:space="preserve">PHARMACIE LA BOETIE CHAMPS ELYSEES</t>
  </si>
  <si>
    <t xml:space="preserve">116 RUE LA BOETIE</t>
  </si>
  <si>
    <t xml:space="preserve">PHARMACIE BAC GRENELLE</t>
  </si>
  <si>
    <t xml:space="preserve">67 RUE DE GRENELLE</t>
  </si>
  <si>
    <t xml:space="preserve">PHARMACIE SAINT DOMINIQUE</t>
  </si>
  <si>
    <t xml:space="preserve">88 RUE SAINT DOMINIQUE</t>
  </si>
  <si>
    <t xml:space="preserve">PHARMACIE LA BIENFAISANCE</t>
  </si>
  <si>
    <t xml:space="preserve">54 RUE DE LA BIENFAISANCE</t>
  </si>
  <si>
    <t xml:space="preserve">PHARMACIE DU CHAMPS DE MARS</t>
  </si>
  <si>
    <t xml:space="preserve">124 RUE SAINT DOMINIQUE</t>
  </si>
  <si>
    <t xml:space="preserve">PHARMACIE BAUDIN</t>
  </si>
  <si>
    <t xml:space="preserve">PHARMACIE BILGRAER</t>
  </si>
  <si>
    <t xml:space="preserve">82 AVENUE CHARLES DE GAULLE</t>
  </si>
  <si>
    <t xml:space="preserve">PHARMACIE 77 PICQUET GRENELLE</t>
  </si>
  <si>
    <t xml:space="preserve">PHARMACIE DUFRENOY</t>
  </si>
  <si>
    <t xml:space="preserve">16 B RUE DUFRENOY</t>
  </si>
  <si>
    <t xml:space="preserve">PHARMACIE VILLA CROIX NIVERT</t>
  </si>
  <si>
    <t xml:space="preserve">14 VILLA CROIX NIVERT</t>
  </si>
  <si>
    <t xml:space="preserve">PHARMACIE DU 130</t>
  </si>
  <si>
    <t xml:space="preserve">130 AVENUE CHARLES DE GAULLE</t>
  </si>
  <si>
    <t xml:space="preserve">PHARMACIE D ORSAY</t>
  </si>
  <si>
    <t xml:space="preserve">6 RUE DE BELLECHASSE</t>
  </si>
  <si>
    <t xml:space="preserve">PHARMACIE NIEL</t>
  </si>
  <si>
    <t xml:space="preserve">16 AVENUE NIEL</t>
  </si>
  <si>
    <t xml:space="preserve">PHARMACIE SAINT FERDINAND</t>
  </si>
  <si>
    <t xml:space="preserve">9 RUE SAINT FERDINAND</t>
  </si>
  <si>
    <t xml:space="preserve">PHARM 35</t>
  </si>
  <si>
    <t xml:space="preserve">35 BOULEVARD GOUVION SAINT CYR</t>
  </si>
  <si>
    <t xml:space="preserve">PHR</t>
  </si>
  <si>
    <t xml:space="preserve">PHARMACIE HALWANI</t>
  </si>
  <si>
    <t xml:space="preserve">19 RUE DE LOURMEL</t>
  </si>
  <si>
    <t xml:space="preserve">PHARMACIE DE L ASSEMBLEE</t>
  </si>
  <si>
    <t xml:space="preserve">7 RUE DE BOURGOGNE</t>
  </si>
  <si>
    <t xml:space="preserve">PHARMACIE AMAR</t>
  </si>
  <si>
    <t xml:space="preserve">54 RUE JEAN JAURES</t>
  </si>
  <si>
    <t xml:space="preserve">PHARMACIE DE LA GARE</t>
  </si>
  <si>
    <t xml:space="preserve">1 RUE JOUFFROY D ABBANS</t>
  </si>
  <si>
    <t xml:space="preserve">PHARMACIE MEXICO</t>
  </si>
  <si>
    <t xml:space="preserve">9 PLACE DE MEXICO</t>
  </si>
  <si>
    <t xml:space="preserve">PHARMACIE BOSQUET GRENELLE</t>
  </si>
  <si>
    <t xml:space="preserve">49 AVENUE BOSQUET</t>
  </si>
  <si>
    <t xml:space="preserve">PHARMACIE LECLERC BRAULT</t>
  </si>
  <si>
    <t xml:space="preserve">10 RUE VIGNON</t>
  </si>
  <si>
    <t xml:space="preserve">PHARMACIE DE LA CROIX D OR BATIGNOLLES MONCEAU</t>
  </si>
  <si>
    <t xml:space="preserve">48 RUE LEGENDRE</t>
  </si>
  <si>
    <t xml:space="preserve">PHARMACIE ACTIPHARMA</t>
  </si>
  <si>
    <t xml:space="preserve">60 RUE LECOURBE</t>
  </si>
  <si>
    <t xml:space="preserve">PHARMACIE DE LA TOUR</t>
  </si>
  <si>
    <t xml:space="preserve">72 RUE DE LA TOUR</t>
  </si>
  <si>
    <t xml:space="preserve">PHARMACIE DU ROCHER</t>
  </si>
  <si>
    <t xml:space="preserve">29 RUE DU ROCHER</t>
  </si>
  <si>
    <t xml:space="preserve">CEIDO</t>
  </si>
  <si>
    <t xml:space="preserve">PHARMACIE DUBOIS WAGRAM</t>
  </si>
  <si>
    <t xml:space="preserve">PHARMACIE VAUGIRARD</t>
  </si>
  <si>
    <t xml:space="preserve">245 RUE DE VAUGIRARD</t>
  </si>
  <si>
    <t xml:space="preserve">PHARMACIE RASPAIL</t>
  </si>
  <si>
    <t xml:space="preserve">101 RUE PAUL VAILLANT COUTURIER</t>
  </si>
  <si>
    <t xml:space="preserve">PHARM BAPTISTE</t>
  </si>
  <si>
    <t xml:space="preserve">3 PLACE BALARD</t>
  </si>
  <si>
    <t xml:space="preserve">PHARMACIE MODERNE</t>
  </si>
  <si>
    <t xml:space="preserve">80 RUE DU ROCHER</t>
  </si>
  <si>
    <t xml:space="preserve">PHARMACIE DES PLANTES</t>
  </si>
  <si>
    <t xml:space="preserve">111 RUE DE COURCELLES</t>
  </si>
  <si>
    <t xml:space="preserve">PHARMACIE VICTOR HUGO</t>
  </si>
  <si>
    <t xml:space="preserve">73 RUE VICTOR HUGO</t>
  </si>
  <si>
    <t xml:space="preserve">PHARMACIE DE CHAILLOT</t>
  </si>
  <si>
    <t xml:space="preserve">19 RUE BENJAMIN FRANKLIN</t>
  </si>
  <si>
    <t xml:space="preserve">GIPHAR</t>
  </si>
  <si>
    <t xml:space="preserve">PHARMACIE DU METRO LOUISE MICHEL</t>
  </si>
  <si>
    <t xml:space="preserve">33 RUE LOUISE MICHEL</t>
  </si>
  <si>
    <t xml:space="preserve">PHARMACIE DES MORILLONS</t>
  </si>
  <si>
    <t xml:space="preserve">85 RUE DES MORILLONS</t>
  </si>
  <si>
    <t xml:space="preserve">PHARMACIE AGOUDJIAN</t>
  </si>
  <si>
    <t xml:space="preserve">116 BOULEVARD HAUSSMANN</t>
  </si>
  <si>
    <t xml:space="preserve">PHARMACIE CENTRALE D AUTEUIL</t>
  </si>
  <si>
    <t xml:space="preserve">122 RUE JEAN DE LA FONTAINE</t>
  </si>
  <si>
    <t xml:space="preserve">PHARMACIE CONVENTION CROIX NIVERT</t>
  </si>
  <si>
    <t xml:space="preserve">131 RUE DE LA CONVENTION</t>
  </si>
  <si>
    <t xml:space="preserve">PHARMACIE CAILLAULT</t>
  </si>
  <si>
    <t xml:space="preserve">2 RUE PIERRE DEMOURS</t>
  </si>
  <si>
    <t xml:space="preserve">PHARMACIE PARSY</t>
  </si>
  <si>
    <t xml:space="preserve">PHARMACIE JACQUEMINET</t>
  </si>
  <si>
    <t xml:space="preserve">2 PLACE ADOLPHE CHERIOUX</t>
  </si>
  <si>
    <t xml:space="preserve">PHARMACIE DAYRAS</t>
  </si>
  <si>
    <t xml:space="preserve">80 RUE DE PRONY</t>
  </si>
  <si>
    <t xml:space="preserve">PHARMACIE RIVE GAUCHE</t>
  </si>
  <si>
    <t xml:space="preserve">4 AVENUE EMILE ZOLA</t>
  </si>
  <si>
    <t xml:space="preserve">PHARMACIE D ALLERAY</t>
  </si>
  <si>
    <t xml:space="preserve">PHARM DE LA PLACE</t>
  </si>
  <si>
    <t xml:space="preserve">9 PLACE DU GENERAL BEURET</t>
  </si>
  <si>
    <t xml:space="preserve">GRANDE PHARMACIE PONCELET</t>
  </si>
  <si>
    <t xml:space="preserve">22 RUE PONCELET</t>
  </si>
  <si>
    <t xml:space="preserve">PHARM DU PARC MONCEAU</t>
  </si>
  <si>
    <t xml:space="preserve">63 RUE DE COURCELLES</t>
  </si>
  <si>
    <t xml:space="preserve">PHARMACIE DU TROCADERO</t>
  </si>
  <si>
    <t xml:space="preserve">PHARMACIE DES CHAMPS ELYSEES</t>
  </si>
  <si>
    <t xml:space="preserve">84 AVENUE DES CHAMPS ELYSEES</t>
  </si>
  <si>
    <t xml:space="preserve">BOTICINAL</t>
  </si>
  <si>
    <t xml:space="preserve">PHARMACIE BUFFON</t>
  </si>
  <si>
    <t xml:space="preserve">185 RUE DE VAUGIRARD</t>
  </si>
  <si>
    <t xml:space="preserve">PHARMACIE DE L ECOLE MILITAIRE</t>
  </si>
  <si>
    <t xml:space="preserve">26 AVENUE DE TOURVILLE</t>
  </si>
  <si>
    <t xml:space="preserve">PHARMACIE CASEJUANE</t>
  </si>
  <si>
    <t xml:space="preserve">256 RUE DE VAUGIRARD</t>
  </si>
  <si>
    <t xml:space="preserve">PHARMACIE LORRAINE</t>
  </si>
  <si>
    <t xml:space="preserve">50 AVENUE DE WAGRAM</t>
  </si>
  <si>
    <t xml:space="preserve">PHARM HIBERT</t>
  </si>
  <si>
    <t xml:space="preserve">10 RUE WASHINGTON</t>
  </si>
  <si>
    <t xml:space="preserve">PHARMACIE DE LA GRANDE ARMEE</t>
  </si>
  <si>
    <t xml:space="preserve">63 AVENUE DE LA GRANDE ARMEE</t>
  </si>
  <si>
    <t xml:space="preserve">PHARMACIE DE L EGLISE</t>
  </si>
  <si>
    <t xml:space="preserve">1 PLACE TRISTAN BERNARD</t>
  </si>
  <si>
    <t xml:space="preserve">PHARMACIE BARUC</t>
  </si>
  <si>
    <t xml:space="preserve">276 RUE LECOURBE</t>
  </si>
  <si>
    <t xml:space="preserve">PHARMACIE GADY</t>
  </si>
  <si>
    <t xml:space="preserve">223 BOULEVARD SAINT GERMAIN</t>
  </si>
  <si>
    <t xml:space="preserve">PHARMACIE BABYLONE</t>
  </si>
  <si>
    <t xml:space="preserve">6 RUE DE BABYLONE</t>
  </si>
  <si>
    <t xml:space="preserve">PHARMACIE DE VARENNE</t>
  </si>
  <si>
    <t xml:space="preserve">87 RUE DU BAC</t>
  </si>
  <si>
    <t xml:space="preserve">PHARMACIE RAMAJO ANCOURT</t>
  </si>
  <si>
    <t xml:space="preserve">23 AVENUE RAPP</t>
  </si>
  <si>
    <t xml:space="preserve">PHARMACIE CHAMPERRET</t>
  </si>
  <si>
    <t xml:space="preserve">12 AVENUE STEPHANE MALLARME</t>
  </si>
  <si>
    <t xml:space="preserve">PHARMACIE SVE</t>
  </si>
  <si>
    <t xml:space="preserve">61 RUE BRANCION</t>
  </si>
  <si>
    <t xml:space="preserve">PHARMACIE CENTRALE MARCEAU</t>
  </si>
  <si>
    <t xml:space="preserve">55 AVENUE MARCEAU</t>
  </si>
  <si>
    <t xml:space="preserve">PHARMACIE CENTRALE MIRABEAU</t>
  </si>
  <si>
    <t xml:space="preserve">7 ROND POINT DU PONT MIRABEAU</t>
  </si>
  <si>
    <t xml:space="preserve">PHIE ROND POINT CHAMPS ELYSEES</t>
  </si>
  <si>
    <t xml:space="preserve">49 B AVENUE FRANKLIN DELANO ROOSEVELT</t>
  </si>
  <si>
    <t xml:space="preserve">PHARMACIE MALLET SELLAM</t>
  </si>
  <si>
    <t xml:space="preserve">151 BOULEVARD MALESHERBES</t>
  </si>
  <si>
    <t xml:space="preserve">PHARMACIE CENTRALE PEREIRE</t>
  </si>
  <si>
    <t xml:space="preserve">134 BOULEVARD PEREIRE</t>
  </si>
  <si>
    <t xml:space="preserve">PHARMACIE DE L AVENUE</t>
  </si>
  <si>
    <t xml:space="preserve">PHARM DE L ARC DE TRIOMPHE</t>
  </si>
  <si>
    <t xml:space="preserve">6 AVENUE VICTOR HUGO</t>
  </si>
  <si>
    <t xml:space="preserve">PHARMACIE DES TROIS AVENUES</t>
  </si>
  <si>
    <t xml:space="preserve">29 AVENUE DES TERNES</t>
  </si>
  <si>
    <t xml:space="preserve">PHARMACIE GRANDE PHARMACIE CENTRALE PASTEUR</t>
  </si>
  <si>
    <t xml:space="preserve">59 BOULEVARD PASTEUR</t>
  </si>
  <si>
    <t xml:space="preserve">PHARMACIE EMRIK</t>
  </si>
  <si>
    <t xml:space="preserve">89 AVENUE DE WAGRAM</t>
  </si>
  <si>
    <t xml:space="preserve">PHARMACIE DU FRONT DE SEINE</t>
  </si>
  <si>
    <t xml:space="preserve">9 RUE DU THEATRE</t>
  </si>
  <si>
    <t xml:space="preserve">PHARMACIE DAHAN</t>
  </si>
  <si>
    <t xml:space="preserve">37 RUE GALILEE</t>
  </si>
  <si>
    <t xml:space="preserve">PHARMACIE HOMEOPATHIQUE CENTRALE</t>
  </si>
  <si>
    <t xml:space="preserve">126 RUE DE LA POMPE</t>
  </si>
  <si>
    <t xml:space="preserve">LE GALL SANTE SERVICE</t>
  </si>
  <si>
    <t xml:space="preserve">PHARMACIE DE LA CROIX D OR</t>
  </si>
  <si>
    <t xml:space="preserve">85 RUE DE COURCELLES</t>
  </si>
  <si>
    <t xml:space="preserve">PHARMACIE DES SABLONS</t>
  </si>
  <si>
    <t xml:space="preserve">PHARMACIE BOUHNIK</t>
  </si>
  <si>
    <t xml:space="preserve">120 RUE DE TOCQUEVILLE</t>
  </si>
  <si>
    <t xml:space="preserve">PHARMACIE SAINT AUGUSTIN</t>
  </si>
  <si>
    <t xml:space="preserve">61 BOULEVARD MALESHERBES</t>
  </si>
  <si>
    <t xml:space="preserve">PHARMACIE DE LUBECK</t>
  </si>
  <si>
    <t xml:space="preserve">31 RUE DE LUBECK</t>
  </si>
  <si>
    <t xml:space="preserve">PHARMACIE HOMEOPATHIQUE LEROY</t>
  </si>
  <si>
    <t xml:space="preserve">1 AVENUE DE MESSINE</t>
  </si>
  <si>
    <t xml:space="preserve">PHARMACIE LAHSSINI</t>
  </si>
  <si>
    <t xml:space="preserve">8 AVENUE PIERRE 1ER DE SERBIE</t>
  </si>
  <si>
    <t xml:space="preserve">PHARMACIE MCZ PHARMA</t>
  </si>
  <si>
    <t xml:space="preserve">70 RUE DU BAC</t>
  </si>
  <si>
    <t xml:space="preserve">PHARMACIE LEVIS</t>
  </si>
  <si>
    <t xml:space="preserve">5 PLACE DE LEVIS</t>
  </si>
  <si>
    <t xml:space="preserve">INSTITUT DU SEIN</t>
  </si>
  <si>
    <t xml:space="preserve">CENTRE INTERDISCIPLINAIRE DU SOMMEIL</t>
  </si>
  <si>
    <t xml:space="preserve">18 20 RUE SAINT SAENS</t>
  </si>
  <si>
    <t xml:space="preserve">CENTRE LASER MARCEAU</t>
  </si>
  <si>
    <t xml:space="preserve">CENTRE LASERIO</t>
  </si>
  <si>
    <t xml:space="preserve">INSTITUT FRANCAIS DU SEIN</t>
  </si>
  <si>
    <t xml:space="preserve">15 RUE JEAN NICOT</t>
  </si>
  <si>
    <t xml:space="preserve">SERVICE MEDICAL DE LA PROTECTION CIVILE PARIS SEINE</t>
  </si>
  <si>
    <t xml:space="preserve">244 RUE DE VAUGIRARD</t>
  </si>
  <si>
    <t xml:space="preserve">CARREFOUR</t>
  </si>
  <si>
    <t xml:space="preserve">1 3 AVENUE DU GENERAL SARRAIL</t>
  </si>
  <si>
    <t xml:space="preserve">SCE MEDICAL MINISTERE DEFENSE</t>
  </si>
  <si>
    <t xml:space="preserve">UNESCO</t>
  </si>
  <si>
    <t xml:space="preserve">PARIS SP 07</t>
  </si>
  <si>
    <t xml:space="preserve">SERVICE MED ASSEMBLEE NATIONALE</t>
  </si>
  <si>
    <t xml:space="preserve">CAISSE NATIONALE DE PREVOYANCE</t>
  </si>
  <si>
    <t xml:space="preserve">4 PLACE RAOUL DAUTRY</t>
  </si>
  <si>
    <t xml:space="preserve">SERVICE MEDICAL DE L ENSAAMA</t>
  </si>
  <si>
    <t xml:space="preserve">CENTRE MEDICAL INSTITUT PASTEUR</t>
  </si>
  <si>
    <t xml:space="preserve">ABSOLU SANTE CENTER</t>
  </si>
  <si>
    <t xml:space="preserve">3 RUE WASHINGTON</t>
  </si>
  <si>
    <t xml:space="preserve">SERVICE MEDICAL FRANCE TELEVISION</t>
  </si>
  <si>
    <t xml:space="preserve">7 ESPLANADE HENRI FRANCE</t>
  </si>
  <si>
    <t xml:space="preserve">PARIS CEDEX 15</t>
  </si>
  <si>
    <t xml:space="preserve">SERVICE D EDUCATION SPECIALISEE ET DES SOINS A DOMICILE L ESSOR</t>
  </si>
  <si>
    <t xml:space="preserve">CENTRE LASER ALEXIS NAMIAS</t>
  </si>
  <si>
    <t xml:space="preserve">CENTRE EPILATION LASER PREMIER</t>
  </si>
  <si>
    <t xml:space="preserve">CENTRE LASER ETOILE</t>
  </si>
  <si>
    <t xml:space="preserve">17 RUE DES ACACIAS</t>
  </si>
  <si>
    <t xml:space="preserve">CENTRE LASER NIEL</t>
  </si>
  <si>
    <t xml:space="preserve">75 AVENUE NIEL</t>
  </si>
  <si>
    <t xml:space="preserve">SERVICE MEDICAL ORGANISATION COOPERATION DEVELOPPEMENT ECONOMIQUE</t>
  </si>
  <si>
    <t xml:space="preserve">ELSAN PARTENAIRES GROUPE</t>
  </si>
  <si>
    <t xml:space="preserve">87 RUE LA BOETIE</t>
  </si>
  <si>
    <t xml:space="preserve">ALFA LASER CENTRE FRANCE</t>
  </si>
  <si>
    <t xml:space="preserve">DHI LUTETIA</t>
  </si>
  <si>
    <t xml:space="preserve">MONOPRIX RASPAIL</t>
  </si>
  <si>
    <t xml:space="preserve">6 BOULEVARD RASPAIL</t>
  </si>
  <si>
    <t xml:space="preserve">CENTRE DU RACHIS</t>
  </si>
  <si>
    <t xml:space="preserve">NEUILLY SUR SEINE CEDEX</t>
  </si>
  <si>
    <t xml:space="preserve">INSTITUT JEROME LEJEUNE</t>
  </si>
  <si>
    <t xml:space="preserve">MONTAIGNE SANTE</t>
  </si>
  <si>
    <t xml:space="preserve">53 AVENUE MONTAIGNE</t>
  </si>
  <si>
    <t xml:space="preserve">CENTRE DE REFERENCE POUR LES DEFICIENTS IMMUNITAIRES HEREDITAIRES</t>
  </si>
  <si>
    <t xml:space="preserve">OFFICE FRANCAIS D IMMIGRATION ET D INTEGRATION</t>
  </si>
  <si>
    <t xml:space="preserve">44 RUE BARGUE</t>
  </si>
  <si>
    <t xml:space="preserve">LE MEDIATEUR DE LA REPUBLIQUE</t>
  </si>
  <si>
    <t xml:space="preserve">7 RUE SAINT FLORENTIN</t>
  </si>
  <si>
    <t xml:space="preserve">SANTE AU TRAVAIL EUROPEAN SPACE AGENCY</t>
  </si>
  <si>
    <t xml:space="preserve">8 10 RUE MARIO NIKIS</t>
  </si>
  <si>
    <t xml:space="preserve">CENTRE LASER INTERNATIONAL DE LA PEAU PARIS</t>
  </si>
  <si>
    <t xml:space="preserve">SERVICE MEDICAL FEDERATION FRANCAISE DE GOLF</t>
  </si>
  <si>
    <t xml:space="preserve">68 RUE ANATOLE FRANCE</t>
  </si>
  <si>
    <t xml:space="preserve">SANTE ET RETRAITE</t>
  </si>
  <si>
    <t xml:space="preserve">224 BOULEVARD SAINT GERMAIN</t>
  </si>
  <si>
    <t xml:space="preserve">INTERNATIONAL SOS</t>
  </si>
  <si>
    <t xml:space="preserve">LEVALLOIS PERRET CEDEX</t>
  </si>
  <si>
    <t xml:space="preserve">SERVICE MEDICAL DU MINISTERE DES AFFAIRES ETRANGERES ET EUROPEENNES</t>
  </si>
  <si>
    <t xml:space="preserve">SERVICE DE SANTE DES ARMEES</t>
  </si>
  <si>
    <t xml:space="preserve">14 RUE SAINT DOMINIQUE</t>
  </si>
  <si>
    <t xml:space="preserve">GROUPE EXPERTISE MEDICO ESTHETIQUE</t>
  </si>
  <si>
    <t xml:space="preserve">230 RUE DU FAUBOURG SAINT HONORE</t>
  </si>
  <si>
    <t xml:space="preserve">AGENCE DU NUMERIQUE EN SANTE</t>
  </si>
  <si>
    <t xml:space="preserve">9 RUE GEORGES PITARD</t>
  </si>
  <si>
    <t xml:space="preserve">CENTRE LASER PRONY</t>
  </si>
  <si>
    <t xml:space="preserve">91 RUE DE PRONY</t>
  </si>
  <si>
    <t xml:space="preserve">INSTITUT DE JAEGER</t>
  </si>
  <si>
    <t xml:space="preserve">4 RUE DE GALLIERA</t>
  </si>
  <si>
    <t xml:space="preserve">INSTITUT FRANCAIS D ACTION SUR LE STRESS</t>
  </si>
  <si>
    <t xml:space="preserve">22 RUE DE MARIGNAN</t>
  </si>
  <si>
    <t xml:space="preserve">SERVICE ETUDES MEDICALES EDF</t>
  </si>
  <si>
    <t xml:space="preserve">ABSOLU SANTE LASER</t>
  </si>
  <si>
    <t xml:space="preserve">PARAPHAVENIR</t>
  </si>
  <si>
    <t xml:space="preserve">67 RUE BALARD</t>
  </si>
  <si>
    <t xml:space="preserve">PARACITY EIFFEL</t>
  </si>
  <si>
    <t xml:space="preserve">38 AVENUE DE SUFFREN</t>
  </si>
  <si>
    <t xml:space="preserve">PHARMAVANCE GROUPE</t>
  </si>
  <si>
    <t xml:space="preserve">54 RUE MICHEL ANGE</t>
  </si>
  <si>
    <t xml:space="preserve">PARAPHARMACIE MONOPRIX RASPAIL</t>
  </si>
  <si>
    <t xml:space="preserve">MONOPRIX</t>
  </si>
  <si>
    <t xml:space="preserve">PARAPHARMACIE EIFFEL BIR HAKEIM</t>
  </si>
  <si>
    <t xml:space="preserve">2 RUE NELATON</t>
  </si>
  <si>
    <t xml:space="preserve">STRAIGHT</t>
  </si>
  <si>
    <t xml:space="preserve">153 BOULEVARD HAUSSMANN</t>
  </si>
  <si>
    <t xml:space="preserve">PARASHOP</t>
  </si>
  <si>
    <t xml:space="preserve">SAS PARIS PHARMA</t>
  </si>
  <si>
    <t xml:space="preserve">RUE DE VILLIERS</t>
  </si>
  <si>
    <t xml:space="preserve">CENTRE MEDECINE ESTHETIQUE</t>
  </si>
  <si>
    <t xml:space="preserve">PARAPHARMACIE</t>
  </si>
  <si>
    <t xml:space="preserve">12 RUE BEAUJON</t>
  </si>
  <si>
    <t xml:space="preserve">MONOPRIX LES CHAMPS</t>
  </si>
  <si>
    <t xml:space="preserve">107 RUE LA BOETIE</t>
  </si>
  <si>
    <t xml:space="preserve">SAS SOYL</t>
  </si>
  <si>
    <t xml:space="preserve">6B SQUARE PETRARQUE</t>
  </si>
  <si>
    <t xml:space="preserve">EPILIUM</t>
  </si>
  <si>
    <t xml:space="preserve">6 RUE SAINT FLORENTIN</t>
  </si>
  <si>
    <t xml:space="preserve">PHARMACIE GROUSSIER</t>
  </si>
  <si>
    <t xml:space="preserve">153 AVENUE ACHILLE PERETTI</t>
  </si>
  <si>
    <t xml:space="preserve">PHARM GAIDOZ</t>
  </si>
  <si>
    <t xml:space="preserve">12 RUE DU CHEVALIER DE SAINT GEORGE</t>
  </si>
  <si>
    <t xml:space="preserve">PHARMACIE MONTEUX</t>
  </si>
  <si>
    <t xml:space="preserve">40 RUE DE BELLECHASSE</t>
  </si>
  <si>
    <t xml:space="preserve">PHARMACIE VALENTIN HAUY</t>
  </si>
  <si>
    <t xml:space="preserve">15 RUE VALENTIN HAUY</t>
  </si>
  <si>
    <t xml:space="preserve">PHARMACIE BLOMET CONVENTION</t>
  </si>
  <si>
    <t xml:space="preserve">182 RUE DE LA CONVENTION</t>
  </si>
  <si>
    <t xml:space="preserve">PHARMACIE MALAKOFF</t>
  </si>
  <si>
    <t xml:space="preserve">138 140 AVENUE DE MALAKOFF</t>
  </si>
  <si>
    <t xml:space="preserve">PHARMACIE DU RANELAGH</t>
  </si>
  <si>
    <t xml:space="preserve">85 B RUE DU RANELAGH</t>
  </si>
  <si>
    <t xml:space="preserve">LAFAYETTE</t>
  </si>
  <si>
    <t xml:space="preserve">PHARMACIE FRANKLIN</t>
  </si>
  <si>
    <t xml:space="preserve">8 RUE DE PASSY</t>
  </si>
  <si>
    <t xml:space="preserve">PHARMACIE DU DOME</t>
  </si>
  <si>
    <t xml:space="preserve">33 RUE LAURISTON</t>
  </si>
  <si>
    <t xml:space="preserve">PHARMACIE DE LA ROTONDE</t>
  </si>
  <si>
    <t xml:space="preserve">1 RUE DE PHALSBOURG</t>
  </si>
  <si>
    <t xml:space="preserve">PHARMACIE HELIOPOLIS</t>
  </si>
  <si>
    <t xml:space="preserve">131 AVENUE DE VILLIERS</t>
  </si>
  <si>
    <t xml:space="preserve">PHARMACIE PALAIS DES CONGRES</t>
  </si>
  <si>
    <t xml:space="preserve">2 PLACE DE LA PORTE MAILLOT</t>
  </si>
  <si>
    <t xml:space="preserve">PHARMACIE MAC MAHON</t>
  </si>
  <si>
    <t xml:space="preserve">14 AVENUE MAC MAHON</t>
  </si>
  <si>
    <t xml:space="preserve">PHARMACIE CANILLAC</t>
  </si>
  <si>
    <t xml:space="preserve">122 RUE DU CHERCHE MIDI</t>
  </si>
  <si>
    <t xml:space="preserve">PHARMACIE DE SAXE PARIS</t>
  </si>
  <si>
    <t xml:space="preserve">2 RUE LEON VAUDOYER</t>
  </si>
  <si>
    <t xml:space="preserve">PHARMACIE DE LA TOUR EIFFEL</t>
  </si>
  <si>
    <t xml:space="preserve">24 RUE DE MONTTESSUY</t>
  </si>
  <si>
    <t xml:space="preserve">PHARMMACIE BAC MONTALEMBERT</t>
  </si>
  <si>
    <t xml:space="preserve">41 RUE DU BAC</t>
  </si>
  <si>
    <t xml:space="preserve">PHARMACIE ACHOUR</t>
  </si>
  <si>
    <t xml:space="preserve">10 AVENUE DE WAGRAM</t>
  </si>
  <si>
    <t xml:space="preserve">PHARMACIE DE L ARCADE</t>
  </si>
  <si>
    <t xml:space="preserve">39 RUE DE L ARCADE</t>
  </si>
  <si>
    <t xml:space="preserve">PHARMACIE DE BERRI</t>
  </si>
  <si>
    <t xml:space="preserve">48 RUE DE BERRI</t>
  </si>
  <si>
    <t xml:space="preserve">PHARMACIE SAINT CHARLES</t>
  </si>
  <si>
    <t xml:space="preserve">122 RUE SAINT CHARLES</t>
  </si>
  <si>
    <t xml:space="preserve">PHARMACIE HOMEOPATHIQUE CENTRALE RIVE GAUCHE</t>
  </si>
  <si>
    <t xml:space="preserve">37 AVENUE DE LOWENDAL</t>
  </si>
  <si>
    <t xml:space="preserve">PHARMACIE DE LA QUINTINIE</t>
  </si>
  <si>
    <t xml:space="preserve">44 RUE LA QUINTINIE</t>
  </si>
  <si>
    <t xml:space="preserve">ALPHEGA SILVER</t>
  </si>
  <si>
    <t xml:space="preserve">PHARMACIE LECOURBE</t>
  </si>
  <si>
    <t xml:space="preserve">5 RUE LECOURBE</t>
  </si>
  <si>
    <t xml:space="preserve">PHARMACIE FAVAL</t>
  </si>
  <si>
    <t xml:space="preserve">50 AVENUE DE SEGUR</t>
  </si>
  <si>
    <t xml:space="preserve">GRANDE PHARMACIE DE L ARRIVEE</t>
  </si>
  <si>
    <t xml:space="preserve">6 RUE DE L ARRIVEE</t>
  </si>
  <si>
    <t xml:space="preserve">SELAS PHARMACIE SUFFREN</t>
  </si>
  <si>
    <t xml:space="preserve">82 AVENUE DE SUFFREN</t>
  </si>
  <si>
    <t xml:space="preserve">PHARMACIE 2 M KRIEF</t>
  </si>
  <si>
    <t xml:space="preserve">14 AVENUE MOZART</t>
  </si>
  <si>
    <t xml:space="preserve">PHARMACIE SPINHIRNY</t>
  </si>
  <si>
    <t xml:space="preserve">28 AVENUE RAYMOND POINCARE</t>
  </si>
  <si>
    <t xml:space="preserve">PHARMACIE ETOILE IENA</t>
  </si>
  <si>
    <t xml:space="preserve">37 RUE LA PEROUSE</t>
  </si>
  <si>
    <t xml:space="preserve">PHARMACIE MARCEAU</t>
  </si>
  <si>
    <t xml:space="preserve">7 AVENUE MARCEAU</t>
  </si>
  <si>
    <t xml:space="preserve">PHARMACIE 24</t>
  </si>
  <si>
    <t xml:space="preserve">24 AVENUE MAC MAHON</t>
  </si>
  <si>
    <t xml:space="preserve">PHARMACIE HAIK</t>
  </si>
  <si>
    <t xml:space="preserve">42 BOULEVARD PEREIRE</t>
  </si>
  <si>
    <t xml:space="preserve">MAXIPHARMA</t>
  </si>
  <si>
    <t xml:space="preserve">PHARMACIE DU METRO WAGRAM</t>
  </si>
  <si>
    <t xml:space="preserve">71 AVENUE DE VILLIERS</t>
  </si>
  <si>
    <t xml:space="preserve">PHARMACIE CARDINET COURCELLES</t>
  </si>
  <si>
    <t xml:space="preserve">8 RUE CARDINET</t>
  </si>
  <si>
    <t xml:space="preserve">PHARMACIE DES TERNES</t>
  </si>
  <si>
    <t xml:space="preserve">90 AVENUE DES TERNES</t>
  </si>
  <si>
    <t xml:space="preserve">PHARMACIE BONNEAU</t>
  </si>
  <si>
    <t xml:space="preserve">20 B RUE ARISTIDE BRIAND</t>
  </si>
  <si>
    <t xml:space="preserve">PHARMACIE CARNOT</t>
  </si>
  <si>
    <t xml:space="preserve">57 RUE CARNOT</t>
  </si>
  <si>
    <t xml:space="preserve">105 AVENUE ACHILLE PERETTI</t>
  </si>
  <si>
    <t xml:space="preserve">PHARMACIE DE BAGATELLE</t>
  </si>
  <si>
    <t xml:space="preserve">82 RUE DE LONGCHAMP</t>
  </si>
  <si>
    <t xml:space="preserve">PARAPHARMACIE CONSEIL</t>
  </si>
  <si>
    <t xml:space="preserve">3 RUE DE TOCQUEVILLE</t>
  </si>
  <si>
    <t xml:space="preserve">AUTEUIL SANTE BEAUTE</t>
  </si>
  <si>
    <t xml:space="preserve">54 RUE D AUTEUIL</t>
  </si>
  <si>
    <t xml:space="preserve">PARAPHARMACIE MONOPRIX</t>
  </si>
  <si>
    <t xml:space="preserve">52 AVENUE DES CHAMPS ELYSEES</t>
  </si>
  <si>
    <t xml:space="preserve">340 RUE DE VAUGIRARD</t>
  </si>
  <si>
    <t xml:space="preserve">19 RUE LINOIS</t>
  </si>
  <si>
    <t xml:space="preserve">2 4 RUE DU COMMERCE</t>
  </si>
  <si>
    <t xml:space="preserve">EURO SANTE BEAUTE</t>
  </si>
  <si>
    <t xml:space="preserve">116 RUE DE COURCELLES</t>
  </si>
  <si>
    <t xml:space="preserve">25 AVENUE DES TERNES</t>
  </si>
  <si>
    <t xml:space="preserve">72 80 AVENUE CHARLES DE GAULLE</t>
  </si>
  <si>
    <t xml:space="preserve">13 RUE DE LEVIS</t>
  </si>
  <si>
    <t xml:space="preserve">ESPACE CITY SANTE</t>
  </si>
  <si>
    <t xml:space="preserve">26 RUE D ASTORG</t>
  </si>
  <si>
    <t xml:space="preserve">MONOPRIX PASSY PLAZA</t>
  </si>
  <si>
    <t xml:space="preserve">53 RUE DE PASSY</t>
  </si>
  <si>
    <t xml:space="preserve">MARIONNAUD ESPACES</t>
  </si>
  <si>
    <t xml:space="preserve">23 BOULEVARD DE LA MADELEINE</t>
  </si>
  <si>
    <t xml:space="preserve">ENTREPOT PARAPHARMACIE MONOPRIX</t>
  </si>
  <si>
    <t xml:space="preserve">104 B RUE SAINT CHARLES</t>
  </si>
  <si>
    <t xml:space="preserve">104 AVENUE DES CHAMPS ELYSEES</t>
  </si>
  <si>
    <t xml:space="preserve">10 RUE DES BELLES FEUILLES</t>
  </si>
  <si>
    <t xml:space="preserve">AJC MEDICAL</t>
  </si>
  <si>
    <t xml:space="preserve">DUROC MEDICAL</t>
  </si>
  <si>
    <t xml:space="preserve">1 RUE MAYET</t>
  </si>
  <si>
    <t xml:space="preserve">18 RUE DE PASSY</t>
  </si>
  <si>
    <t xml:space="preserve">24 RUE DU COMMERCE</t>
  </si>
  <si>
    <t xml:space="preserve">LEVALLOIS MEDICAL SERVICE</t>
  </si>
  <si>
    <t xml:space="preserve">18 RUE DE VILLIERS</t>
  </si>
  <si>
    <t xml:space="preserve">2 4 RUE HENRI BARBUSSE</t>
  </si>
  <si>
    <t xml:space="preserve">ESPACE FORME ET BEAUTE</t>
  </si>
  <si>
    <t xml:space="preserve">BEAUCLER</t>
  </si>
  <si>
    <t xml:space="preserve">28 30 RUE DE CHAZELLES</t>
  </si>
  <si>
    <t xml:space="preserve">8 RUE LINCOLN</t>
  </si>
  <si>
    <t xml:space="preserve">PARAPHARMACIE LECLERC</t>
  </si>
  <si>
    <t xml:space="preserve">38 RUE D ALSACE</t>
  </si>
  <si>
    <t xml:space="preserve">LECLERC</t>
  </si>
  <si>
    <t xml:space="preserve">PARACLUB</t>
  </si>
  <si>
    <t xml:space="preserve">30 RUE OLIVIER DE SERRES</t>
  </si>
  <si>
    <t xml:space="preserve">ENTREPOT PHARMACIE MONTPARNASSE</t>
  </si>
  <si>
    <t xml:space="preserve">9 RUE ROBERT DE FLERS</t>
  </si>
  <si>
    <t xml:space="preserve">ENTREPOT PARAPHARMACIE LECLERC</t>
  </si>
  <si>
    <t xml:space="preserve">42 RUE D ALSACE</t>
  </si>
  <si>
    <t xml:space="preserve">CFEB SISLEY</t>
  </si>
  <si>
    <t xml:space="preserve">16 AVENUE GEORGE V</t>
  </si>
  <si>
    <t xml:space="preserve">72 AVENUE CHARLES DE GAULLE</t>
  </si>
  <si>
    <t xml:space="preserve">MONOPRIX SAINT AUGUSTIN</t>
  </si>
  <si>
    <t xml:space="preserve">47 BOULEVARD MALESHERBES</t>
  </si>
  <si>
    <t xml:space="preserve">HOLDING DE PHARMACIES INDEPENDANTES</t>
  </si>
  <si>
    <t xml:space="preserve">121 AVENUE DES CHAMPS ELYSEES</t>
  </si>
  <si>
    <t xml:space="preserve">GROUPE CARREFOUR</t>
  </si>
  <si>
    <t xml:space="preserve">26 QUAI CHARLES PASQUA</t>
  </si>
  <si>
    <t xml:space="preserve">FOLLEREAU LOGISTIQUE</t>
  </si>
  <si>
    <t xml:space="preserve">33 RUE DE DANTZIG</t>
  </si>
  <si>
    <t xml:space="preserve">PHARMACIE VASRAM</t>
  </si>
  <si>
    <t xml:space="preserve">12 RUE LOUISE MICHEL</t>
  </si>
  <si>
    <t xml:space="preserve">PHARMACIE HABIB DEPAILLAT</t>
  </si>
  <si>
    <t xml:space="preserve">21 RUE ERNEST COGNACQ</t>
  </si>
  <si>
    <t xml:space="preserve">PHARMACIE TREBOIS</t>
  </si>
  <si>
    <t xml:space="preserve">35 RUE TREBOIS</t>
  </si>
  <si>
    <t xml:space="preserve">PHARMACIE YAICHE</t>
  </si>
  <si>
    <t xml:space="preserve">171 AVENUE CHARLES DE GAULLE</t>
  </si>
  <si>
    <t xml:space="preserve">PHARMACIE ABITBOL</t>
  </si>
  <si>
    <t xml:space="preserve">92 RUE ARISTIDE BRIAND</t>
  </si>
  <si>
    <t xml:space="preserve">106 AVENUE CHARLES DE GAULLE</t>
  </si>
  <si>
    <t xml:space="preserve">CENTRE MEDICAL ESTHETIQUE ROOSEVELT</t>
  </si>
  <si>
    <t xml:space="preserve">8 AVENUE FRANKLIN DELANO ROOSEVELT</t>
  </si>
  <si>
    <t xml:space="preserve">HAIRSUN</t>
  </si>
  <si>
    <t xml:space="preserve">16 RUE ANATOLE FRANCE</t>
  </si>
  <si>
    <t xml:space="preserve">HEALTHWORKS FRANCE</t>
  </si>
  <si>
    <t xml:space="preserve">6 RUE DE CASTELLANE</t>
  </si>
  <si>
    <t xml:space="preserve">INSTITUT LAZERIS</t>
  </si>
  <si>
    <t xml:space="preserve">45 RUE DE COURCELLES</t>
  </si>
  <si>
    <t xml:space="preserve">PHARMACIE DE LA BOURDONNAIS</t>
  </si>
  <si>
    <t xml:space="preserve">CIBLAGE PDS</t>
  </si>
  <si>
    <t xml:space="preserve">CATEGORIE</t>
  </si>
  <si>
    <t xml:space="preserve">SPE</t>
  </si>
  <si>
    <t xml:space="preserve">NB PDS PRESENTS BASE VEEVA</t>
  </si>
  <si>
    <t xml:space="preserve">NB PDS CIBLES</t>
  </si>
  <si>
    <t xml:space="preserve">TOTAL CONTACTS</t>
  </si>
  <si>
    <t xml:space="preserve">OBJECTIFS NB PDS</t>
  </si>
  <si>
    <t xml:space="preserve">OBJECTIFS CONTACTS</t>
  </si>
  <si>
    <t xml:space="preserve">R/O NB PDS</t>
  </si>
  <si>
    <t xml:space="preserve">R/O CONTACTS</t>
  </si>
  <si>
    <t xml:space="preserve">SFEM</t>
  </si>
  <si>
    <t xml:space="preserve">PEDIATRE</t>
  </si>
  <si>
    <t xml:space="preserve">GASTRO</t>
  </si>
  <si>
    <t xml:space="preserve">Médecine générale-Gyn</t>
  </si>
  <si>
    <t xml:space="preserve">Sage-femme</t>
  </si>
  <si>
    <t xml:space="preserve">Gynécologie</t>
  </si>
  <si>
    <t xml:space="preserve">Médecine générale</t>
  </si>
  <si>
    <t xml:space="preserve">Pédiatrie</t>
  </si>
  <si>
    <t xml:space="preserve">Gastro-entérologie</t>
  </si>
  <si>
    <t xml:space="preserve">ENGAGEMENT</t>
  </si>
  <si>
    <t xml:space="preserve">C1 2023</t>
  </si>
  <si>
    <t xml:space="preserve">C2 2023</t>
  </si>
  <si>
    <t xml:space="preserve">PEDO PSY</t>
  </si>
  <si>
    <t xml:space="preserve">Pédopsychiatrie</t>
  </si>
  <si>
    <t xml:space="preserve">Psychiatrie</t>
  </si>
  <si>
    <t xml:space="preserve">TOTAL NB PDS</t>
  </si>
  <si>
    <t xml:space="preserve">NEURO</t>
  </si>
  <si>
    <t xml:space="preserve">Neurologie</t>
  </si>
  <si>
    <t xml:space="preserve">TOTAL</t>
  </si>
  <si>
    <t xml:space="preserve">NB PDS</t>
  </si>
  <si>
    <t xml:space="preserve">CONTACTS</t>
  </si>
  <si>
    <t xml:space="preserve">OBJECTIF DE 3</t>
  </si>
  <si>
    <t xml:space="preserve">GRAND TOTAL C1</t>
  </si>
  <si>
    <t xml:space="preserve">VERIFICATION FREQUENCE MOYENNE ANNUELLE</t>
  </si>
  <si>
    <t xml:space="preserve">GRAND TOTAL C2</t>
  </si>
  <si>
    <t xml:space="preserve">TX ACTIVITE</t>
  </si>
  <si>
    <t xml:space="preserve">TOTAL CONTACT 2023</t>
  </si>
  <si>
    <t xml:space="preserve">OBJECTIFS CONTACTS PDS + PH 2023</t>
  </si>
  <si>
    <t xml:space="preserve">R/O</t>
  </si>
  <si>
    <t xml:space="preserve">CIBLAGE PHARMACIE</t>
  </si>
  <si>
    <t xml:space="preserve">NB PH CIBLE</t>
  </si>
  <si>
    <t xml:space="preserve">NB CONTACTS</t>
  </si>
  <si>
    <t xml:space="preserve">OBJECTIF NB PH</t>
  </si>
  <si>
    <t xml:space="preserve">OBJECTIF NB CONTACTS</t>
  </si>
  <si>
    <t xml:space="preserve">R/O NB PH</t>
  </si>
  <si>
    <t xml:space="preserve">CIRCADIN</t>
  </si>
  <si>
    <t xml:space="preserve">#7E4E74</t>
  </si>
  <si>
    <t xml:space="preserve">#FF790B</t>
  </si>
  <si>
    <t xml:space="preserve">#FFFFFF</t>
  </si>
  <si>
    <t xml:space="preserve">ULTRA LEVURE</t>
  </si>
  <si>
    <t xml:space="preserve">#4D2E74</t>
  </si>
  <si>
    <t xml:space="preserve">#1FA374</t>
  </si>
  <si>
    <t xml:space="preserve">#CC4A7B</t>
  </si>
  <si>
    <t xml:space="preserve">#F08C1B</t>
  </si>
  <si>
    <t xml:space="preserve">OR($'pds'.$N2="NPAI";$'pds'.$N2="NRP")</t>
  </si>
  <si>
    <t xml:space="preserve">AND(DAY(N2)&lt;&gt;30;MONTH(N2)&lt;&gt;12;YEAR(N2)&lt;&gt;1899)</t>
  </si>
  <si>
    <t xml:space="preserve">nom zone</t>
  </si>
  <si>
    <t xml:space="preserve">tarif</t>
  </si>
  <si>
    <t xml:space="preserve">Paris</t>
  </si>
  <si>
    <t xml:space="preserve">Paris 7e arr.</t>
  </si>
  <si>
    <t xml:space="preserve">Paris 8e arr.</t>
  </si>
  <si>
    <t xml:space="preserve">Paris 15e arr.</t>
  </si>
  <si>
    <t xml:space="preserve">Paris 16e arr.</t>
  </si>
  <si>
    <t xml:space="preserve">Paris 17e arr.</t>
  </si>
  <si>
    <t xml:space="preserve">Neuilly-sur-Seine</t>
  </si>
  <si>
    <t xml:space="preserve">Neuilly / S.</t>
  </si>
  <si>
    <t xml:space="preserve">Levallois-Perret</t>
  </si>
  <si>
    <t xml:space="preserve">Levallois P.</t>
  </si>
  <si>
    <t xml:space="preserve">Boulogne  Billancourt</t>
  </si>
  <si>
    <t xml:space="preserve">Boulogne  B.</t>
  </si>
  <si>
    <t xml:space="preserve">7 9 B RUE DU BOUQUET DE LONGCHAMP</t>
  </si>
  <si>
    <t xml:space="preserve">15 B RUE DE MARIGNAN</t>
  </si>
  <si>
    <t xml:space="preserve">20 B RUE LA BOETIE</t>
  </si>
  <si>
    <t xml:space="preserve">204 B RUE DE LA CROIX NIVERT</t>
  </si>
  <si>
    <t xml:space="preserve">38 B RUE DES ENTREPRENEURS</t>
  </si>
  <si>
    <t xml:space="preserve">76 B AVENUE DE SUFFREN</t>
  </si>
  <si>
    <t xml:space="preserve">1 B AVENUE FRANCO RUSSE</t>
  </si>
  <si>
    <t xml:space="preserve">1 B PASSAGE DE LA VIERGE</t>
  </si>
  <si>
    <t xml:space="preserve">11 B RUE CESAR FRANCK</t>
  </si>
  <si>
    <t xml:space="preserve">15 B AVENUE DE VILLARS</t>
  </si>
  <si>
    <t xml:space="preserve">2 B RUE BOUGAINVILLE</t>
  </si>
  <si>
    <t xml:space="preserve">21 B RUE PIERRE LEROUX</t>
  </si>
  <si>
    <t xml:space="preserve">77 B AVENUE DE BRETEUIL</t>
  </si>
  <si>
    <t xml:space="preserve">32 B BOULEVARD DE VAUGIRARD</t>
  </si>
  <si>
    <t xml:space="preserve">12 B RUE RAYNOUARD</t>
  </si>
  <si>
    <t xml:space="preserve">14 B RUE RAYNOUARD</t>
  </si>
  <si>
    <t xml:space="preserve">2 B SQUARE LAMARTINE</t>
  </si>
  <si>
    <t xml:space="preserve">36 B RUE NICOLO</t>
  </si>
  <si>
    <t xml:space="preserve">5 B RUE LE TASSE</t>
  </si>
  <si>
    <t xml:space="preserve">11 B RUE AMPERE</t>
  </si>
  <si>
    <t xml:space="preserve">21 B RUE GALVANI</t>
  </si>
  <si>
    <t xml:space="preserve">8 B RUE MARGUERITTE</t>
  </si>
  <si>
    <t xml:space="preserve">11 B AVENUE MAC MAHON</t>
  </si>
  <si>
    <t xml:space="preserve">11 B PASSAGE DOISY</t>
  </si>
  <si>
    <t xml:space="preserve">14 B RUE DARU</t>
  </si>
  <si>
    <t xml:space="preserve">15 B AVENUE BEAUCOUR</t>
  </si>
  <si>
    <t xml:space="preserve">20 B RUE DARU</t>
  </si>
  <si>
    <t xml:space="preserve">218 B BOULEVARD PEREIRE</t>
  </si>
  <si>
    <t xml:space="preserve">62 B RUE PIERRE DEMOURS</t>
  </si>
  <si>
    <t xml:space="preserve">21 B AVENUE D IENA</t>
  </si>
  <si>
    <t xml:space="preserve">24 B AVENUE DU PRESIDENT WILSON</t>
  </si>
  <si>
    <t xml:space="preserve">5 B RUE DU DOME</t>
  </si>
  <si>
    <t xml:space="preserve">136 B RUE BLOMET</t>
  </si>
  <si>
    <t xml:space="preserve">149 B RUE BLOMET</t>
  </si>
  <si>
    <t xml:space="preserve">155 B RUE DE LA CONVENTION</t>
  </si>
  <si>
    <t xml:space="preserve">1 B RUE COLLANGE</t>
  </si>
  <si>
    <t xml:space="preserve">122 B RUE LOUIS ROUQUIER</t>
  </si>
  <si>
    <t xml:space="preserve">2 B RUE CAMILLE PELLETAN</t>
  </si>
  <si>
    <t xml:space="preserve">35 B RUE RIVAY</t>
  </si>
  <si>
    <t xml:space="preserve">77 B RUE VOLTAIRE</t>
  </si>
  <si>
    <t xml:space="preserve">11 B AVENUE DE MADRID</t>
  </si>
  <si>
    <t xml:space="preserve">146 B AVENUE CHARLES DE GAULLE</t>
  </si>
  <si>
    <t xml:space="preserve">15 B RUE DE L EGLISE</t>
  </si>
  <si>
    <t xml:space="preserve">2 B RUE DE L EGLISE</t>
  </si>
  <si>
    <t xml:space="preserve">3 B RUE SOYER</t>
  </si>
  <si>
    <t xml:space="preserve">5 B RUE SOYER</t>
  </si>
  <si>
    <t xml:space="preserve">88 B AVENUE CHARLES DE GAULLE</t>
  </si>
  <si>
    <t xml:space="preserve">WAGRAM SANTÉ</t>
  </si>
  <si>
    <t xml:space="preserve">66 RUE JOUFFRY D ‘ABBANS</t>
  </si>
  <si>
    <t xml:space="preserve">Ai laissé mes coordonnées sur place. La secrétaire doit me rappeler….</t>
  </si>
  <si>
    <t xml:space="preserve">ME RAPELLE</t>
  </si>
  <si>
    <t xml:space="preserve">COURCELLES MÉDICAL</t>
  </si>
  <si>
    <t xml:space="preserve">97 RUE JOUFFROY D’ABBANS</t>
  </si>
  <si>
    <t xml:space="preserve">ÉSTHÉTIQUE</t>
  </si>
  <si>
    <t xml:space="preserve">AVENUE DE WAGRAM</t>
  </si>
  <si>
    <t xml:space="preserve">HANAU CORINNE</t>
  </si>
  <si>
    <t xml:space="preserve">CLINIQUE SAINTE THÉRÈSE</t>
  </si>
  <si>
    <t xml:space="preserve">5 GY + SF</t>
  </si>
  <si>
    <t xml:space="preserve">PETIT : Ne crois pas aux probiotiques, va prescrire Physioflore Oral, Pelvitonic+ à pousser, Colpofix : pas d’étude prospectives
DULMAN : Prescrit Gestarelle g/g3+, enchanté par Gestarelle Fertilité.  Va prescrire Physioflore Orale pour remplacer ovule,  ok pelvitonic+, Colpofix convaicu
CHATEL
MAJOULET
COHEN
+ SF</t>
  </si>
  <si>
    <t xml:space="preserve">THEROND GERARD</t>
  </si>
  <si>
    <t xml:space="preserve">GY (FERTILITÉ)</t>
  </si>
  <si>
    <t xml:space="preserve">RDV 14/11/2023</t>
  </si>
  <si>
    <t xml:space="preserve">SOMED</t>
  </si>
  <si>
    <t xml:space="preserve">GARE MONTPARNASSE</t>
  </si>
  <si>
    <t xml:space="preserve">SUR PLACE</t>
  </si>
  <si>
    <t xml:space="preserve">TRABBIA</t>
  </si>
  <si>
    <t xml:space="preserve">RUE ROBERT DE FLERS</t>
  </si>
  <si>
    <t xml:space="preserve">MAIL cabinet.trabbia.15@gmail.com</t>
  </si>
  <si>
    <t xml:space="preserve">EL FALAH</t>
  </si>
  <si>
    <t xml:space="preserve">7E</t>
  </si>
  <si>
    <t xml:space="preserve">RDV 26/09/23</t>
  </si>
  <si>
    <t xml:space="preserve">17E</t>
  </si>
  <si>
    <t xml:space="preserve">RDV 03/10/23 </t>
  </si>
  <si>
    <t xml:space="preserve">MEKKI</t>
  </si>
  <si>
    <t xml:space="preserve">ZERWALA</t>
  </si>
  <si>
    <t xml:space="preserve">RUE MIOLLIS</t>
  </si>
  <si>
    <t xml:space="preserve">Nom inconnu
Adresse correspond au centre médicosocial des sours de St Vincent de Paul</t>
  </si>
  <si>
    <t xml:space="preserve">HEYLER BOURY</t>
  </si>
  <si>
    <t xml:space="preserve">RUE BOISSIERE</t>
  </si>
  <si>
    <t xml:space="preserve">01 40 67 71 95  TROUVÉ À LA FOIS SUR AMELI ET DANS VEEVA NON ATTRIBUÉ</t>
  </si>
  <si>
    <t xml:space="preserve">THELLIER</t>
  </si>
  <si>
    <t xml:space="preserve">A VENUE KLEBER</t>
  </si>
  <si>
    <t xml:space="preserve">CENTRE ARGENTINE</t>
  </si>
  <si>
    <t xml:space="preserve">CEVENNES</t>
  </si>
  <si>
    <t xml:space="preserve">15E</t>
  </si>
  <si>
    <t xml:space="preserve">NE RECOIS PAS LES LABOS</t>
  </si>
  <si>
    <t xml:space="preserve">BENZAQINE</t>
  </si>
  <si>
    <t xml:space="preserve">16E</t>
  </si>
  <si>
    <t xml:space="preserve">ACKERMAN</t>
  </si>
  <si>
    <t xml:space="preserve">DE LA FONTAINE</t>
  </si>
  <si>
    <t xml:space="preserve">RUE DE VARIZE</t>
  </si>
  <si>
    <t xml:space="preserve">5 MG / 1 SF</t>
  </si>
  <si>
    <t xml:space="preserve">CHEZAUD vc
SCHILDT rpt
ECLANCHER vc - nrp
HADDAD prescrit UL, Alflorex et Circadin régulièrement
LA TOUR DE MAREUIL concurrence ++
COMBASTET vc
PAUWELS vc</t>
  </si>
  <si>
    <t xml:space="preserve">AMIRI</t>
  </si>
  <si>
    <t xml:space="preserve">RUE BALARD</t>
  </si>
  <si>
    <t xml:space="preserve">CONCQY</t>
  </si>
  <si>
    <t xml:space="preserve">RUE DU PIC DE BARETTE</t>
  </si>
  <si>
    <t xml:space="preserve">DOUARD</t>
  </si>
  <si>
    <t xml:space="preserve">AVENUE DE LA GRANDE ARMEE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</si>
</sst>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\ * #,##0.00&quot;    &quot;;\-* #,##0.00&quot;    &quot;;\ * \-#&quot;    &quot;;\ @\ "/>
    <numFmt numFmtId="166" formatCode="\ * #,##0&quot;    &quot;;\-* #,##0&quot;    &quot;;\ * &quot;-    &quot;;\ @\ "/>
    <numFmt numFmtId="167" formatCode="\ * #,##0.00&quot; € &quot;;\-* #,##0.00&quot; € &quot;;\ * \-#&quot; € &quot;;\ @\ "/>
    <numFmt numFmtId="168" formatCode="\ * #,##0&quot; € &quot;;\-* #,##0&quot; € &quot;;\ * &quot;- € &quot;;\ @\ "/>
    <numFmt numFmtId="169" formatCode="0\ %"/>
    <numFmt numFmtId="170" formatCode="00\ 00\ 00\ 00\ 00"/>
    <numFmt numFmtId="171" formatCode="0"/>
    <numFmt numFmtId="172" formatCode="hh:mm"/>
    <numFmt numFmtId="173" formatCode="dd/mm/yy\ hh:mm"/>
    <numFmt numFmtId="174" formatCode="dd/mm/yy"/>
    <numFmt numFmtId="175" formatCode="@"/>
    <numFmt numFmtId="176" formatCode="&quot;WAHR&quot;;&quot;WAHR&quot;;&quot;FALSCH&quot;"/>
    <numFmt numFmtId="177" formatCode="dd/mm/yyyy"/>
    <numFmt numFmtId="178" formatCode="&quot; €&quot;* #,##0.00\ ;&quot; €&quot;* \(#,##0.00\);&quot; €&quot;* \-#\ ;\ @\ "/>
    <numFmt numFmtId="179" formatCode="\ * #,##0&quot; € &quot;;\-* #,##0&quot; € &quot;;\ * \-#&quot; € &quot;;\ @\ "/>
    <numFmt numFmtId="180" formatCode="General"/>
    <numFmt numFmtId="181" formatCode="#,##0"/>
    <numFmt numFmtId="182" formatCode="\ * #,##0.00\ ;\ * \(#,##0.00\);\ * \-#\ ;\ @\ "/>
    <numFmt numFmtId="183" formatCode="\ * #,##0\ ;\-* #,##0\ ;\ * \-#\ ;\ @\ "/>
    <numFmt numFmtId="184" formatCode="0.00"/>
  </numFmts>
  <fonts count="37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2"/>
      <charset val="1"/>
    </font>
    <font>
      <b val="true"/>
      <sz val="8"/>
      <color rgb="FF813709"/>
      <name val="Arial"/>
      <family val="2"/>
      <charset val="1"/>
    </font>
    <font>
      <sz val="10"/>
      <name val="Arial"/>
      <family val="0"/>
      <charset val="1"/>
    </font>
    <font>
      <b val="true"/>
      <sz val="8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rgb="FF127622"/>
      <name val="Arial"/>
      <family val="2"/>
      <charset val="1"/>
    </font>
    <font>
      <b val="true"/>
      <strike val="true"/>
      <sz val="8"/>
      <name val="Arial"/>
      <family val="2"/>
      <charset val="1"/>
    </font>
    <font>
      <sz val="8"/>
      <color rgb="FF127622"/>
      <name val="Arial"/>
      <family val="2"/>
      <charset val="1"/>
    </font>
    <font>
      <b val="true"/>
      <sz val="6"/>
      <name val="Arial"/>
      <family val="2"/>
      <charset val="1"/>
    </font>
    <font>
      <sz val="6"/>
      <name val="Arial"/>
      <family val="2"/>
      <charset val="1"/>
    </font>
    <font>
      <b val="true"/>
      <sz val="4"/>
      <name val="Arial"/>
      <family val="2"/>
      <charset val="1"/>
    </font>
    <font>
      <sz val="8"/>
      <color rgb="FFC9211E"/>
      <name val="Arial"/>
      <family val="2"/>
      <charset val="1"/>
    </font>
    <font>
      <b val="true"/>
      <sz val="8"/>
      <color rgb="FFC9211E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0000FF"/>
      <name val="Arial"/>
      <family val="2"/>
      <charset val="1"/>
    </font>
    <font>
      <b val="true"/>
      <sz val="8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0"/>
      <charset val="1"/>
    </font>
    <font>
      <b val="true"/>
      <sz val="10"/>
      <name val="Calibri"/>
      <family val="2"/>
      <charset val="1"/>
    </font>
    <font>
      <sz val="10"/>
      <name val="Calibri"/>
      <family val="0"/>
      <charset val="1"/>
    </font>
    <font>
      <b val="true"/>
      <sz val="12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8"/>
      <color rgb="FF7E4E74"/>
      <name val="Arial"/>
      <family val="2"/>
      <charset val="1"/>
    </font>
    <font>
      <b val="true"/>
      <sz val="8"/>
      <color rgb="FFFF790B"/>
      <name val="Arial"/>
      <family val="2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4D2E74"/>
      <name val="Arial"/>
      <family val="2"/>
      <charset val="1"/>
    </font>
    <font>
      <b val="true"/>
      <sz val="8"/>
      <color rgb="FF1FA374"/>
      <name val="Arial"/>
      <family val="2"/>
      <charset val="1"/>
    </font>
    <font>
      <b val="true"/>
      <sz val="8"/>
      <name val="Arial"/>
      <family val="0"/>
      <charset val="1"/>
    </font>
    <font>
      <strike val="true"/>
      <sz val="8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DBB6"/>
        <bgColor rgb="FFFFD7D7"/>
      </patternFill>
    </fill>
    <fill>
      <patternFill patternType="solid">
        <fgColor rgb="FF729FCF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EA7500"/>
        <bgColor rgb="FFFF790B"/>
      </patternFill>
    </fill>
    <fill>
      <patternFill patternType="solid">
        <fgColor rgb="FFFFD7D7"/>
        <bgColor rgb="FFFBE5D6"/>
      </patternFill>
    </fill>
    <fill>
      <patternFill patternType="solid">
        <fgColor rgb="FFCCFFCC"/>
        <bgColor rgb="FFDDE8CB"/>
      </patternFill>
    </fill>
    <fill>
      <patternFill patternType="solid">
        <fgColor rgb="FFDDDDDD"/>
        <bgColor rgb="FFDAE3F3"/>
      </patternFill>
    </fill>
    <fill>
      <patternFill patternType="solid">
        <fgColor rgb="FFFFFFFF"/>
        <bgColor rgb="FFFFFFCC"/>
      </patternFill>
    </fill>
    <fill>
      <patternFill patternType="solid">
        <fgColor rgb="FFCC0000"/>
        <bgColor rgb="FFC9211E"/>
      </patternFill>
    </fill>
    <fill>
      <patternFill patternType="solid">
        <fgColor rgb="FFB4C7DC"/>
        <bgColor rgb="FFCCCCCC"/>
      </patternFill>
    </fill>
    <fill>
      <patternFill patternType="solid">
        <fgColor rgb="FFB7B3CA"/>
        <bgColor rgb="FFB4C7DC"/>
      </patternFill>
    </fill>
    <fill>
      <patternFill patternType="solid">
        <fgColor rgb="FF780373"/>
        <bgColor rgb="FF800080"/>
      </patternFill>
    </fill>
    <fill>
      <patternFill patternType="solid">
        <fgColor rgb="FFDAE3F3"/>
        <bgColor rgb="FFDDDDDD"/>
      </patternFill>
    </fill>
    <fill>
      <patternFill patternType="solid">
        <fgColor rgb="FF7E4E74"/>
        <bgColor rgb="FF993366"/>
      </patternFill>
    </fill>
    <fill>
      <patternFill patternType="solid">
        <fgColor rgb="FF4F2F78"/>
        <bgColor rgb="FF4D2E74"/>
      </patternFill>
    </fill>
    <fill>
      <patternFill patternType="solid">
        <fgColor rgb="FFEDEDED"/>
        <bgColor rgb="FFFBE5D6"/>
      </patternFill>
    </fill>
    <fill>
      <patternFill patternType="solid">
        <fgColor rgb="FFC5E0B4"/>
        <bgColor rgb="FFDDE8CB"/>
      </patternFill>
    </fill>
    <fill>
      <patternFill patternType="solid">
        <fgColor rgb="FFFFC9FF"/>
        <bgColor rgb="FFFFD7D7"/>
      </patternFill>
    </fill>
    <fill>
      <patternFill patternType="solid">
        <fgColor rgb="FFFFFF00"/>
        <bgColor rgb="FFE6E905"/>
      </patternFill>
    </fill>
    <fill>
      <patternFill patternType="solid">
        <fgColor rgb="FFF8CBAD"/>
        <bgColor rgb="FFFFDBB6"/>
      </patternFill>
    </fill>
    <fill>
      <patternFill patternType="solid">
        <fgColor rgb="FF000000"/>
        <bgColor rgb="FF003300"/>
      </patternFill>
    </fill>
    <fill>
      <patternFill patternType="solid">
        <fgColor rgb="FF2E75B6"/>
        <bgColor rgb="FF0066CC"/>
      </patternFill>
    </fill>
    <fill>
      <patternFill patternType="solid">
        <fgColor rgb="FF92D050"/>
        <bgColor rgb="FFC5E0B4"/>
      </patternFill>
    </fill>
    <fill>
      <patternFill patternType="solid">
        <fgColor rgb="FFFBE5D6"/>
        <bgColor rgb="FFFFD7D7"/>
      </patternFill>
    </fill>
    <fill>
      <patternFill patternType="solid">
        <fgColor rgb="FFDDE8CB"/>
        <bgColor rgb="FFDDDDDD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hair"/>
      <diagonal/>
    </border>
    <border diagonalUp="false" diagonalDown="false">
      <left style="medium"/>
      <right style="hair"/>
      <top style="thin"/>
      <bottom style="hair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2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8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5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0" xfId="4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9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8" borderId="6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19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9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1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2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2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0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0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1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4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4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2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2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1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1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6" fillId="2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6" fillId="2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6" fillId="2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22" borderId="2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1" fillId="1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1" fillId="1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5" fillId="1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8" borderId="1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3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4" fontId="23" fillId="0" borderId="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3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2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25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1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18" borderId="29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5" fillId="0" borderId="3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0" borderId="3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0" borderId="3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Barré" xfId="21"/>
    <cellStyle name="Call" xfId="22"/>
    <cellStyle name="Card" xfId="23"/>
    <cellStyle name="Card B" xfId="24"/>
    <cellStyle name="Card BL" xfId="25"/>
    <cellStyle name="Card BR" xfId="26"/>
    <cellStyle name="Card L" xfId="27"/>
    <cellStyle name="Card R" xfId="28"/>
    <cellStyle name="Card T" xfId="29"/>
    <cellStyle name="Card TL" xfId="30"/>
    <cellStyle name="Card TR" xfId="31"/>
    <cellStyle name="Check" xfId="32"/>
    <cellStyle name="Column Header" xfId="33"/>
    <cellStyle name="Déja vus" xfId="34"/>
    <cellStyle name="Error bis" xfId="35"/>
    <cellStyle name="GE" xfId="36"/>
    <cellStyle name="Good bis" xfId="37"/>
    <cellStyle name="GY" xfId="38"/>
    <cellStyle name="Input" xfId="39"/>
    <cellStyle name="L RDV" xfId="40"/>
    <cellStyle name="MG" xfId="41"/>
    <cellStyle name="Médecins" xfId="42"/>
    <cellStyle name="Ne pas cibler" xfId="43"/>
    <cellStyle name="Note bis" xfId="44"/>
    <cellStyle name="NRP" xfId="45"/>
    <cellStyle name="PE" xfId="46"/>
    <cellStyle name="PEPSY" xfId="47"/>
    <cellStyle name="Pivot Table Category" xfId="48"/>
    <cellStyle name="Pivot Table Corner" xfId="49"/>
    <cellStyle name="Pivot Table Field" xfId="50"/>
    <cellStyle name="Pivot Table Result" xfId="51"/>
    <cellStyle name="Pivot Table Title" xfId="52"/>
    <cellStyle name="Pivot Table Value" xfId="53"/>
    <cellStyle name="Prospects" xfId="54"/>
    <cellStyle name="PSY" xfId="55"/>
    <cellStyle name="Result2" xfId="56"/>
    <cellStyle name="Status 2" xfId="57"/>
    <cellStyle name="ConditionalStyle_191 1" xfId="58"/>
  </cellStyles>
  <dxfs count="208">
    <dxf>
      <fill>
        <patternFill patternType="solid">
          <fgColor rgb="FFDAE3F3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9211E"/>
        </patternFill>
      </fill>
    </dxf>
    <dxf>
      <fill>
        <patternFill patternType="solid">
          <fgColor rgb="FF780373"/>
        </patternFill>
      </fill>
    </dxf>
    <dxf>
      <fill>
        <patternFill patternType="solid">
          <fgColor rgb="FFB4C7DC"/>
        </patternFill>
      </fill>
    </dxf>
    <dxf>
      <fill>
        <patternFill patternType="solid">
          <fgColor rgb="FFB7B3CA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EA7500"/>
        </patternFill>
      </fill>
    </dxf>
    <dxf>
      <fill>
        <patternFill patternType="solid">
          <fgColor rgb="FFFFD7D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7286C0"/>
        </patternFill>
      </fill>
    </dxf>
    <dxf>
      <fill>
        <patternFill patternType="solid">
          <fgColor rgb="FF7286C1"/>
        </patternFill>
      </fill>
    </dxf>
    <dxf>
      <fill>
        <patternFill patternType="solid">
          <fgColor rgb="FF7287C1"/>
        </patternFill>
      </fill>
    </dxf>
    <dxf>
      <fill>
        <patternFill patternType="solid">
          <fgColor rgb="FF7288C1"/>
        </patternFill>
      </fill>
    </dxf>
    <dxf>
      <fill>
        <patternFill patternType="solid">
          <fgColor rgb="FF7288C2"/>
        </patternFill>
      </fill>
    </dxf>
    <dxf>
      <fill>
        <patternFill patternType="solid">
          <fgColor rgb="FF7289C2"/>
        </patternFill>
      </fill>
    </dxf>
    <dxf>
      <fill>
        <patternFill patternType="solid">
          <fgColor rgb="FF728AC3"/>
        </patternFill>
      </fill>
    </dxf>
    <dxf>
      <fill>
        <patternFill patternType="solid">
          <fgColor rgb="FF728BC3"/>
        </patternFill>
      </fill>
    </dxf>
    <dxf>
      <fill>
        <patternFill patternType="solid">
          <fgColor rgb="FF728BC4"/>
        </patternFill>
      </fill>
    </dxf>
    <dxf>
      <fill>
        <patternFill patternType="solid">
          <fgColor rgb="FF728CC4"/>
        </patternFill>
      </fill>
    </dxf>
    <dxf>
      <fill>
        <patternFill patternType="solid">
          <fgColor rgb="FF728DC4"/>
        </patternFill>
      </fill>
    </dxf>
    <dxf>
      <fill>
        <patternFill patternType="solid">
          <fgColor rgb="FF728DC5"/>
        </patternFill>
      </fill>
    </dxf>
    <dxf>
      <fill>
        <patternFill patternType="solid">
          <fgColor rgb="FF728EC5"/>
        </patternFill>
      </fill>
    </dxf>
    <dxf>
      <fill>
        <patternFill patternType="solid">
          <fgColor rgb="FF728FC5"/>
        </patternFill>
      </fill>
    </dxf>
    <dxf>
      <fill>
        <patternFill patternType="solid">
          <fgColor rgb="FF728FC6"/>
        </patternFill>
      </fill>
    </dxf>
    <dxf>
      <fill>
        <patternFill patternType="solid">
          <fgColor rgb="FF7290C6"/>
        </patternFill>
      </fill>
    </dxf>
    <dxf>
      <fill>
        <patternFill patternType="solid">
          <fgColor rgb="FF7290C7"/>
        </patternFill>
      </fill>
    </dxf>
    <dxf>
      <fill>
        <patternFill patternType="solid">
          <fgColor rgb="FF7291C7"/>
        </patternFill>
      </fill>
    </dxf>
    <dxf>
      <fill>
        <patternFill patternType="solid">
          <fgColor rgb="FF7292C7"/>
        </patternFill>
      </fill>
    </dxf>
    <dxf>
      <fill>
        <patternFill patternType="solid">
          <fgColor rgb="FF7292C8"/>
        </patternFill>
      </fill>
    </dxf>
    <dxf>
      <fill>
        <patternFill patternType="solid">
          <fgColor rgb="FF7293C8"/>
        </patternFill>
      </fill>
    </dxf>
    <dxf>
      <fill>
        <patternFill patternType="solid">
          <fgColor rgb="FF7294C8"/>
        </patternFill>
      </fill>
    </dxf>
    <dxf>
      <fill>
        <patternFill patternType="solid">
          <fgColor rgb="FF7294C9"/>
        </patternFill>
      </fill>
    </dxf>
    <dxf>
      <fill>
        <patternFill patternType="solid">
          <fgColor rgb="FF7295C9"/>
        </patternFill>
      </fill>
    </dxf>
    <dxf>
      <fill>
        <patternFill patternType="solid">
          <fgColor rgb="FF7295CA"/>
        </patternFill>
      </fill>
    </dxf>
    <dxf>
      <fill>
        <patternFill patternType="solid">
          <fgColor rgb="FF7296CA"/>
        </patternFill>
      </fill>
    </dxf>
    <dxf>
      <fill>
        <patternFill patternType="solid">
          <fgColor rgb="FF7297CA"/>
        </patternFill>
      </fill>
    </dxf>
    <dxf>
      <fill>
        <patternFill patternType="solid">
          <fgColor rgb="FF7297CB"/>
        </patternFill>
      </fill>
    </dxf>
    <dxf>
      <fill>
        <patternFill patternType="solid">
          <fgColor rgb="FF7298CB"/>
        </patternFill>
      </fill>
    </dxf>
    <dxf>
      <fill>
        <patternFill patternType="solid">
          <fgColor rgb="FF7299CB"/>
        </patternFill>
      </fill>
    </dxf>
    <dxf>
      <fill>
        <patternFill patternType="solid">
          <fgColor rgb="FF7299CC"/>
        </patternFill>
      </fill>
    </dxf>
    <dxf>
      <fill>
        <patternFill patternType="solid">
          <fgColor rgb="FF729ACC"/>
        </patternFill>
      </fill>
    </dxf>
    <dxf>
      <fill>
        <patternFill patternType="solid">
          <fgColor rgb="FF729BCD"/>
        </patternFill>
      </fill>
    </dxf>
    <dxf>
      <fill>
        <patternFill patternType="solid">
          <fgColor rgb="FF729CCE"/>
        </patternFill>
      </fill>
    </dxf>
    <dxf>
      <fill>
        <patternFill patternType="solid">
          <fgColor rgb="FF729ECE"/>
        </patternFill>
      </fill>
    </dxf>
    <dxf>
      <fill>
        <patternFill patternType="solid">
          <fgColor rgb="FF729ECF"/>
        </patternFill>
      </fill>
    </dxf>
    <dxf>
      <fill>
        <patternFill patternType="solid">
          <fgColor rgb="FF736CB1"/>
        </patternFill>
      </fill>
    </dxf>
    <dxf>
      <fill>
        <patternFill patternType="solid">
          <fgColor rgb="FF736DB1"/>
        </patternFill>
      </fill>
    </dxf>
    <dxf>
      <fill>
        <patternFill patternType="solid">
          <fgColor rgb="FF736DB2"/>
        </patternFill>
      </fill>
    </dxf>
    <dxf>
      <fill>
        <patternFill patternType="solid">
          <fgColor rgb="FF736EB2"/>
        </patternFill>
      </fill>
    </dxf>
    <dxf>
      <fill>
        <patternFill patternType="solid">
          <fgColor rgb="FF736EB3"/>
        </patternFill>
      </fill>
    </dxf>
    <dxf>
      <fill>
        <patternFill patternType="solid">
          <fgColor rgb="FF736FB3"/>
        </patternFill>
      </fill>
    </dxf>
    <dxf>
      <fill>
        <patternFill patternType="solid">
          <fgColor rgb="FF7370B3"/>
        </patternFill>
      </fill>
    </dxf>
    <dxf>
      <fill>
        <patternFill patternType="solid">
          <fgColor rgb="FF7370B4"/>
        </patternFill>
      </fill>
    </dxf>
    <dxf>
      <fill>
        <patternFill patternType="solid">
          <fgColor rgb="FF7371B4"/>
        </patternFill>
      </fill>
    </dxf>
    <dxf>
      <fill>
        <patternFill patternType="solid">
          <fgColor rgb="FF7372B4"/>
        </patternFill>
      </fill>
    </dxf>
    <dxf>
      <fill>
        <patternFill patternType="solid">
          <fgColor rgb="FF7372B5"/>
        </patternFill>
      </fill>
    </dxf>
    <dxf>
      <fill>
        <patternFill patternType="solid">
          <fgColor rgb="FF7373B5"/>
        </patternFill>
      </fill>
    </dxf>
    <dxf>
      <fill>
        <patternFill patternType="solid">
          <fgColor rgb="FF7373B6"/>
        </patternFill>
      </fill>
    </dxf>
    <dxf>
      <fill>
        <patternFill patternType="solid">
          <fgColor rgb="FF7374B6"/>
        </patternFill>
      </fill>
    </dxf>
    <dxf>
      <fill>
        <patternFill patternType="solid">
          <fgColor rgb="FF7375B6"/>
        </patternFill>
      </fill>
    </dxf>
    <dxf>
      <fill>
        <patternFill patternType="solid">
          <fgColor rgb="FF7375B7"/>
        </patternFill>
      </fill>
    </dxf>
    <dxf>
      <fill>
        <patternFill patternType="solid">
          <fgColor rgb="FF7376B7"/>
        </patternFill>
      </fill>
    </dxf>
    <dxf>
      <fill>
        <patternFill patternType="solid">
          <fgColor rgb="FF7377B7"/>
        </patternFill>
      </fill>
    </dxf>
    <dxf>
      <fill>
        <patternFill patternType="solid">
          <fgColor rgb="FF7377B8"/>
        </patternFill>
      </fill>
    </dxf>
    <dxf>
      <fill>
        <patternFill patternType="solid">
          <fgColor rgb="FF7378B8"/>
        </patternFill>
      </fill>
    </dxf>
    <dxf>
      <fill>
        <patternFill patternType="solid">
          <fgColor rgb="FF7379B9"/>
        </patternFill>
      </fill>
    </dxf>
    <dxf>
      <fill>
        <patternFill patternType="solid">
          <fgColor rgb="FF737AB9"/>
        </patternFill>
      </fill>
    </dxf>
    <dxf>
      <fill>
        <patternFill patternType="solid">
          <fgColor rgb="FF737ABA"/>
        </patternFill>
      </fill>
    </dxf>
    <dxf>
      <fill>
        <patternFill patternType="solid">
          <fgColor rgb="FF737BBA"/>
        </patternFill>
      </fill>
    </dxf>
    <dxf>
      <fill>
        <patternFill patternType="solid">
          <fgColor rgb="FF737CBA"/>
        </patternFill>
      </fill>
    </dxf>
    <dxf>
      <fill>
        <patternFill patternType="solid">
          <fgColor rgb="FF737CBB"/>
        </patternFill>
      </fill>
    </dxf>
    <dxf>
      <fill>
        <patternFill patternType="solid">
          <fgColor rgb="FF737DBB"/>
        </patternFill>
      </fill>
    </dxf>
    <dxf>
      <fill>
        <patternFill patternType="solid">
          <fgColor rgb="FF737EBB"/>
        </patternFill>
      </fill>
    </dxf>
    <dxf>
      <fill>
        <patternFill patternType="solid">
          <fgColor rgb="FF737EBC"/>
        </patternFill>
      </fill>
    </dxf>
    <dxf>
      <fill>
        <patternFill patternType="solid">
          <fgColor rgb="FF737FBC"/>
        </patternFill>
      </fill>
    </dxf>
    <dxf>
      <fill>
        <patternFill patternType="solid">
          <fgColor rgb="FF737FBD"/>
        </patternFill>
      </fill>
    </dxf>
    <dxf>
      <fill>
        <patternFill patternType="solid">
          <fgColor rgb="FF7380BD"/>
        </patternFill>
      </fill>
    </dxf>
    <dxf>
      <fill>
        <patternFill patternType="solid">
          <fgColor rgb="FF7381BD"/>
        </patternFill>
      </fill>
    </dxf>
    <dxf>
      <fill>
        <patternFill patternType="solid">
          <fgColor rgb="FF7381BE"/>
        </patternFill>
      </fill>
    </dxf>
    <dxf>
      <fill>
        <patternFill patternType="solid">
          <fgColor rgb="FF7382BE"/>
        </patternFill>
      </fill>
    </dxf>
    <dxf>
      <fill>
        <patternFill patternType="solid">
          <fgColor rgb="FF7383BE"/>
        </patternFill>
      </fill>
    </dxf>
    <dxf>
      <fill>
        <patternFill patternType="solid">
          <fgColor rgb="FF7383BF"/>
        </patternFill>
      </fill>
    </dxf>
    <dxf>
      <fill>
        <patternFill patternType="solid">
          <fgColor rgb="FF7384BF"/>
        </patternFill>
      </fill>
    </dxf>
    <dxf>
      <fill>
        <patternFill patternType="solid">
          <fgColor rgb="FF7384C0"/>
        </patternFill>
      </fill>
    </dxf>
    <dxf>
      <fill>
        <patternFill patternType="solid">
          <fgColor rgb="FF7385C0"/>
        </patternFill>
      </fill>
    </dxf>
    <dxf>
      <fill>
        <patternFill patternType="solid">
          <fgColor rgb="FF7452A2"/>
        </patternFill>
      </fill>
    </dxf>
    <dxf>
      <fill>
        <patternFill patternType="solid">
          <fgColor rgb="FF7453A2"/>
        </patternFill>
      </fill>
    </dxf>
    <dxf>
      <fill>
        <patternFill patternType="solid">
          <fgColor rgb="FF7454A3"/>
        </patternFill>
      </fill>
    </dxf>
    <dxf>
      <fill>
        <patternFill patternType="solid">
          <fgColor rgb="FF7455A4"/>
        </patternFill>
      </fill>
    </dxf>
    <dxf>
      <fill>
        <patternFill patternType="solid">
          <fgColor rgb="FF7456A4"/>
        </patternFill>
      </fill>
    </dxf>
    <dxf>
      <fill>
        <patternFill patternType="solid">
          <fgColor rgb="FF7457A5"/>
        </patternFill>
      </fill>
    </dxf>
    <dxf>
      <fill>
        <patternFill patternType="solid">
          <fgColor rgb="FF7458A5"/>
        </patternFill>
      </fill>
    </dxf>
    <dxf>
      <fill>
        <patternFill patternType="solid">
          <fgColor rgb="FF7458A6"/>
        </patternFill>
      </fill>
    </dxf>
    <dxf>
      <fill>
        <patternFill patternType="solid">
          <fgColor rgb="FF7459A6"/>
        </patternFill>
      </fill>
    </dxf>
    <dxf>
      <fill>
        <patternFill patternType="solid">
          <fgColor rgb="FF745AA7"/>
        </patternFill>
      </fill>
    </dxf>
    <dxf>
      <fill>
        <patternFill patternType="solid">
          <fgColor rgb="FF745BA7"/>
        </patternFill>
      </fill>
    </dxf>
    <dxf>
      <fill>
        <patternFill patternType="solid">
          <fgColor rgb="FF745CA7"/>
        </patternFill>
      </fill>
    </dxf>
    <dxf>
      <fill>
        <patternFill patternType="solid">
          <fgColor rgb="FF745CA8"/>
        </patternFill>
      </fill>
    </dxf>
    <dxf>
      <fill>
        <patternFill patternType="solid">
          <fgColor rgb="FF745DA8"/>
        </patternFill>
      </fill>
    </dxf>
    <dxf>
      <fill>
        <patternFill patternType="solid">
          <fgColor rgb="FF745EA9"/>
        </patternFill>
      </fill>
    </dxf>
    <dxf>
      <fill>
        <patternFill patternType="solid">
          <fgColor rgb="FF745FA9"/>
        </patternFill>
      </fill>
    </dxf>
    <dxf>
      <fill>
        <patternFill patternType="solid">
          <fgColor rgb="FF745FAA"/>
        </patternFill>
      </fill>
    </dxf>
    <dxf>
      <fill>
        <patternFill patternType="solid">
          <fgColor rgb="FF7460AA"/>
        </patternFill>
      </fill>
    </dxf>
    <dxf>
      <fill>
        <patternFill patternType="solid">
          <fgColor rgb="FF7461AA"/>
        </patternFill>
      </fill>
    </dxf>
    <dxf>
      <fill>
        <patternFill patternType="solid">
          <fgColor rgb="FF7461AB"/>
        </patternFill>
      </fill>
    </dxf>
    <dxf>
      <fill>
        <patternFill patternType="solid">
          <fgColor rgb="FF7462AB"/>
        </patternFill>
      </fill>
    </dxf>
    <dxf>
      <fill>
        <patternFill patternType="solid">
          <fgColor rgb="FF7463AC"/>
        </patternFill>
      </fill>
    </dxf>
    <dxf>
      <fill>
        <patternFill patternType="solid">
          <fgColor rgb="FF7464AC"/>
        </patternFill>
      </fill>
    </dxf>
    <dxf>
      <fill>
        <patternFill patternType="solid">
          <fgColor rgb="FF7464AD"/>
        </patternFill>
      </fill>
    </dxf>
    <dxf>
      <fill>
        <patternFill patternType="solid">
          <fgColor rgb="FF7465AD"/>
        </patternFill>
      </fill>
    </dxf>
    <dxf>
      <fill>
        <patternFill patternType="solid">
          <fgColor rgb="FF7466AD"/>
        </patternFill>
      </fill>
    </dxf>
    <dxf>
      <fill>
        <patternFill patternType="solid">
          <fgColor rgb="FF7466AE"/>
        </patternFill>
      </fill>
    </dxf>
    <dxf>
      <fill>
        <patternFill patternType="solid">
          <fgColor rgb="FF7467AE"/>
        </patternFill>
      </fill>
    </dxf>
    <dxf>
      <fill>
        <patternFill patternType="solid">
          <fgColor rgb="FF7468AF"/>
        </patternFill>
      </fill>
    </dxf>
    <dxf>
      <fill>
        <patternFill patternType="solid">
          <fgColor rgb="FF7469AF"/>
        </patternFill>
      </fill>
    </dxf>
    <dxf>
      <fill>
        <patternFill patternType="solid">
          <fgColor rgb="FF7469B0"/>
        </patternFill>
      </fill>
    </dxf>
    <dxf>
      <fill>
        <patternFill patternType="solid">
          <fgColor rgb="FF746AB0"/>
        </patternFill>
      </fill>
    </dxf>
    <dxf>
      <fill>
        <patternFill patternType="solid">
          <fgColor rgb="FF746BB0"/>
        </patternFill>
      </fill>
    </dxf>
    <dxf>
      <fill>
        <patternFill patternType="solid">
          <fgColor rgb="FF746BB1"/>
        </patternFill>
      </fill>
    </dxf>
    <dxf>
      <fill>
        <patternFill patternType="solid">
          <fgColor rgb="FF753993"/>
        </patternFill>
      </fill>
    </dxf>
    <dxf>
      <fill>
        <patternFill patternType="solid">
          <fgColor rgb="FF753D96"/>
        </patternFill>
      </fill>
    </dxf>
    <dxf>
      <fill>
        <patternFill patternType="solid">
          <fgColor rgb="FF753E96"/>
        </patternFill>
      </fill>
    </dxf>
    <dxf>
      <fill>
        <patternFill patternType="solid">
          <fgColor rgb="FF753F96"/>
        </patternFill>
      </fill>
    </dxf>
    <dxf>
      <fill>
        <patternFill patternType="solid">
          <fgColor rgb="FF753F97"/>
        </patternFill>
      </fill>
    </dxf>
    <dxf>
      <fill>
        <patternFill patternType="solid">
          <fgColor rgb="FF754399"/>
        </patternFill>
      </fill>
    </dxf>
    <dxf>
      <fill>
        <patternFill patternType="solid">
          <fgColor rgb="FF75469B"/>
        </patternFill>
      </fill>
    </dxf>
    <dxf>
      <fill>
        <patternFill patternType="solid">
          <fgColor rgb="FF75489C"/>
        </patternFill>
      </fill>
    </dxf>
    <dxf>
      <fill>
        <patternFill patternType="solid">
          <fgColor rgb="FF75499C"/>
        </patternFill>
      </fill>
    </dxf>
    <dxf>
      <fill>
        <patternFill patternType="solid">
          <fgColor rgb="FF754B9E"/>
        </patternFill>
      </fill>
    </dxf>
    <dxf>
      <fill>
        <patternFill patternType="solid">
          <fgColor rgb="FF754C9E"/>
        </patternFill>
      </fill>
    </dxf>
    <dxf>
      <fill>
        <patternFill patternType="solid">
          <fgColor rgb="FF754D9F"/>
        </patternFill>
      </fill>
    </dxf>
    <dxf>
      <fill>
        <patternFill patternType="solid">
          <fgColor rgb="FF754EA0"/>
        </patternFill>
      </fill>
    </dxf>
    <dxf>
      <fill>
        <patternFill patternType="solid">
          <fgColor rgb="FF7550A1"/>
        </patternFill>
      </fill>
    </dxf>
    <dxf>
      <fill>
        <patternFill patternType="solid">
          <fgColor rgb="FF7551A1"/>
        </patternFill>
      </fill>
    </dxf>
    <dxf>
      <fill>
        <patternFill patternType="solid">
          <fgColor rgb="FF762386"/>
        </patternFill>
      </fill>
    </dxf>
    <dxf>
      <fill>
        <patternFill patternType="solid">
          <fgColor rgb="FF762688"/>
        </patternFill>
      </fill>
    </dxf>
    <dxf>
      <fill>
        <patternFill patternType="solid">
          <fgColor rgb="FF762A8A"/>
        </patternFill>
      </fill>
    </dxf>
    <dxf>
      <fill>
        <patternFill patternType="solid">
          <fgColor rgb="FF76308D"/>
        </patternFill>
      </fill>
    </dxf>
    <dxf>
      <fill>
        <patternFill patternType="solid">
          <fgColor rgb="FF763490"/>
        </patternFill>
      </fill>
    </dxf>
    <dxf>
      <fill>
        <patternFill patternType="solid">
          <fgColor rgb="FF763591"/>
        </patternFill>
      </fill>
    </dxf>
    <dxf>
      <fill>
        <patternFill patternType="solid">
          <fgColor rgb="FF770C78"/>
        </patternFill>
      </fill>
    </dxf>
    <dxf>
      <fill>
        <patternFill patternType="solid">
          <fgColor rgb="FF770D79"/>
        </patternFill>
      </fill>
    </dxf>
    <dxf>
      <fill>
        <patternFill patternType="solid">
          <fgColor rgb="FF77117C"/>
        </patternFill>
      </fill>
    </dxf>
    <dxf>
      <fill>
        <patternFill patternType="solid">
          <fgColor rgb="FF77157E"/>
        </patternFill>
      </fill>
    </dxf>
    <dxf>
      <fill>
        <patternFill patternType="solid">
          <fgColor rgb="FF40AC46"/>
        </patternFill>
      </fill>
    </dxf>
    <dxf>
      <fill>
        <patternFill patternType="solid">
          <fgColor rgb="FF41A847"/>
        </patternFill>
      </fill>
    </dxf>
    <dxf>
      <fill>
        <patternFill patternType="solid">
          <fgColor rgb="FF42A448"/>
        </patternFill>
      </fill>
    </dxf>
    <dxf>
      <fill>
        <patternFill patternType="solid">
          <fgColor rgb="FF43A149"/>
        </patternFill>
      </fill>
    </dxf>
    <dxf>
      <fill>
        <patternFill patternType="solid">
          <fgColor rgb="FF459D4A"/>
        </patternFill>
      </fill>
    </dxf>
    <dxf>
      <fill>
        <patternFill patternType="solid">
          <fgColor rgb="FF46994B"/>
        </patternFill>
      </fill>
    </dxf>
    <dxf>
      <fill>
        <patternFill patternType="solid">
          <fgColor rgb="FF47954C"/>
        </patternFill>
      </fill>
    </dxf>
    <dxf>
      <fill>
        <patternFill patternType="solid">
          <fgColor rgb="FF48924D"/>
        </patternFill>
      </fill>
    </dxf>
    <dxf>
      <fill>
        <patternFill patternType="solid">
          <fgColor rgb="FF4A8E4E"/>
        </patternFill>
      </fill>
    </dxf>
    <dxf>
      <fill>
        <patternFill patternType="solid">
          <fgColor rgb="FF4B8A4F"/>
        </patternFill>
      </fill>
    </dxf>
    <dxf>
      <fill>
        <patternFill patternType="solid">
          <fgColor rgb="FF4C8650"/>
        </patternFill>
      </fill>
    </dxf>
    <dxf>
      <fill>
        <patternFill patternType="solid">
          <fgColor rgb="FF4D8351"/>
        </patternFill>
      </fill>
    </dxf>
    <dxf>
      <fill>
        <patternFill patternType="solid">
          <fgColor rgb="FF4F7F52"/>
        </patternFill>
      </fill>
    </dxf>
    <dxf>
      <fill>
        <patternFill patternType="solid">
          <fgColor rgb="FF507B53"/>
        </patternFill>
      </fill>
    </dxf>
    <dxf>
      <fill>
        <patternFill patternType="solid">
          <fgColor rgb="FF517754"/>
        </patternFill>
      </fill>
    </dxf>
    <dxf>
      <fill>
        <patternFill patternType="solid">
          <fgColor rgb="FF527455"/>
        </patternFill>
      </fill>
    </dxf>
    <dxf>
      <fill>
        <patternFill patternType="solid">
          <fgColor rgb="FF547056"/>
        </patternFill>
      </fill>
    </dxf>
    <dxf>
      <fill>
        <patternFill patternType="solid">
          <fgColor rgb="FF556C57"/>
        </patternFill>
      </fill>
    </dxf>
    <dxf>
      <fill>
        <patternFill patternType="solid">
          <fgColor rgb="FF566858"/>
        </patternFill>
      </fill>
    </dxf>
    <dxf>
      <fill>
        <patternFill patternType="solid">
          <fgColor rgb="FF576559"/>
        </patternFill>
      </fill>
    </dxf>
    <dxf>
      <fill>
        <patternFill patternType="solid">
          <fgColor rgb="FF59615A"/>
        </patternFill>
      </fill>
    </dxf>
    <dxf>
      <fill>
        <patternFill patternType="solid">
          <fgColor rgb="FF5C565D"/>
        </patternFill>
      </fill>
    </dxf>
    <dxf>
      <fill>
        <patternFill patternType="solid">
          <fgColor rgb="FF5D525E"/>
        </patternFill>
      </fill>
    </dxf>
    <dxf>
      <fill>
        <patternFill patternType="solid">
          <fgColor rgb="FF5F4E5F"/>
        </patternFill>
      </fill>
    </dxf>
    <dxf>
      <fill>
        <patternFill patternType="solid">
          <fgColor rgb="FF604B60"/>
        </patternFill>
      </fill>
    </dxf>
    <dxf>
      <fill>
        <patternFill patternType="solid">
          <fgColor rgb="FF614761"/>
        </patternFill>
      </fill>
    </dxf>
    <dxf>
      <fill>
        <patternFill patternType="solid">
          <fgColor rgb="FF643F63"/>
        </patternFill>
      </fill>
    </dxf>
    <dxf>
      <fill>
        <patternFill patternType="solid">
          <fgColor rgb="FF653C64"/>
        </patternFill>
      </fill>
    </dxf>
    <dxf>
      <fill>
        <patternFill patternType="solid">
          <fgColor rgb="FF663865"/>
        </patternFill>
      </fill>
    </dxf>
    <dxf>
      <fill>
        <patternFill patternType="solid">
          <fgColor rgb="FF673466"/>
        </patternFill>
      </fill>
    </dxf>
    <dxf>
      <fill>
        <patternFill patternType="solid">
          <fgColor rgb="FF693067"/>
        </patternFill>
      </fill>
    </dxf>
    <dxf>
      <fill>
        <patternFill patternType="solid">
          <fgColor rgb="FF6B2969"/>
        </patternFill>
      </fill>
    </dxf>
    <dxf>
      <fill>
        <patternFill patternType="solid">
          <fgColor rgb="FF6E216B"/>
        </patternFill>
      </fill>
    </dxf>
    <dxf>
      <fill>
        <patternFill patternType="solid">
          <fgColor rgb="FF6F1E6C"/>
        </patternFill>
      </fill>
    </dxf>
    <dxf>
      <fill>
        <patternFill patternType="solid">
          <fgColor rgb="FF71166E"/>
        </patternFill>
      </fill>
    </dxf>
    <dxf>
      <fill>
        <patternFill patternType="solid">
          <fgColor rgb="FF740F70"/>
        </patternFill>
      </fill>
    </dxf>
    <dxf>
      <fill>
        <patternFill patternType="solid">
          <fgColor rgb="FF750B71"/>
        </patternFill>
      </fill>
    </dxf>
    <dxf>
      <fill>
        <patternFill patternType="solid">
          <fgColor rgb="FFF6F9D4"/>
        </patternFill>
      </fill>
    </dxf>
    <dxf>
      <fill>
        <patternFill patternType="solid">
          <fgColor rgb="FF729FCF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FFDBB6"/>
        </patternFill>
      </fill>
    </dxf>
    <dxf>
      <fill>
        <patternFill patternType="solid">
          <fgColor rgb="FF127622"/>
        </patternFill>
      </fill>
    </dxf>
    <dxf>
      <fill>
        <patternFill patternType="solid">
          <fgColor rgb="FF813709"/>
        </patternFill>
      </fill>
    </dxf>
    <dxf>
      <fill>
        <patternFill patternType="solid">
          <fgColor rgb="FF0000FF"/>
        </patternFill>
      </fill>
    </dxf>
    <dxf>
      <font>
        <name val="Arial"/>
        <charset val="1"/>
        <family val="2"/>
        <sz val="8"/>
      </font>
      <numFmt numFmtId="164" formatCode="General"/>
      <fill>
        <patternFill>
          <bgColor rgb="FFFFFFCC"/>
        </patternFill>
      </fill>
    </dxf>
    <dxf>
      <font>
        <name val="Arial"/>
        <charset val="1"/>
        <family val="2"/>
        <color rgb="FF127622"/>
        <sz val="8"/>
      </font>
      <numFmt numFmtId="164" formatCode="General"/>
      <fill>
        <patternFill>
          <bgColor rgb="FFFFFFFF"/>
        </patternFill>
      </fill>
    </dxf>
    <dxf>
      <font>
        <name val="Arial"/>
        <charset val="1"/>
        <family val="2"/>
        <b val="1"/>
        <strike val="1"/>
        <sz val="8"/>
      </font>
      <numFmt numFmtId="164" formatCode="General"/>
      <fill>
        <patternFill>
          <bgColor rgb="FFFFFFFF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DDDDDD"/>
        </patternFill>
      </fill>
    </dxf>
    <dxf>
      <font>
        <name val="Arial"/>
        <charset val="1"/>
        <family val="2"/>
        <b val="1"/>
        <color rgb="FFFFFFFF"/>
        <sz val="8"/>
      </font>
      <numFmt numFmtId="164" formatCode="General"/>
      <fill>
        <patternFill>
          <bgColor rgb="FFEA7500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B4C7DC"/>
        </patternFill>
      </fill>
    </dxf>
    <dxf>
      <font>
        <name val="Arial"/>
        <charset val="1"/>
        <family val="2"/>
        <b val="1"/>
        <color rgb="FFFFFFFF"/>
        <sz val="8"/>
      </font>
      <numFmt numFmtId="164" formatCode="General"/>
      <fill>
        <patternFill>
          <bgColor rgb="FF780373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FFD7D7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B7B3CA"/>
        </patternFill>
      </fill>
    </dxf>
    <dxf>
      <font>
        <name val="Arial"/>
        <charset val="1"/>
        <family val="2"/>
        <b val="1"/>
        <sz val="8"/>
      </font>
      <fill>
        <patternFill>
          <bgColor rgb="FFDDDDDD"/>
        </patternFill>
      </fill>
    </dxf>
    <dxf>
      <font>
        <name val="Arial"/>
        <charset val="1"/>
        <family val="2"/>
        <b val="1"/>
        <color rgb="FF127622"/>
        <sz val="8"/>
      </font>
      <fill>
        <patternFill>
          <bgColor rgb="FFCCFFCC"/>
        </patternFill>
      </fill>
    </dxf>
    <dxf>
      <font>
        <name val="Arial"/>
        <charset val="1"/>
        <family val="2"/>
        <b val="1"/>
        <color rgb="FF813709"/>
        <sz val="8"/>
      </font>
      <fill>
        <patternFill>
          <bgColor rgb="FFFFDBB6"/>
        </patternFill>
      </fill>
    </dxf>
    <dxf>
      <font>
        <name val="Arial"/>
        <charset val="1"/>
        <family val="2"/>
        <b val="1"/>
        <color rgb="FFFFFFFF"/>
        <sz val="8"/>
      </font>
      <fill>
        <patternFill>
          <bgColor rgb="FFCC0000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B7B3CA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B7B3CA"/>
        </patternFill>
      </fill>
    </dxf>
    <dxf>
      <font>
        <name val="Arial"/>
        <charset val="1"/>
        <family val="2"/>
        <b val="1"/>
        <sz val="8"/>
      </font>
      <numFmt numFmtId="164" formatCode="General"/>
      <fill>
        <patternFill>
          <bgColor rgb="FF729FCF"/>
        </patternFill>
      </fill>
    </dxf>
    <dxf>
      <font>
        <name val="Arial"/>
        <charset val="1"/>
        <family val="2"/>
        <b val="1"/>
        <color rgb="FFFFFFFF"/>
        <sz val="8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808000"/>
      <rgbColor rgb="FF780373"/>
      <rgbColor rgb="FF008080"/>
      <rgbColor rgb="FFB7B3CA"/>
      <rgbColor rgb="FF808080"/>
      <rgbColor rgb="FF729FCF"/>
      <rgbColor rgb="FFC9211E"/>
      <rgbColor rgb="FFFFFFCC"/>
      <rgbColor rgb="FFDAE3F3"/>
      <rgbColor rgb="FF660066"/>
      <rgbColor rgb="FFFFD7D7"/>
      <rgbColor rgb="FF0066CC"/>
      <rgbColor rgb="FFCCCCCC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BE5D6"/>
      <rgbColor rgb="FFB4C7DC"/>
      <rgbColor rgb="FFFFC9FF"/>
      <rgbColor rgb="FFDDDDDD"/>
      <rgbColor rgb="FFF8CBAD"/>
      <rgbColor rgb="FF2E75B6"/>
      <rgbColor rgb="FFDDE8CB"/>
      <rgbColor rgb="FF92D050"/>
      <rgbColor rgb="FFFFDBB6"/>
      <rgbColor rgb="FFEA7500"/>
      <rgbColor rgb="FFFF790B"/>
      <rgbColor rgb="FF7E4E74"/>
      <rgbColor rgb="FFC5E0B4"/>
      <rgbColor rgb="FF003366"/>
      <rgbColor rgb="FF1FA374"/>
      <rgbColor rgb="FF003300"/>
      <rgbColor rgb="FF333300"/>
      <rgbColor rgb="FF813709"/>
      <rgbColor rgb="FF993366"/>
      <rgbColor rgb="FF4F2F78"/>
      <rgbColor rgb="FF4D2E7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ys.michel@wanadoo.fr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cabinet.trabbia.15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AMJ3079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pane xSplit="0" ySplit="1" topLeftCell="E2" activePane="bottomLeft" state="frozen"/>
      <selection pane="topLeft" activeCell="D1" activeCellId="0" sqref="D1"/>
      <selection pane="bottomLeft" activeCell="Y2089" activeCellId="0" sqref="Y2089"/>
    </sheetView>
  </sheetViews>
  <sheetFormatPr defaultColWidth="14.38671875" defaultRowHeight="12.8" zeroHeight="false" outlineLevelRow="0" outlineLevelCol="1"/>
  <cols>
    <col collapsed="false" customWidth="true" hidden="false" outlineLevel="0" max="1" min="1" style="1" width="37.09"/>
    <col collapsed="false" customWidth="true" hidden="false" outlineLevel="0" max="2" min="2" style="2" width="20.77"/>
    <col collapsed="false" customWidth="true" hidden="false" outlineLevel="0" max="3" min="3" style="3" width="13.68"/>
    <col collapsed="false" customWidth="true" hidden="false" outlineLevel="0" max="4" min="4" style="4" width="13.68"/>
    <col collapsed="false" customWidth="true" hidden="true" outlineLevel="1" max="5" min="5" style="4" width="29.41"/>
    <col collapsed="false" customWidth="true" hidden="true" outlineLevel="1" max="6" min="6" style="5" width="22.96"/>
    <col collapsed="false" customWidth="true" hidden="true" outlineLevel="1" max="7" min="7" style="5" width="7.01"/>
    <col collapsed="false" customWidth="true" hidden="true" outlineLevel="1" max="8" min="8" style="6" width="8.06"/>
    <col collapsed="false" customWidth="true" hidden="true" outlineLevel="1" max="9" min="9" style="7" width="19.68"/>
    <col collapsed="false" customWidth="true" hidden="false" outlineLevel="0" max="10" min="10" style="8" width="7.72"/>
    <col collapsed="false" customWidth="true" hidden="false" outlineLevel="0" max="11" min="11" style="8" width="8.54"/>
    <col collapsed="false" customWidth="true" hidden="false" outlineLevel="0" max="12" min="12" style="9" width="7.83"/>
    <col collapsed="false" customWidth="true" hidden="false" outlineLevel="0" max="13" min="13" style="10" width="24.21"/>
    <col collapsed="false" customWidth="true" hidden="false" outlineLevel="0" max="14" min="14" style="11" width="35.96"/>
    <col collapsed="false" customWidth="true" hidden="true" outlineLevel="1" max="24" min="15" style="12" width="7.93"/>
    <col collapsed="false" customWidth="true" hidden="false" outlineLevel="0" max="26" min="25" style="13" width="14.27"/>
    <col collapsed="false" customWidth="true" hidden="false" outlineLevel="0" max="27" min="27" style="14" width="7.93"/>
    <col collapsed="false" customWidth="false" hidden="false" outlineLevel="0" max="30" min="28" style="4" width="14.38"/>
    <col collapsed="false" customWidth="true" hidden="false" outlineLevel="0" max="31" min="31" style="4" width="43.67"/>
    <col collapsed="false" customWidth="false" hidden="false" outlineLevel="0" max="1018" min="32" style="4" width="14.38"/>
    <col collapsed="false" customWidth="false" hidden="false" outlineLevel="0" max="1023" min="1019" style="2" width="14.38"/>
  </cols>
  <sheetData>
    <row r="1" s="25" customFormat="true" ht="12.75" hidden="false" customHeight="true" outlineLevel="0" collapsed="false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7" t="s">
        <v>5</v>
      </c>
      <c r="G1" s="15" t="s">
        <v>6</v>
      </c>
      <c r="H1" s="16" t="s">
        <v>7</v>
      </c>
      <c r="I1" s="18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1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3" t="s">
        <v>24</v>
      </c>
      <c r="Z1" s="23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"/>
      <c r="AMH1" s="2"/>
      <c r="AMI1" s="2"/>
      <c r="AMJ1" s="0"/>
    </row>
    <row r="2" s="2" customFormat="true" ht="12.75" hidden="false" customHeight="true" outlineLevel="0" collapsed="false">
      <c r="A2" s="27" t="s">
        <v>31</v>
      </c>
      <c r="B2" s="27" t="s">
        <v>32</v>
      </c>
      <c r="C2" s="28" t="s">
        <v>33</v>
      </c>
      <c r="D2" s="27" t="s">
        <v>34</v>
      </c>
      <c r="E2" s="27"/>
      <c r="F2" s="29" t="s">
        <v>35</v>
      </c>
      <c r="G2" s="30" t="n">
        <v>75016</v>
      </c>
      <c r="H2" s="31" t="s">
        <v>36</v>
      </c>
      <c r="I2" s="32" t="s">
        <v>37</v>
      </c>
      <c r="J2" s="33" t="n">
        <v>68</v>
      </c>
      <c r="K2" s="33" t="n">
        <v>1</v>
      </c>
      <c r="L2" s="34"/>
      <c r="M2" s="35"/>
      <c r="N2" s="36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  <c r="Z2" s="38"/>
      <c r="AA2" s="28"/>
      <c r="AC2" s="2" t="s">
        <v>38</v>
      </c>
      <c r="AMJ2" s="0"/>
    </row>
    <row r="3" s="2" customFormat="true" ht="12.75" hidden="false" customHeight="true" outlineLevel="0" collapsed="false">
      <c r="A3" s="27" t="s">
        <v>39</v>
      </c>
      <c r="B3" s="27" t="s">
        <v>40</v>
      </c>
      <c r="C3" s="28" t="s">
        <v>41</v>
      </c>
      <c r="D3" s="27" t="s">
        <v>34</v>
      </c>
      <c r="E3" s="27"/>
      <c r="F3" s="29" t="s">
        <v>42</v>
      </c>
      <c r="G3" s="30" t="n">
        <v>75016</v>
      </c>
      <c r="H3" s="31" t="s">
        <v>36</v>
      </c>
      <c r="I3" s="32"/>
      <c r="J3" s="33" t="n">
        <v>215</v>
      </c>
      <c r="K3" s="33" t="n">
        <v>1</v>
      </c>
      <c r="L3" s="34"/>
      <c r="M3" s="35"/>
      <c r="N3" s="36"/>
      <c r="O3" s="37"/>
      <c r="P3" s="37"/>
      <c r="Q3" s="37"/>
      <c r="R3" s="37"/>
      <c r="S3" s="37"/>
      <c r="T3" s="37"/>
      <c r="U3" s="37"/>
      <c r="V3" s="37"/>
      <c r="W3" s="37"/>
      <c r="X3" s="37"/>
      <c r="Y3" s="39"/>
      <c r="Z3" s="39"/>
      <c r="AA3" s="28"/>
      <c r="AMJ3" s="0"/>
    </row>
    <row r="4" s="2" customFormat="true" ht="12.75" hidden="false" customHeight="true" outlineLevel="0" collapsed="false">
      <c r="A4" s="27" t="s">
        <v>43</v>
      </c>
      <c r="B4" s="27" t="s">
        <v>44</v>
      </c>
      <c r="C4" s="28" t="s">
        <v>41</v>
      </c>
      <c r="D4" s="27" t="s">
        <v>34</v>
      </c>
      <c r="E4" s="27"/>
      <c r="F4" s="29" t="s">
        <v>45</v>
      </c>
      <c r="G4" s="30" t="n">
        <v>75016</v>
      </c>
      <c r="H4" s="31" t="s">
        <v>36</v>
      </c>
      <c r="I4" s="32" t="n">
        <v>145252064</v>
      </c>
      <c r="J4" s="33" t="n">
        <v>234</v>
      </c>
      <c r="K4" s="33" t="n">
        <v>1</v>
      </c>
      <c r="L4" s="34"/>
      <c r="M4" s="35"/>
      <c r="N4" s="36"/>
      <c r="O4" s="37"/>
      <c r="P4" s="37"/>
      <c r="Q4" s="37"/>
      <c r="R4" s="37"/>
      <c r="S4" s="37"/>
      <c r="T4" s="37"/>
      <c r="U4" s="37"/>
      <c r="V4" s="37"/>
      <c r="W4" s="37"/>
      <c r="X4" s="37"/>
      <c r="Y4" s="39"/>
      <c r="Z4" s="39"/>
      <c r="AA4" s="28"/>
      <c r="AMJ4" s="0"/>
    </row>
    <row r="5" s="2" customFormat="true" ht="12.75" hidden="false" customHeight="true" outlineLevel="0" collapsed="false">
      <c r="A5" s="27" t="s">
        <v>46</v>
      </c>
      <c r="B5" s="27" t="s">
        <v>47</v>
      </c>
      <c r="C5" s="28" t="s">
        <v>41</v>
      </c>
      <c r="D5" s="27" t="s">
        <v>34</v>
      </c>
      <c r="E5" s="27" t="s">
        <v>48</v>
      </c>
      <c r="F5" s="29" t="s">
        <v>49</v>
      </c>
      <c r="G5" s="30" t="n">
        <v>75016</v>
      </c>
      <c r="H5" s="31" t="s">
        <v>36</v>
      </c>
      <c r="I5" s="32" t="n">
        <v>144963266</v>
      </c>
      <c r="J5" s="33" t="n">
        <v>342</v>
      </c>
      <c r="K5" s="33" t="n">
        <v>1</v>
      </c>
      <c r="L5" s="34"/>
      <c r="M5" s="35"/>
      <c r="N5" s="36"/>
      <c r="O5" s="37"/>
      <c r="P5" s="37"/>
      <c r="Q5" s="37"/>
      <c r="R5" s="37"/>
      <c r="S5" s="37"/>
      <c r="T5" s="37"/>
      <c r="U5" s="37"/>
      <c r="V5" s="37"/>
      <c r="W5" s="37"/>
      <c r="X5" s="37"/>
      <c r="Y5" s="39"/>
      <c r="Z5" s="39"/>
      <c r="AA5" s="28"/>
      <c r="AMJ5" s="0"/>
    </row>
    <row r="6" s="2" customFormat="true" ht="12.75" hidden="false" customHeight="true" outlineLevel="0" collapsed="false">
      <c r="A6" s="27" t="s">
        <v>50</v>
      </c>
      <c r="B6" s="27" t="s">
        <v>51</v>
      </c>
      <c r="C6" s="28" t="s">
        <v>41</v>
      </c>
      <c r="D6" s="27" t="s">
        <v>34</v>
      </c>
      <c r="E6" s="27" t="s">
        <v>48</v>
      </c>
      <c r="F6" s="29" t="s">
        <v>49</v>
      </c>
      <c r="G6" s="30" t="n">
        <v>75016</v>
      </c>
      <c r="H6" s="31" t="s">
        <v>36</v>
      </c>
      <c r="I6" s="32" t="n">
        <v>144963176</v>
      </c>
      <c r="J6" s="33" t="n">
        <v>159</v>
      </c>
      <c r="K6" s="33" t="n">
        <v>4</v>
      </c>
      <c r="L6" s="34"/>
      <c r="M6" s="35"/>
      <c r="N6" s="36"/>
      <c r="O6" s="37"/>
      <c r="P6" s="37"/>
      <c r="Q6" s="37"/>
      <c r="R6" s="37"/>
      <c r="S6" s="37"/>
      <c r="T6" s="37"/>
      <c r="U6" s="37"/>
      <c r="V6" s="37"/>
      <c r="W6" s="37"/>
      <c r="X6" s="37"/>
      <c r="Y6" s="39"/>
      <c r="Z6" s="39"/>
      <c r="AA6" s="28"/>
      <c r="AMJ6" s="0"/>
    </row>
    <row r="7" s="2" customFormat="true" ht="12.75" hidden="false" customHeight="true" outlineLevel="0" collapsed="false">
      <c r="A7" s="27" t="s">
        <v>52</v>
      </c>
      <c r="B7" s="27" t="s">
        <v>53</v>
      </c>
      <c r="C7" s="28" t="s">
        <v>41</v>
      </c>
      <c r="D7" s="27" t="s">
        <v>34</v>
      </c>
      <c r="E7" s="27" t="s">
        <v>48</v>
      </c>
      <c r="F7" s="29" t="s">
        <v>49</v>
      </c>
      <c r="G7" s="30" t="n">
        <v>75016</v>
      </c>
      <c r="H7" s="31" t="s">
        <v>36</v>
      </c>
      <c r="I7" s="32"/>
      <c r="J7" s="33" t="n">
        <v>147</v>
      </c>
      <c r="K7" s="33" t="n">
        <v>1</v>
      </c>
      <c r="L7" s="34"/>
      <c r="M7" s="35"/>
      <c r="N7" s="36"/>
      <c r="O7" s="37"/>
      <c r="P7" s="37"/>
      <c r="Q7" s="37"/>
      <c r="R7" s="37"/>
      <c r="S7" s="37"/>
      <c r="T7" s="37"/>
      <c r="U7" s="37"/>
      <c r="V7" s="37"/>
      <c r="W7" s="37"/>
      <c r="X7" s="37"/>
      <c r="Y7" s="39"/>
      <c r="Z7" s="39"/>
      <c r="AA7" s="28"/>
      <c r="AMJ7" s="0"/>
    </row>
    <row r="8" s="2" customFormat="true" ht="12.75" hidden="false" customHeight="true" outlineLevel="0" collapsed="false">
      <c r="A8" s="27" t="s">
        <v>54</v>
      </c>
      <c r="B8" s="27" t="s">
        <v>55</v>
      </c>
      <c r="C8" s="28" t="s">
        <v>41</v>
      </c>
      <c r="D8" s="27" t="s">
        <v>34</v>
      </c>
      <c r="E8" s="27" t="s">
        <v>48</v>
      </c>
      <c r="F8" s="29" t="s">
        <v>49</v>
      </c>
      <c r="G8" s="30" t="n">
        <v>75016</v>
      </c>
      <c r="H8" s="31" t="s">
        <v>36</v>
      </c>
      <c r="I8" s="32" t="n">
        <v>144963217</v>
      </c>
      <c r="J8" s="33" t="n">
        <v>144</v>
      </c>
      <c r="K8" s="33" t="n">
        <v>1</v>
      </c>
      <c r="L8" s="34"/>
      <c r="M8" s="35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9"/>
      <c r="Z8" s="39"/>
      <c r="AA8" s="28"/>
      <c r="AMJ8" s="0"/>
    </row>
    <row r="9" s="2" customFormat="true" ht="12.75" hidden="false" customHeight="true" outlineLevel="0" collapsed="false">
      <c r="A9" s="27" t="s">
        <v>56</v>
      </c>
      <c r="B9" s="27" t="s">
        <v>57</v>
      </c>
      <c r="C9" s="28" t="s">
        <v>41</v>
      </c>
      <c r="D9" s="27" t="s">
        <v>34</v>
      </c>
      <c r="E9" s="27" t="s">
        <v>48</v>
      </c>
      <c r="F9" s="29" t="s">
        <v>49</v>
      </c>
      <c r="G9" s="30" t="n">
        <v>75016</v>
      </c>
      <c r="H9" s="31" t="s">
        <v>36</v>
      </c>
      <c r="I9" s="32" t="n">
        <v>144963285</v>
      </c>
      <c r="J9" s="33" t="n">
        <v>143</v>
      </c>
      <c r="K9" s="33" t="n">
        <v>2</v>
      </c>
      <c r="L9" s="34"/>
      <c r="M9" s="35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9"/>
      <c r="Z9" s="39"/>
      <c r="AA9" s="28"/>
      <c r="AMJ9" s="0"/>
    </row>
    <row r="10" s="2" customFormat="true" ht="12.75" hidden="false" customHeight="true" outlineLevel="0" collapsed="false">
      <c r="A10" s="27" t="s">
        <v>58</v>
      </c>
      <c r="B10" s="27" t="s">
        <v>59</v>
      </c>
      <c r="C10" s="28" t="s">
        <v>41</v>
      </c>
      <c r="D10" s="27" t="s">
        <v>34</v>
      </c>
      <c r="E10" s="27" t="s">
        <v>48</v>
      </c>
      <c r="F10" s="29" t="s">
        <v>49</v>
      </c>
      <c r="G10" s="30" t="n">
        <v>75016</v>
      </c>
      <c r="H10" s="31" t="s">
        <v>36</v>
      </c>
      <c r="I10" s="32" t="n">
        <v>144963290</v>
      </c>
      <c r="J10" s="33" t="n">
        <v>142</v>
      </c>
      <c r="K10" s="33" t="n">
        <v>1</v>
      </c>
      <c r="L10" s="34"/>
      <c r="M10" s="35"/>
      <c r="N10" s="36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9"/>
      <c r="Z10" s="39"/>
      <c r="AA10" s="28"/>
      <c r="AMJ10" s="0"/>
    </row>
    <row r="11" s="2" customFormat="true" ht="12.75" hidden="false" customHeight="true" outlineLevel="0" collapsed="false">
      <c r="A11" s="27" t="s">
        <v>60</v>
      </c>
      <c r="B11" s="27" t="s">
        <v>61</v>
      </c>
      <c r="C11" s="28" t="s">
        <v>41</v>
      </c>
      <c r="D11" s="27" t="s">
        <v>34</v>
      </c>
      <c r="E11" s="27" t="s">
        <v>48</v>
      </c>
      <c r="F11" s="29" t="s">
        <v>49</v>
      </c>
      <c r="G11" s="30" t="n">
        <v>75016</v>
      </c>
      <c r="H11" s="31" t="s">
        <v>36</v>
      </c>
      <c r="I11" s="32" t="n">
        <v>144963266</v>
      </c>
      <c r="J11" s="33" t="n">
        <v>142</v>
      </c>
      <c r="K11" s="33" t="n">
        <v>2</v>
      </c>
      <c r="L11" s="34"/>
      <c r="M11" s="35"/>
      <c r="N11" s="36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9"/>
      <c r="Z11" s="39"/>
      <c r="AA11" s="28"/>
      <c r="AMJ11" s="0"/>
    </row>
    <row r="12" s="2" customFormat="true" ht="12.75" hidden="false" customHeight="true" outlineLevel="0" collapsed="false">
      <c r="A12" s="27" t="s">
        <v>62</v>
      </c>
      <c r="B12" s="27" t="s">
        <v>63</v>
      </c>
      <c r="C12" s="28" t="s">
        <v>41</v>
      </c>
      <c r="D12" s="27" t="s">
        <v>34</v>
      </c>
      <c r="E12" s="27" t="s">
        <v>48</v>
      </c>
      <c r="F12" s="29" t="s">
        <v>49</v>
      </c>
      <c r="G12" s="30" t="n">
        <v>75016</v>
      </c>
      <c r="H12" s="31" t="s">
        <v>36</v>
      </c>
      <c r="I12" s="32" t="n">
        <v>144963217</v>
      </c>
      <c r="J12" s="33" t="n">
        <v>142</v>
      </c>
      <c r="K12" s="33" t="n">
        <v>1</v>
      </c>
      <c r="L12" s="34"/>
      <c r="M12" s="35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9"/>
      <c r="Z12" s="39"/>
      <c r="AA12" s="28"/>
      <c r="AMJ12" s="0"/>
    </row>
    <row r="13" s="2" customFormat="true" ht="12.75" hidden="false" customHeight="true" outlineLevel="0" collapsed="false">
      <c r="A13" s="27" t="s">
        <v>64</v>
      </c>
      <c r="B13" s="27" t="s">
        <v>65</v>
      </c>
      <c r="C13" s="28" t="s">
        <v>41</v>
      </c>
      <c r="D13" s="27" t="s">
        <v>34</v>
      </c>
      <c r="E13" s="27" t="s">
        <v>48</v>
      </c>
      <c r="F13" s="29" t="s">
        <v>49</v>
      </c>
      <c r="G13" s="30" t="n">
        <v>75016</v>
      </c>
      <c r="H13" s="31" t="s">
        <v>36</v>
      </c>
      <c r="I13" s="32"/>
      <c r="J13" s="33" t="n">
        <v>142</v>
      </c>
      <c r="K13" s="33" t="n">
        <v>1</v>
      </c>
      <c r="L13" s="34"/>
      <c r="M13" s="35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9"/>
      <c r="Z13" s="39"/>
      <c r="AA13" s="28"/>
      <c r="AMJ13" s="0"/>
    </row>
    <row r="14" s="2" customFormat="true" ht="12.75" hidden="false" customHeight="true" outlineLevel="0" collapsed="false">
      <c r="A14" s="27" t="s">
        <v>66</v>
      </c>
      <c r="B14" s="27" t="s">
        <v>67</v>
      </c>
      <c r="C14" s="28" t="s">
        <v>41</v>
      </c>
      <c r="D14" s="27" t="s">
        <v>34</v>
      </c>
      <c r="E14" s="27" t="s">
        <v>48</v>
      </c>
      <c r="F14" s="29" t="s">
        <v>49</v>
      </c>
      <c r="G14" s="30" t="n">
        <v>75016</v>
      </c>
      <c r="H14" s="31" t="s">
        <v>36</v>
      </c>
      <c r="I14" s="32" t="n">
        <v>144963266</v>
      </c>
      <c r="J14" s="33" t="n">
        <v>142</v>
      </c>
      <c r="K14" s="33" t="n">
        <v>4</v>
      </c>
      <c r="L14" s="34"/>
      <c r="M14" s="35"/>
      <c r="N14" s="36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9"/>
      <c r="Z14" s="39"/>
      <c r="AA14" s="28"/>
      <c r="AMJ14" s="0"/>
    </row>
    <row r="15" s="2" customFormat="true" ht="12.75" hidden="false" customHeight="true" outlineLevel="0" collapsed="false">
      <c r="A15" s="27" t="s">
        <v>68</v>
      </c>
      <c r="B15" s="27" t="s">
        <v>69</v>
      </c>
      <c r="C15" s="28" t="s">
        <v>41</v>
      </c>
      <c r="D15" s="27" t="s">
        <v>34</v>
      </c>
      <c r="E15" s="27" t="s">
        <v>48</v>
      </c>
      <c r="F15" s="29" t="s">
        <v>49</v>
      </c>
      <c r="G15" s="30" t="n">
        <v>75016</v>
      </c>
      <c r="H15" s="31" t="s">
        <v>36</v>
      </c>
      <c r="I15" s="32" t="n">
        <v>144963323</v>
      </c>
      <c r="J15" s="33" t="n">
        <v>142</v>
      </c>
      <c r="K15" s="33" t="n">
        <v>1</v>
      </c>
      <c r="L15" s="34"/>
      <c r="M15" s="35"/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9"/>
      <c r="Z15" s="39"/>
      <c r="AA15" s="28"/>
      <c r="AMJ15" s="0"/>
    </row>
    <row r="16" s="2" customFormat="true" ht="12.75" hidden="false" customHeight="true" outlineLevel="0" collapsed="false">
      <c r="A16" s="27" t="s">
        <v>70</v>
      </c>
      <c r="B16" s="27" t="s">
        <v>71</v>
      </c>
      <c r="C16" s="28" t="s">
        <v>41</v>
      </c>
      <c r="D16" s="27" t="s">
        <v>34</v>
      </c>
      <c r="E16" s="27" t="s">
        <v>48</v>
      </c>
      <c r="F16" s="29" t="s">
        <v>49</v>
      </c>
      <c r="G16" s="30" t="n">
        <v>75016</v>
      </c>
      <c r="H16" s="31" t="s">
        <v>36</v>
      </c>
      <c r="I16" s="32" t="n">
        <v>144963266</v>
      </c>
      <c r="J16" s="33" t="n">
        <v>142</v>
      </c>
      <c r="K16" s="33" t="n">
        <v>1</v>
      </c>
      <c r="L16" s="34"/>
      <c r="M16" s="35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9"/>
      <c r="Z16" s="39"/>
      <c r="AA16" s="28"/>
      <c r="AMJ16" s="0"/>
    </row>
    <row r="17" s="2" customFormat="true" ht="12.75" hidden="false" customHeight="true" outlineLevel="0" collapsed="false">
      <c r="A17" s="27" t="s">
        <v>72</v>
      </c>
      <c r="B17" s="27" t="s">
        <v>73</v>
      </c>
      <c r="C17" s="28" t="s">
        <v>41</v>
      </c>
      <c r="D17" s="27" t="s">
        <v>34</v>
      </c>
      <c r="E17" s="27" t="s">
        <v>48</v>
      </c>
      <c r="F17" s="29" t="s">
        <v>49</v>
      </c>
      <c r="G17" s="30" t="n">
        <v>75016</v>
      </c>
      <c r="H17" s="31" t="s">
        <v>36</v>
      </c>
      <c r="I17" s="32" t="n">
        <v>144963176</v>
      </c>
      <c r="J17" s="33" t="n">
        <v>137</v>
      </c>
      <c r="K17" s="33" t="n">
        <v>1</v>
      </c>
      <c r="L17" s="34"/>
      <c r="M17" s="35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9"/>
      <c r="Z17" s="39"/>
      <c r="AA17" s="28"/>
      <c r="AMJ17" s="0"/>
    </row>
    <row r="18" s="2" customFormat="true" ht="12.75" hidden="false" customHeight="true" outlineLevel="0" collapsed="false">
      <c r="A18" s="27" t="s">
        <v>74</v>
      </c>
      <c r="B18" s="27" t="s">
        <v>75</v>
      </c>
      <c r="C18" s="28" t="s">
        <v>41</v>
      </c>
      <c r="D18" s="27" t="s">
        <v>34</v>
      </c>
      <c r="E18" s="27" t="s">
        <v>48</v>
      </c>
      <c r="F18" s="29" t="s">
        <v>49</v>
      </c>
      <c r="G18" s="30" t="n">
        <v>75016</v>
      </c>
      <c r="H18" s="31" t="s">
        <v>36</v>
      </c>
      <c r="I18" s="32" t="n">
        <v>144963154</v>
      </c>
      <c r="J18" s="33" t="n">
        <v>137</v>
      </c>
      <c r="K18" s="33" t="n">
        <v>1</v>
      </c>
      <c r="L18" s="34"/>
      <c r="M18" s="35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9"/>
      <c r="Z18" s="39"/>
      <c r="AA18" s="28"/>
      <c r="AMJ18" s="0"/>
    </row>
    <row r="19" s="2" customFormat="true" ht="12.75" hidden="false" customHeight="true" outlineLevel="0" collapsed="false">
      <c r="A19" s="27" t="s">
        <v>76</v>
      </c>
      <c r="B19" s="27" t="s">
        <v>61</v>
      </c>
      <c r="C19" s="28" t="s">
        <v>77</v>
      </c>
      <c r="D19" s="27" t="s">
        <v>34</v>
      </c>
      <c r="E19" s="27" t="s">
        <v>48</v>
      </c>
      <c r="F19" s="29" t="s">
        <v>49</v>
      </c>
      <c r="G19" s="30" t="n">
        <v>75016</v>
      </c>
      <c r="H19" s="31" t="s">
        <v>36</v>
      </c>
      <c r="I19" s="32" t="n">
        <v>144963217</v>
      </c>
      <c r="J19" s="33" t="n">
        <v>332</v>
      </c>
      <c r="K19" s="33" t="n">
        <v>1</v>
      </c>
      <c r="L19" s="34"/>
      <c r="M19" s="35"/>
      <c r="N19" s="36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9"/>
      <c r="Z19" s="39"/>
      <c r="AA19" s="28"/>
      <c r="AMJ19" s="0"/>
    </row>
    <row r="20" s="2" customFormat="true" ht="12.75" hidden="false" customHeight="true" outlineLevel="0" collapsed="false">
      <c r="A20" s="27" t="s">
        <v>78</v>
      </c>
      <c r="B20" s="27" t="s">
        <v>79</v>
      </c>
      <c r="C20" s="28" t="s">
        <v>77</v>
      </c>
      <c r="D20" s="27" t="s">
        <v>34</v>
      </c>
      <c r="E20" s="27" t="s">
        <v>48</v>
      </c>
      <c r="F20" s="29" t="s">
        <v>49</v>
      </c>
      <c r="G20" s="30" t="n">
        <v>75016</v>
      </c>
      <c r="H20" s="31" t="s">
        <v>36</v>
      </c>
      <c r="I20" s="32" t="n">
        <v>144963217</v>
      </c>
      <c r="J20" s="33" t="n">
        <v>190</v>
      </c>
      <c r="K20" s="33" t="n">
        <v>1</v>
      </c>
      <c r="L20" s="34"/>
      <c r="M20" s="35"/>
      <c r="N20" s="36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9"/>
      <c r="Z20" s="39"/>
      <c r="AA20" s="28"/>
      <c r="AMJ20" s="0"/>
    </row>
    <row r="21" s="2" customFormat="true" ht="12.75" hidden="false" customHeight="true" outlineLevel="0" collapsed="false">
      <c r="A21" s="27" t="s">
        <v>80</v>
      </c>
      <c r="B21" s="27" t="s">
        <v>81</v>
      </c>
      <c r="C21" s="28" t="s">
        <v>41</v>
      </c>
      <c r="D21" s="27" t="s">
        <v>34</v>
      </c>
      <c r="E21" s="27"/>
      <c r="F21" s="29" t="s">
        <v>82</v>
      </c>
      <c r="G21" s="30" t="n">
        <v>75016</v>
      </c>
      <c r="H21" s="31" t="s">
        <v>36</v>
      </c>
      <c r="I21" s="32" t="n">
        <v>155742700</v>
      </c>
      <c r="J21" s="33" t="n">
        <v>178</v>
      </c>
      <c r="K21" s="33" t="n">
        <v>1</v>
      </c>
      <c r="L21" s="34"/>
      <c r="M21" s="35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9"/>
      <c r="Z21" s="39"/>
      <c r="AA21" s="28"/>
      <c r="AMJ21" s="0"/>
    </row>
    <row r="22" s="2" customFormat="true" ht="12.75" hidden="false" customHeight="true" outlineLevel="0" collapsed="false">
      <c r="A22" s="27" t="s">
        <v>83</v>
      </c>
      <c r="B22" s="27" t="s">
        <v>84</v>
      </c>
      <c r="C22" s="28" t="s">
        <v>41</v>
      </c>
      <c r="D22" s="27" t="s">
        <v>34</v>
      </c>
      <c r="E22" s="27" t="s">
        <v>85</v>
      </c>
      <c r="F22" s="29" t="s">
        <v>86</v>
      </c>
      <c r="G22" s="30" t="n">
        <v>75016</v>
      </c>
      <c r="H22" s="31" t="s">
        <v>36</v>
      </c>
      <c r="I22" s="32" t="n">
        <v>145271533</v>
      </c>
      <c r="J22" s="33" t="n">
        <v>400</v>
      </c>
      <c r="K22" s="33" t="n">
        <v>3</v>
      </c>
      <c r="L22" s="34"/>
      <c r="M22" s="35"/>
      <c r="N22" s="36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9"/>
      <c r="Z22" s="39"/>
      <c r="AA22" s="28"/>
      <c r="AMJ22" s="0"/>
    </row>
    <row r="23" s="2" customFormat="true" ht="12.75" hidden="false" customHeight="true" outlineLevel="0" collapsed="false">
      <c r="A23" s="27" t="s">
        <v>87</v>
      </c>
      <c r="B23" s="27" t="s">
        <v>88</v>
      </c>
      <c r="C23" s="28" t="s">
        <v>41</v>
      </c>
      <c r="D23" s="27" t="s">
        <v>34</v>
      </c>
      <c r="E23" s="27" t="s">
        <v>85</v>
      </c>
      <c r="F23" s="29" t="s">
        <v>86</v>
      </c>
      <c r="G23" s="30" t="n">
        <v>75016</v>
      </c>
      <c r="H23" s="31" t="s">
        <v>36</v>
      </c>
      <c r="I23" s="32" t="n">
        <v>145271533</v>
      </c>
      <c r="J23" s="33" t="n">
        <v>346</v>
      </c>
      <c r="K23" s="33" t="n">
        <v>4</v>
      </c>
      <c r="L23" s="34"/>
      <c r="M23" s="35"/>
      <c r="N23" s="36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9" t="n">
        <v>45198.4583333333</v>
      </c>
      <c r="Z23" s="39"/>
      <c r="AA23" s="28"/>
      <c r="AMJ23" s="0"/>
    </row>
    <row r="24" s="2" customFormat="true" ht="12.75" hidden="false" customHeight="true" outlineLevel="0" collapsed="false">
      <c r="A24" s="27" t="s">
        <v>89</v>
      </c>
      <c r="B24" s="27" t="s">
        <v>90</v>
      </c>
      <c r="C24" s="28" t="s">
        <v>41</v>
      </c>
      <c r="D24" s="27" t="s">
        <v>34</v>
      </c>
      <c r="E24" s="27" t="s">
        <v>85</v>
      </c>
      <c r="F24" s="29" t="s">
        <v>86</v>
      </c>
      <c r="G24" s="30" t="n">
        <v>75016</v>
      </c>
      <c r="H24" s="31" t="s">
        <v>36</v>
      </c>
      <c r="I24" s="32" t="n">
        <v>145271533</v>
      </c>
      <c r="J24" s="33" t="n">
        <v>326</v>
      </c>
      <c r="K24" s="33" t="n">
        <v>3</v>
      </c>
      <c r="L24" s="34"/>
      <c r="M24" s="35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9" t="n">
        <v>45194.3958333333</v>
      </c>
      <c r="Z24" s="39"/>
      <c r="AA24" s="28"/>
      <c r="AMJ24" s="0"/>
    </row>
    <row r="25" s="2" customFormat="true" ht="12.75" hidden="false" customHeight="true" outlineLevel="0" collapsed="false">
      <c r="A25" s="27" t="s">
        <v>91</v>
      </c>
      <c r="B25" s="27" t="s">
        <v>92</v>
      </c>
      <c r="C25" s="28" t="s">
        <v>41</v>
      </c>
      <c r="D25" s="27" t="s">
        <v>34</v>
      </c>
      <c r="E25" s="27" t="s">
        <v>85</v>
      </c>
      <c r="F25" s="29" t="s">
        <v>86</v>
      </c>
      <c r="G25" s="30" t="n">
        <v>75016</v>
      </c>
      <c r="H25" s="31" t="s">
        <v>36</v>
      </c>
      <c r="I25" s="32" t="n">
        <v>145271533</v>
      </c>
      <c r="J25" s="33" t="n">
        <v>266</v>
      </c>
      <c r="K25" s="33" t="n">
        <v>5</v>
      </c>
      <c r="L25" s="34"/>
      <c r="M25" s="35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9" t="n">
        <v>45197.5833333333</v>
      </c>
      <c r="Z25" s="39"/>
      <c r="AA25" s="28"/>
      <c r="AMJ25" s="0"/>
    </row>
    <row r="26" s="2" customFormat="true" ht="12.75" hidden="false" customHeight="true" outlineLevel="0" collapsed="false">
      <c r="A26" s="27" t="s">
        <v>93</v>
      </c>
      <c r="B26" s="27" t="s">
        <v>94</v>
      </c>
      <c r="C26" s="28" t="s">
        <v>41</v>
      </c>
      <c r="D26" s="27" t="s">
        <v>34</v>
      </c>
      <c r="E26" s="27" t="s">
        <v>85</v>
      </c>
      <c r="F26" s="29" t="s">
        <v>86</v>
      </c>
      <c r="G26" s="30" t="n">
        <v>75016</v>
      </c>
      <c r="H26" s="31" t="s">
        <v>36</v>
      </c>
      <c r="I26" s="32" t="n">
        <v>145271533</v>
      </c>
      <c r="J26" s="33" t="n">
        <v>211</v>
      </c>
      <c r="K26" s="33" t="n">
        <v>5</v>
      </c>
      <c r="L26" s="34"/>
      <c r="M26" s="35"/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9" t="n">
        <v>45197.4166666667</v>
      </c>
      <c r="Z26" s="39"/>
      <c r="AA26" s="28"/>
      <c r="AMJ26" s="0"/>
    </row>
    <row r="27" s="2" customFormat="true" ht="12.75" hidden="false" customHeight="true" outlineLevel="0" collapsed="false">
      <c r="A27" s="27" t="s">
        <v>95</v>
      </c>
      <c r="B27" s="27" t="s">
        <v>96</v>
      </c>
      <c r="C27" s="28" t="s">
        <v>41</v>
      </c>
      <c r="D27" s="27" t="s">
        <v>34</v>
      </c>
      <c r="E27" s="27" t="s">
        <v>85</v>
      </c>
      <c r="F27" s="29" t="s">
        <v>86</v>
      </c>
      <c r="G27" s="30" t="n">
        <v>75016</v>
      </c>
      <c r="H27" s="31" t="s">
        <v>36</v>
      </c>
      <c r="I27" s="32" t="n">
        <v>145271533</v>
      </c>
      <c r="J27" s="33" t="n">
        <v>69</v>
      </c>
      <c r="K27" s="33" t="n">
        <v>1</v>
      </c>
      <c r="L27" s="34"/>
      <c r="M27" s="35"/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9" t="n">
        <v>45199.4166666667</v>
      </c>
      <c r="Z27" s="39"/>
      <c r="AA27" s="28"/>
      <c r="AMJ27" s="0"/>
    </row>
    <row r="28" s="2" customFormat="true" ht="12.75" hidden="false" customHeight="true" outlineLevel="0" collapsed="false">
      <c r="A28" s="27" t="s">
        <v>97</v>
      </c>
      <c r="B28" s="27" t="s">
        <v>53</v>
      </c>
      <c r="C28" s="28" t="s">
        <v>41</v>
      </c>
      <c r="D28" s="27" t="s">
        <v>34</v>
      </c>
      <c r="E28" s="27" t="s">
        <v>85</v>
      </c>
      <c r="F28" s="29" t="s">
        <v>86</v>
      </c>
      <c r="G28" s="30" t="n">
        <v>75016</v>
      </c>
      <c r="H28" s="31" t="s">
        <v>36</v>
      </c>
      <c r="I28" s="32" t="n">
        <v>145271533</v>
      </c>
      <c r="J28" s="33" t="n">
        <v>0</v>
      </c>
      <c r="K28" s="33" t="n">
        <v>2</v>
      </c>
      <c r="L28" s="34"/>
      <c r="M28" s="35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9"/>
      <c r="Z28" s="39"/>
      <c r="AA28" s="28"/>
      <c r="AMJ28" s="0"/>
    </row>
    <row r="29" s="2" customFormat="true" ht="12.75" hidden="false" customHeight="true" outlineLevel="0" collapsed="false">
      <c r="A29" s="40" t="s">
        <v>98</v>
      </c>
      <c r="B29" s="27" t="s">
        <v>99</v>
      </c>
      <c r="C29" s="28" t="s">
        <v>100</v>
      </c>
      <c r="D29" s="27" t="s">
        <v>34</v>
      </c>
      <c r="E29" s="27" t="s">
        <v>85</v>
      </c>
      <c r="F29" s="29" t="s">
        <v>86</v>
      </c>
      <c r="G29" s="30" t="n">
        <v>75016</v>
      </c>
      <c r="H29" s="31" t="s">
        <v>36</v>
      </c>
      <c r="I29" s="32" t="n">
        <v>145271533</v>
      </c>
      <c r="J29" s="33"/>
      <c r="K29" s="33"/>
      <c r="L29" s="34" t="n">
        <v>1</v>
      </c>
      <c r="M29" s="35"/>
      <c r="N29" s="36" t="s">
        <v>101</v>
      </c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39"/>
      <c r="Z29" s="39"/>
      <c r="AA29" s="28"/>
      <c r="AMJ29" s="0"/>
    </row>
    <row r="30" s="2" customFormat="true" ht="12.75" hidden="false" customHeight="true" outlineLevel="0" collapsed="false">
      <c r="A30" s="40" t="s">
        <v>102</v>
      </c>
      <c r="B30" s="27" t="s">
        <v>103</v>
      </c>
      <c r="C30" s="28" t="s">
        <v>100</v>
      </c>
      <c r="D30" s="27" t="s">
        <v>34</v>
      </c>
      <c r="E30" s="27" t="s">
        <v>85</v>
      </c>
      <c r="F30" s="29" t="s">
        <v>86</v>
      </c>
      <c r="G30" s="30" t="n">
        <v>75016</v>
      </c>
      <c r="H30" s="31" t="s">
        <v>36</v>
      </c>
      <c r="I30" s="32" t="n">
        <v>145271533</v>
      </c>
      <c r="J30" s="33"/>
      <c r="K30" s="33"/>
      <c r="L30" s="34" t="n">
        <v>2</v>
      </c>
      <c r="M30" s="35"/>
      <c r="N30" s="36"/>
      <c r="O30" s="41"/>
      <c r="P30" s="41"/>
      <c r="Q30" s="41"/>
      <c r="R30" s="41"/>
      <c r="S30" s="41" t="s">
        <v>104</v>
      </c>
      <c r="T30" s="41"/>
      <c r="U30" s="41"/>
      <c r="V30" s="41"/>
      <c r="W30" s="41"/>
      <c r="X30" s="41"/>
      <c r="Y30" s="39" t="n">
        <v>45105.625</v>
      </c>
      <c r="Z30" s="39"/>
      <c r="AA30" s="28"/>
      <c r="AMJ30" s="0"/>
    </row>
    <row r="31" s="2" customFormat="true" ht="12.75" hidden="false" customHeight="true" outlineLevel="0" collapsed="false">
      <c r="A31" s="40" t="s">
        <v>105</v>
      </c>
      <c r="B31" s="27" t="s">
        <v>106</v>
      </c>
      <c r="C31" s="28" t="s">
        <v>33</v>
      </c>
      <c r="D31" s="27" t="s">
        <v>34</v>
      </c>
      <c r="E31" s="27"/>
      <c r="F31" s="29" t="s">
        <v>107</v>
      </c>
      <c r="G31" s="30" t="n">
        <v>75016</v>
      </c>
      <c r="H31" s="31" t="s">
        <v>36</v>
      </c>
      <c r="I31" s="32" t="n">
        <v>142151575</v>
      </c>
      <c r="J31" s="33" t="n">
        <v>43</v>
      </c>
      <c r="K31" s="33" t="n">
        <v>1</v>
      </c>
      <c r="L31" s="34" t="n">
        <v>1</v>
      </c>
      <c r="M31" s="35"/>
      <c r="N31" s="36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39"/>
      <c r="Z31" s="39"/>
      <c r="AA31" s="28"/>
      <c r="AC31" s="2" t="s">
        <v>108</v>
      </c>
      <c r="AD31" s="2" t="s">
        <v>109</v>
      </c>
      <c r="AE31" s="2" t="s">
        <v>110</v>
      </c>
      <c r="AMJ31" s="0"/>
    </row>
    <row r="32" s="2" customFormat="true" ht="12.75" hidden="false" customHeight="true" outlineLevel="0" collapsed="false">
      <c r="A32" s="27" t="s">
        <v>111</v>
      </c>
      <c r="B32" s="27" t="s">
        <v>112</v>
      </c>
      <c r="C32" s="28" t="s">
        <v>113</v>
      </c>
      <c r="D32" s="27" t="s">
        <v>34</v>
      </c>
      <c r="E32" s="27"/>
      <c r="F32" s="29" t="s">
        <v>114</v>
      </c>
      <c r="G32" s="30" t="n">
        <v>75016</v>
      </c>
      <c r="H32" s="31" t="s">
        <v>36</v>
      </c>
      <c r="I32" s="32" t="n">
        <v>145656124</v>
      </c>
      <c r="J32" s="33" t="n">
        <v>30</v>
      </c>
      <c r="K32" s="33" t="n">
        <v>1</v>
      </c>
      <c r="L32" s="34"/>
      <c r="M32" s="35"/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9"/>
      <c r="Z32" s="39"/>
      <c r="AA32" s="28"/>
      <c r="AMJ32" s="0"/>
    </row>
    <row r="33" s="2" customFormat="true" ht="12.75" hidden="false" customHeight="true" outlineLevel="0" collapsed="false">
      <c r="A33" s="27" t="s">
        <v>115</v>
      </c>
      <c r="B33" s="27" t="s">
        <v>116</v>
      </c>
      <c r="C33" s="28" t="s">
        <v>41</v>
      </c>
      <c r="D33" s="27" t="s">
        <v>34</v>
      </c>
      <c r="E33" s="27"/>
      <c r="F33" s="29" t="s">
        <v>117</v>
      </c>
      <c r="G33" s="30" t="n">
        <v>75016</v>
      </c>
      <c r="H33" s="31" t="s">
        <v>36</v>
      </c>
      <c r="I33" s="32" t="n">
        <v>145250882</v>
      </c>
      <c r="J33" s="33" t="n">
        <v>249</v>
      </c>
      <c r="K33" s="33" t="n">
        <v>8</v>
      </c>
      <c r="L33" s="34"/>
      <c r="M33" s="35"/>
      <c r="N33" s="36" t="s">
        <v>118</v>
      </c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9" t="n">
        <v>45126.3958333333</v>
      </c>
      <c r="Z33" s="39"/>
      <c r="AA33" s="28"/>
      <c r="AMJ33" s="0"/>
    </row>
    <row r="34" s="2" customFormat="true" ht="12.75" hidden="false" customHeight="true" outlineLevel="0" collapsed="false">
      <c r="A34" s="27" t="s">
        <v>119</v>
      </c>
      <c r="B34" s="27" t="s">
        <v>120</v>
      </c>
      <c r="C34" s="28" t="s">
        <v>121</v>
      </c>
      <c r="D34" s="27" t="s">
        <v>34</v>
      </c>
      <c r="E34" s="27"/>
      <c r="F34" s="29" t="s">
        <v>122</v>
      </c>
      <c r="G34" s="30" t="n">
        <v>75016</v>
      </c>
      <c r="H34" s="31" t="s">
        <v>36</v>
      </c>
      <c r="I34" s="32" t="n">
        <v>142882925</v>
      </c>
      <c r="J34" s="33" t="n">
        <v>103</v>
      </c>
      <c r="K34" s="33" t="n">
        <v>1</v>
      </c>
      <c r="L34" s="34"/>
      <c r="M34" s="35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9"/>
      <c r="Z34" s="39"/>
      <c r="AA34" s="28"/>
      <c r="AMJ34" s="0"/>
    </row>
    <row r="35" s="2" customFormat="true" ht="12.75" hidden="false" customHeight="true" outlineLevel="0" collapsed="false">
      <c r="A35" s="40" t="s">
        <v>123</v>
      </c>
      <c r="B35" s="27" t="s">
        <v>124</v>
      </c>
      <c r="C35" s="28" t="s">
        <v>33</v>
      </c>
      <c r="D35" s="27" t="s">
        <v>34</v>
      </c>
      <c r="E35" s="27"/>
      <c r="F35" s="29" t="s">
        <v>125</v>
      </c>
      <c r="G35" s="30" t="n">
        <v>75016</v>
      </c>
      <c r="H35" s="31" t="s">
        <v>36</v>
      </c>
      <c r="I35" s="32" t="n">
        <v>147273390</v>
      </c>
      <c r="J35" s="33" t="n">
        <v>51</v>
      </c>
      <c r="K35" s="33" t="n">
        <v>1</v>
      </c>
      <c r="L35" s="34" t="n">
        <v>1</v>
      </c>
      <c r="M35" s="35"/>
      <c r="N35" s="36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39"/>
      <c r="Z35" s="39"/>
      <c r="AA35" s="28"/>
      <c r="AMJ35" s="0"/>
    </row>
    <row r="36" s="2" customFormat="true" ht="12.75" hidden="false" customHeight="true" outlineLevel="0" collapsed="false">
      <c r="A36" s="27" t="s">
        <v>126</v>
      </c>
      <c r="B36" s="27" t="s">
        <v>127</v>
      </c>
      <c r="C36" s="28" t="s">
        <v>41</v>
      </c>
      <c r="D36" s="27" t="s">
        <v>34</v>
      </c>
      <c r="E36" s="27"/>
      <c r="F36" s="29" t="s">
        <v>128</v>
      </c>
      <c r="G36" s="30" t="n">
        <v>75016</v>
      </c>
      <c r="H36" s="31" t="s">
        <v>36</v>
      </c>
      <c r="I36" s="32" t="n">
        <v>140508242</v>
      </c>
      <c r="J36" s="33" t="n">
        <v>212</v>
      </c>
      <c r="K36" s="33" t="n">
        <v>0</v>
      </c>
      <c r="L36" s="34"/>
      <c r="M36" s="35"/>
      <c r="N36" s="36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9"/>
      <c r="Z36" s="39"/>
      <c r="AA36" s="28"/>
      <c r="AMJ36" s="0"/>
    </row>
    <row r="37" s="2" customFormat="true" ht="12.75" hidden="false" customHeight="true" outlineLevel="0" collapsed="false">
      <c r="A37" s="27" t="s">
        <v>129</v>
      </c>
      <c r="B37" s="27" t="s">
        <v>130</v>
      </c>
      <c r="C37" s="28" t="s">
        <v>41</v>
      </c>
      <c r="D37" s="27" t="s">
        <v>34</v>
      </c>
      <c r="E37" s="27"/>
      <c r="F37" s="29" t="s">
        <v>131</v>
      </c>
      <c r="G37" s="30" t="n">
        <v>75016</v>
      </c>
      <c r="H37" s="31" t="s">
        <v>36</v>
      </c>
      <c r="I37" s="32"/>
      <c r="J37" s="33" t="n">
        <v>293</v>
      </c>
      <c r="K37" s="33" t="n">
        <v>1</v>
      </c>
      <c r="L37" s="34"/>
      <c r="M37" s="42"/>
      <c r="N37" s="36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9"/>
      <c r="Z37" s="39"/>
      <c r="AA37" s="28"/>
      <c r="AMJ37" s="0"/>
    </row>
    <row r="38" s="2" customFormat="true" ht="12.75" hidden="false" customHeight="true" outlineLevel="0" collapsed="false">
      <c r="A38" s="27" t="s">
        <v>132</v>
      </c>
      <c r="B38" s="27" t="s">
        <v>133</v>
      </c>
      <c r="C38" s="28" t="s">
        <v>41</v>
      </c>
      <c r="D38" s="27" t="s">
        <v>34</v>
      </c>
      <c r="E38" s="27"/>
      <c r="F38" s="29" t="s">
        <v>131</v>
      </c>
      <c r="G38" s="30" t="n">
        <v>75016</v>
      </c>
      <c r="H38" s="31" t="s">
        <v>36</v>
      </c>
      <c r="I38" s="32" t="n">
        <v>987367775</v>
      </c>
      <c r="J38" s="33"/>
      <c r="K38" s="33"/>
      <c r="L38" s="34"/>
      <c r="M38" s="35"/>
      <c r="N38" s="36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9"/>
      <c r="Z38" s="39"/>
      <c r="AA38" s="28"/>
      <c r="AMJ38" s="0"/>
    </row>
    <row r="39" s="2" customFormat="true" ht="12.75" hidden="false" customHeight="true" outlineLevel="0" collapsed="false">
      <c r="A39" s="27" t="s">
        <v>134</v>
      </c>
      <c r="B39" s="27" t="s">
        <v>88</v>
      </c>
      <c r="C39" s="28" t="s">
        <v>41</v>
      </c>
      <c r="D39" s="27" t="s">
        <v>34</v>
      </c>
      <c r="E39" s="27"/>
      <c r="F39" s="29" t="s">
        <v>135</v>
      </c>
      <c r="G39" s="30" t="n">
        <v>75016</v>
      </c>
      <c r="H39" s="31" t="s">
        <v>36</v>
      </c>
      <c r="I39" s="32" t="n">
        <v>146201716</v>
      </c>
      <c r="J39" s="33" t="n">
        <v>215</v>
      </c>
      <c r="K39" s="33" t="n">
        <v>2</v>
      </c>
      <c r="L39" s="34"/>
      <c r="M39" s="35"/>
      <c r="N39" s="36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9"/>
      <c r="Z39" s="39"/>
      <c r="AA39" s="28"/>
      <c r="AMJ39" s="0"/>
    </row>
    <row r="40" s="2" customFormat="true" ht="12.75" hidden="false" customHeight="true" outlineLevel="0" collapsed="false">
      <c r="A40" s="27" t="s">
        <v>136</v>
      </c>
      <c r="B40" s="27" t="s">
        <v>137</v>
      </c>
      <c r="C40" s="28" t="s">
        <v>138</v>
      </c>
      <c r="D40" s="27" t="s">
        <v>34</v>
      </c>
      <c r="E40" s="27"/>
      <c r="F40" s="29" t="s">
        <v>139</v>
      </c>
      <c r="G40" s="30" t="n">
        <v>75016</v>
      </c>
      <c r="H40" s="31" t="s">
        <v>36</v>
      </c>
      <c r="I40" s="32" t="n">
        <v>140719502</v>
      </c>
      <c r="J40" s="33" t="n">
        <v>222</v>
      </c>
      <c r="K40" s="33" t="n">
        <v>1</v>
      </c>
      <c r="L40" s="34"/>
      <c r="M40" s="35"/>
      <c r="N40" s="36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9"/>
      <c r="Z40" s="39"/>
      <c r="AA40" s="28"/>
      <c r="AMJ40" s="0"/>
    </row>
    <row r="41" s="2" customFormat="true" ht="12.75" hidden="false" customHeight="true" outlineLevel="0" collapsed="false">
      <c r="A41" s="27" t="s">
        <v>140</v>
      </c>
      <c r="B41" s="27" t="s">
        <v>141</v>
      </c>
      <c r="C41" s="28" t="s">
        <v>41</v>
      </c>
      <c r="D41" s="27" t="s">
        <v>34</v>
      </c>
      <c r="E41" s="27" t="s">
        <v>142</v>
      </c>
      <c r="F41" s="29" t="s">
        <v>143</v>
      </c>
      <c r="G41" s="30" t="n">
        <v>75016</v>
      </c>
      <c r="H41" s="31" t="s">
        <v>36</v>
      </c>
      <c r="I41" s="32" t="n">
        <v>140505364</v>
      </c>
      <c r="J41" s="33" t="n">
        <v>365</v>
      </c>
      <c r="K41" s="33" t="n">
        <v>1</v>
      </c>
      <c r="L41" s="34"/>
      <c r="M41" s="35"/>
      <c r="N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9"/>
      <c r="Z41" s="39"/>
      <c r="AA41" s="28"/>
      <c r="AMJ41" s="0"/>
    </row>
    <row r="42" s="2" customFormat="true" ht="12.75" hidden="false" customHeight="true" outlineLevel="0" collapsed="false">
      <c r="A42" s="27" t="s">
        <v>144</v>
      </c>
      <c r="B42" s="27" t="s">
        <v>145</v>
      </c>
      <c r="C42" s="28" t="s">
        <v>41</v>
      </c>
      <c r="D42" s="27" t="s">
        <v>34</v>
      </c>
      <c r="E42" s="27" t="s">
        <v>142</v>
      </c>
      <c r="F42" s="29" t="s">
        <v>143</v>
      </c>
      <c r="G42" s="30" t="n">
        <v>75016</v>
      </c>
      <c r="H42" s="31" t="s">
        <v>36</v>
      </c>
      <c r="I42" s="32"/>
      <c r="J42" s="33" t="n">
        <v>252</v>
      </c>
      <c r="K42" s="33" t="n">
        <v>2</v>
      </c>
      <c r="L42" s="34"/>
      <c r="M42" s="35"/>
      <c r="N42" s="36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9"/>
      <c r="Z42" s="39"/>
      <c r="AA42" s="28"/>
      <c r="AMJ42" s="0"/>
    </row>
    <row r="43" s="2" customFormat="true" ht="12.75" hidden="false" customHeight="true" outlineLevel="0" collapsed="false">
      <c r="A43" s="27" t="s">
        <v>146</v>
      </c>
      <c r="B43" s="27" t="s">
        <v>147</v>
      </c>
      <c r="C43" s="28" t="s">
        <v>121</v>
      </c>
      <c r="D43" s="27" t="s">
        <v>34</v>
      </c>
      <c r="E43" s="27" t="s">
        <v>142</v>
      </c>
      <c r="F43" s="29" t="s">
        <v>143</v>
      </c>
      <c r="G43" s="30" t="n">
        <v>75016</v>
      </c>
      <c r="H43" s="31" t="s">
        <v>36</v>
      </c>
      <c r="I43" s="32"/>
      <c r="J43" s="33" t="n">
        <v>69</v>
      </c>
      <c r="K43" s="33" t="n">
        <v>1</v>
      </c>
      <c r="L43" s="34"/>
      <c r="M43" s="35"/>
      <c r="N43" s="36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9"/>
      <c r="Z43" s="39"/>
      <c r="AA43" s="28"/>
      <c r="AMJ43" s="0"/>
    </row>
    <row r="44" s="2" customFormat="true" ht="12.75" hidden="false" customHeight="true" outlineLevel="0" collapsed="false">
      <c r="A44" s="27" t="s">
        <v>148</v>
      </c>
      <c r="B44" s="27" t="s">
        <v>149</v>
      </c>
      <c r="C44" s="28" t="s">
        <v>121</v>
      </c>
      <c r="D44" s="27" t="s">
        <v>34</v>
      </c>
      <c r="E44" s="27" t="s">
        <v>142</v>
      </c>
      <c r="F44" s="29" t="s">
        <v>143</v>
      </c>
      <c r="G44" s="30" t="n">
        <v>75016</v>
      </c>
      <c r="H44" s="31" t="s">
        <v>36</v>
      </c>
      <c r="I44" s="32"/>
      <c r="J44" s="33" t="n">
        <v>67</v>
      </c>
      <c r="K44" s="33" t="n">
        <v>1</v>
      </c>
      <c r="L44" s="34"/>
      <c r="M44" s="35"/>
      <c r="N44" s="36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9"/>
      <c r="Z44" s="39"/>
      <c r="AA44" s="28"/>
      <c r="AMJ44" s="0"/>
    </row>
    <row r="45" s="2" customFormat="true" ht="12.75" hidden="false" customHeight="true" outlineLevel="0" collapsed="false">
      <c r="A45" s="27" t="s">
        <v>150</v>
      </c>
      <c r="B45" s="27" t="s">
        <v>151</v>
      </c>
      <c r="C45" s="28" t="s">
        <v>121</v>
      </c>
      <c r="D45" s="27" t="s">
        <v>34</v>
      </c>
      <c r="E45" s="27" t="s">
        <v>142</v>
      </c>
      <c r="F45" s="29" t="s">
        <v>143</v>
      </c>
      <c r="G45" s="30" t="n">
        <v>75016</v>
      </c>
      <c r="H45" s="31" t="s">
        <v>36</v>
      </c>
      <c r="I45" s="32"/>
      <c r="J45" s="33" t="n">
        <v>65</v>
      </c>
      <c r="K45" s="33" t="n">
        <v>1</v>
      </c>
      <c r="L45" s="34"/>
      <c r="M45" s="35"/>
      <c r="N45" s="36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9"/>
      <c r="Z45" s="39"/>
      <c r="AA45" s="28"/>
      <c r="AMJ45" s="0"/>
    </row>
    <row r="46" s="2" customFormat="true" ht="12.75" hidden="false" customHeight="true" outlineLevel="0" collapsed="false">
      <c r="A46" s="40" t="s">
        <v>152</v>
      </c>
      <c r="B46" s="27" t="s">
        <v>153</v>
      </c>
      <c r="C46" s="28" t="s">
        <v>121</v>
      </c>
      <c r="D46" s="27" t="s">
        <v>34</v>
      </c>
      <c r="E46" s="27"/>
      <c r="F46" s="29" t="s">
        <v>154</v>
      </c>
      <c r="G46" s="30" t="n">
        <v>75016</v>
      </c>
      <c r="H46" s="31" t="s">
        <v>36</v>
      </c>
      <c r="I46" s="32" t="n">
        <v>950865804</v>
      </c>
      <c r="J46" s="33" t="n">
        <v>152</v>
      </c>
      <c r="K46" s="33" t="n">
        <v>11</v>
      </c>
      <c r="L46" s="34" t="n">
        <v>2</v>
      </c>
      <c r="M46" s="43" t="s">
        <v>155</v>
      </c>
      <c r="N46" s="36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39" t="n">
        <v>45114.6458333333</v>
      </c>
      <c r="Z46" s="39" t="n">
        <v>45135.6458333333</v>
      </c>
      <c r="AA46" s="28" t="n">
        <v>3</v>
      </c>
      <c r="AMJ46" s="0"/>
    </row>
    <row r="47" s="2" customFormat="true" ht="12.75" hidden="false" customHeight="true" outlineLevel="0" collapsed="false">
      <c r="A47" s="27" t="s">
        <v>156</v>
      </c>
      <c r="B47" s="27" t="s">
        <v>157</v>
      </c>
      <c r="C47" s="28" t="s">
        <v>33</v>
      </c>
      <c r="D47" s="27" t="s">
        <v>34</v>
      </c>
      <c r="E47" s="27"/>
      <c r="F47" s="29" t="s">
        <v>158</v>
      </c>
      <c r="G47" s="30" t="n">
        <v>75016</v>
      </c>
      <c r="H47" s="31" t="s">
        <v>36</v>
      </c>
      <c r="I47" s="32" t="n">
        <v>145203203</v>
      </c>
      <c r="J47" s="33" t="n">
        <v>52</v>
      </c>
      <c r="K47" s="33" t="n">
        <v>0</v>
      </c>
      <c r="L47" s="34"/>
      <c r="M47" s="35"/>
      <c r="N47" s="36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9"/>
      <c r="Z47" s="39"/>
      <c r="AA47" s="28"/>
      <c r="AC47" s="2" t="s">
        <v>38</v>
      </c>
      <c r="AMJ47" s="0"/>
    </row>
    <row r="48" s="2" customFormat="true" ht="12.75" hidden="false" customHeight="true" outlineLevel="0" collapsed="false">
      <c r="A48" s="27" t="s">
        <v>159</v>
      </c>
      <c r="B48" s="27" t="s">
        <v>160</v>
      </c>
      <c r="C48" s="28" t="s">
        <v>33</v>
      </c>
      <c r="D48" s="27" t="s">
        <v>34</v>
      </c>
      <c r="E48" s="27"/>
      <c r="F48" s="29" t="s">
        <v>161</v>
      </c>
      <c r="G48" s="30" t="n">
        <v>75016</v>
      </c>
      <c r="H48" s="31" t="s">
        <v>36</v>
      </c>
      <c r="I48" s="32"/>
      <c r="J48" s="33" t="n">
        <v>52</v>
      </c>
      <c r="K48" s="33" t="n">
        <v>0</v>
      </c>
      <c r="L48" s="34"/>
      <c r="M48" s="35"/>
      <c r="N48" s="36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9"/>
      <c r="Z48" s="39"/>
      <c r="AA48" s="28"/>
      <c r="AC48" s="2" t="s">
        <v>38</v>
      </c>
      <c r="AMJ48" s="0"/>
    </row>
    <row r="49" s="2" customFormat="true" ht="12.75" hidden="false" customHeight="true" outlineLevel="0" collapsed="false">
      <c r="A49" s="40" t="s">
        <v>162</v>
      </c>
      <c r="B49" s="27" t="s">
        <v>151</v>
      </c>
      <c r="C49" s="28" t="s">
        <v>138</v>
      </c>
      <c r="D49" s="27" t="s">
        <v>34</v>
      </c>
      <c r="E49" s="27"/>
      <c r="F49" s="29" t="s">
        <v>163</v>
      </c>
      <c r="G49" s="30" t="n">
        <v>75016</v>
      </c>
      <c r="H49" s="31" t="s">
        <v>36</v>
      </c>
      <c r="I49" s="32" t="n">
        <v>145240475</v>
      </c>
      <c r="J49" s="33" t="n">
        <v>246</v>
      </c>
      <c r="K49" s="33" t="n">
        <v>1</v>
      </c>
      <c r="L49" s="34" t="n">
        <v>1</v>
      </c>
      <c r="M49" s="35" t="s">
        <v>164</v>
      </c>
      <c r="N49" s="36" t="s">
        <v>165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39" t="n">
        <v>45118.6666666667</v>
      </c>
      <c r="Z49" s="39"/>
      <c r="AA49" s="28" t="n">
        <v>2</v>
      </c>
      <c r="AMJ49" s="0"/>
    </row>
    <row r="50" s="2" customFormat="true" ht="12.75" hidden="false" customHeight="true" outlineLevel="0" collapsed="false">
      <c r="A50" s="27" t="s">
        <v>166</v>
      </c>
      <c r="B50" s="27" t="s">
        <v>167</v>
      </c>
      <c r="C50" s="28" t="s">
        <v>41</v>
      </c>
      <c r="D50" s="27" t="s">
        <v>34</v>
      </c>
      <c r="E50" s="27"/>
      <c r="F50" s="29" t="s">
        <v>168</v>
      </c>
      <c r="G50" s="30" t="n">
        <v>75016</v>
      </c>
      <c r="H50" s="31" t="s">
        <v>36</v>
      </c>
      <c r="I50" s="32" t="n">
        <v>145242727</v>
      </c>
      <c r="J50" s="33" t="n">
        <v>291</v>
      </c>
      <c r="K50" s="33" t="n">
        <v>1</v>
      </c>
      <c r="L50" s="34"/>
      <c r="M50" s="35"/>
      <c r="N50" s="36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9"/>
      <c r="Z50" s="39"/>
      <c r="AA50" s="28"/>
      <c r="AMJ50" s="0"/>
    </row>
    <row r="51" s="2" customFormat="true" ht="12.75" hidden="false" customHeight="true" outlineLevel="0" collapsed="false">
      <c r="A51" s="27" t="s">
        <v>169</v>
      </c>
      <c r="B51" s="27" t="s">
        <v>88</v>
      </c>
      <c r="C51" s="28" t="s">
        <v>41</v>
      </c>
      <c r="D51" s="27" t="s">
        <v>34</v>
      </c>
      <c r="E51" s="27"/>
      <c r="F51" s="29" t="s">
        <v>170</v>
      </c>
      <c r="G51" s="30" t="n">
        <v>75016</v>
      </c>
      <c r="H51" s="31" t="s">
        <v>36</v>
      </c>
      <c r="I51" s="32" t="n">
        <v>140508888</v>
      </c>
      <c r="J51" s="33" t="n">
        <v>346</v>
      </c>
      <c r="K51" s="33" t="n">
        <v>7</v>
      </c>
      <c r="L51" s="34"/>
      <c r="M51" s="35" t="s">
        <v>164</v>
      </c>
      <c r="N51" s="36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9"/>
      <c r="Z51" s="39"/>
      <c r="AA51" s="28"/>
      <c r="AMJ51" s="0"/>
    </row>
    <row r="52" s="2" customFormat="true" ht="12.75" hidden="false" customHeight="true" outlineLevel="0" collapsed="false">
      <c r="A52" s="27" t="s">
        <v>171</v>
      </c>
      <c r="B52" s="27" t="s">
        <v>172</v>
      </c>
      <c r="C52" s="28" t="s">
        <v>121</v>
      </c>
      <c r="D52" s="27" t="s">
        <v>34</v>
      </c>
      <c r="E52" s="27"/>
      <c r="F52" s="29" t="s">
        <v>173</v>
      </c>
      <c r="G52" s="30" t="n">
        <v>75016</v>
      </c>
      <c r="H52" s="31" t="s">
        <v>36</v>
      </c>
      <c r="I52" s="32" t="n">
        <v>145277122</v>
      </c>
      <c r="J52" s="33" t="n">
        <v>95</v>
      </c>
      <c r="K52" s="33" t="n">
        <v>1</v>
      </c>
      <c r="L52" s="34"/>
      <c r="M52" s="35"/>
      <c r="N52" s="36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9"/>
      <c r="Z52" s="39"/>
      <c r="AA52" s="28"/>
      <c r="AMJ52" s="0"/>
    </row>
    <row r="53" s="2" customFormat="true" ht="12.75" hidden="false" customHeight="true" outlineLevel="0" collapsed="false">
      <c r="A53" s="27" t="s">
        <v>174</v>
      </c>
      <c r="B53" s="27" t="s">
        <v>175</v>
      </c>
      <c r="C53" s="28" t="s">
        <v>33</v>
      </c>
      <c r="D53" s="27" t="s">
        <v>34</v>
      </c>
      <c r="E53" s="27"/>
      <c r="F53" s="29" t="s">
        <v>173</v>
      </c>
      <c r="G53" s="30" t="n">
        <v>75016</v>
      </c>
      <c r="H53" s="31" t="s">
        <v>36</v>
      </c>
      <c r="I53" s="32" t="n">
        <v>142151633</v>
      </c>
      <c r="J53" s="33" t="n">
        <v>51</v>
      </c>
      <c r="K53" s="33" t="n">
        <v>0</v>
      </c>
      <c r="L53" s="34"/>
      <c r="M53" s="35"/>
      <c r="N53" s="36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9"/>
      <c r="Z53" s="39"/>
      <c r="AA53" s="28"/>
      <c r="AC53" s="2" t="s">
        <v>38</v>
      </c>
      <c r="AMJ53" s="0"/>
    </row>
    <row r="54" s="2" customFormat="true" ht="12.75" hidden="false" customHeight="true" outlineLevel="0" collapsed="false">
      <c r="A54" s="40" t="s">
        <v>176</v>
      </c>
      <c r="B54" s="27" t="s">
        <v>177</v>
      </c>
      <c r="C54" s="28" t="s">
        <v>178</v>
      </c>
      <c r="D54" s="27" t="s">
        <v>34</v>
      </c>
      <c r="E54" s="27"/>
      <c r="F54" s="29" t="s">
        <v>179</v>
      </c>
      <c r="G54" s="30" t="n">
        <v>75016</v>
      </c>
      <c r="H54" s="31" t="s">
        <v>36</v>
      </c>
      <c r="I54" s="32"/>
      <c r="J54" s="33" t="n">
        <v>108</v>
      </c>
      <c r="K54" s="33" t="n">
        <v>3</v>
      </c>
      <c r="L54" s="34" t="n">
        <v>1</v>
      </c>
      <c r="M54" s="43" t="s">
        <v>155</v>
      </c>
      <c r="N54" s="36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39"/>
      <c r="Z54" s="39" t="n">
        <v>45205.5729166667</v>
      </c>
      <c r="AA54" s="28" t="n">
        <v>3</v>
      </c>
      <c r="AMJ54" s="0"/>
    </row>
    <row r="55" s="2" customFormat="true" ht="12.75" hidden="false" customHeight="true" outlineLevel="0" collapsed="false">
      <c r="A55" s="27" t="s">
        <v>180</v>
      </c>
      <c r="B55" s="27" t="s">
        <v>55</v>
      </c>
      <c r="C55" s="28" t="s">
        <v>121</v>
      </c>
      <c r="D55" s="27" t="s">
        <v>34</v>
      </c>
      <c r="E55" s="27"/>
      <c r="F55" s="29" t="s">
        <v>179</v>
      </c>
      <c r="G55" s="30" t="n">
        <v>75016</v>
      </c>
      <c r="H55" s="31" t="s">
        <v>36</v>
      </c>
      <c r="I55" s="32"/>
      <c r="J55" s="33" t="n">
        <v>107</v>
      </c>
      <c r="K55" s="33" t="n">
        <v>1</v>
      </c>
      <c r="L55" s="34"/>
      <c r="M55" s="35"/>
      <c r="N55" s="36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9"/>
      <c r="Z55" s="39"/>
      <c r="AA55" s="28"/>
      <c r="AMJ55" s="0"/>
    </row>
    <row r="56" s="2" customFormat="true" ht="12.75" hidden="false" customHeight="true" outlineLevel="0" collapsed="false">
      <c r="A56" s="27" t="s">
        <v>181</v>
      </c>
      <c r="B56" s="27" t="s">
        <v>182</v>
      </c>
      <c r="C56" s="28" t="s">
        <v>41</v>
      </c>
      <c r="D56" s="27" t="s">
        <v>34</v>
      </c>
      <c r="E56" s="27"/>
      <c r="F56" s="29" t="s">
        <v>183</v>
      </c>
      <c r="G56" s="30" t="n">
        <v>75016</v>
      </c>
      <c r="H56" s="31" t="s">
        <v>36</v>
      </c>
      <c r="I56" s="32" t="n">
        <v>142889550</v>
      </c>
      <c r="J56" s="33" t="n">
        <v>298</v>
      </c>
      <c r="K56" s="33" t="n">
        <v>2</v>
      </c>
      <c r="L56" s="34"/>
      <c r="M56" s="35"/>
      <c r="N56" s="36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9"/>
      <c r="Z56" s="39"/>
      <c r="AA56" s="28"/>
      <c r="AMJ56" s="0"/>
    </row>
    <row r="57" s="2" customFormat="true" ht="12.75" hidden="false" customHeight="true" outlineLevel="0" collapsed="false">
      <c r="A57" s="27" t="s">
        <v>184</v>
      </c>
      <c r="B57" s="27" t="s">
        <v>137</v>
      </c>
      <c r="C57" s="28" t="s">
        <v>41</v>
      </c>
      <c r="D57" s="27" t="s">
        <v>34</v>
      </c>
      <c r="E57" s="27"/>
      <c r="F57" s="29" t="s">
        <v>185</v>
      </c>
      <c r="G57" s="30" t="n">
        <v>75016</v>
      </c>
      <c r="H57" s="31" t="s">
        <v>36</v>
      </c>
      <c r="I57" s="32" t="n">
        <v>145042085</v>
      </c>
      <c r="J57" s="33" t="n">
        <v>317</v>
      </c>
      <c r="K57" s="33" t="n">
        <v>11</v>
      </c>
      <c r="L57" s="34"/>
      <c r="M57" s="35" t="s">
        <v>164</v>
      </c>
      <c r="N57" s="36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9"/>
      <c r="Z57" s="39"/>
      <c r="AA57" s="28"/>
      <c r="AMJ57" s="0"/>
    </row>
    <row r="58" s="2" customFormat="true" ht="12.75" hidden="false" customHeight="true" outlineLevel="0" collapsed="false">
      <c r="A58" s="27" t="s">
        <v>186</v>
      </c>
      <c r="B58" s="27" t="s">
        <v>187</v>
      </c>
      <c r="C58" s="28" t="s">
        <v>41</v>
      </c>
      <c r="D58" s="27" t="s">
        <v>34</v>
      </c>
      <c r="E58" s="27"/>
      <c r="F58" s="29" t="s">
        <v>185</v>
      </c>
      <c r="G58" s="30" t="n">
        <v>75016</v>
      </c>
      <c r="H58" s="31" t="s">
        <v>36</v>
      </c>
      <c r="I58" s="32" t="n">
        <v>145042085</v>
      </c>
      <c r="J58" s="33" t="n">
        <v>316</v>
      </c>
      <c r="K58" s="33" t="n">
        <v>4</v>
      </c>
      <c r="L58" s="34"/>
      <c r="M58" s="35"/>
      <c r="N58" s="36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9"/>
      <c r="Z58" s="39"/>
      <c r="AA58" s="28"/>
      <c r="AMJ58" s="0"/>
    </row>
    <row r="59" s="2" customFormat="true" ht="12.75" hidden="false" customHeight="true" outlineLevel="0" collapsed="false">
      <c r="A59" s="27" t="s">
        <v>188</v>
      </c>
      <c r="B59" s="27" t="s">
        <v>189</v>
      </c>
      <c r="C59" s="28" t="s">
        <v>41</v>
      </c>
      <c r="D59" s="27" t="s">
        <v>34</v>
      </c>
      <c r="E59" s="27"/>
      <c r="F59" s="29" t="s">
        <v>190</v>
      </c>
      <c r="G59" s="30" t="n">
        <v>75016</v>
      </c>
      <c r="H59" s="31" t="s">
        <v>36</v>
      </c>
      <c r="I59" s="32" t="n">
        <v>142240888</v>
      </c>
      <c r="J59" s="33" t="n">
        <v>278</v>
      </c>
      <c r="K59" s="33" t="n">
        <v>4</v>
      </c>
      <c r="L59" s="34"/>
      <c r="M59" s="35"/>
      <c r="N59" s="36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9"/>
      <c r="Z59" s="39"/>
      <c r="AA59" s="28"/>
      <c r="AMJ59" s="0"/>
    </row>
    <row r="60" s="2" customFormat="true" ht="12.75" hidden="false" customHeight="true" outlineLevel="0" collapsed="false">
      <c r="A60" s="27" t="s">
        <v>191</v>
      </c>
      <c r="B60" s="27" t="s">
        <v>192</v>
      </c>
      <c r="C60" s="28" t="s">
        <v>121</v>
      </c>
      <c r="D60" s="27" t="s">
        <v>34</v>
      </c>
      <c r="E60" s="27"/>
      <c r="F60" s="29" t="s">
        <v>193</v>
      </c>
      <c r="G60" s="30" t="n">
        <v>75016</v>
      </c>
      <c r="H60" s="31" t="s">
        <v>36</v>
      </c>
      <c r="I60" s="32" t="n">
        <v>953349540</v>
      </c>
      <c r="J60" s="33" t="n">
        <v>76</v>
      </c>
      <c r="K60" s="33" t="n">
        <v>7</v>
      </c>
      <c r="L60" s="34"/>
      <c r="M60" s="35" t="s">
        <v>164</v>
      </c>
      <c r="N60" s="36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9"/>
      <c r="Z60" s="39"/>
      <c r="AA60" s="28"/>
      <c r="AMJ60" s="0"/>
    </row>
    <row r="61" s="2" customFormat="true" ht="12.75" hidden="false" customHeight="true" outlineLevel="0" collapsed="false">
      <c r="A61" s="27" t="s">
        <v>194</v>
      </c>
      <c r="B61" s="27" t="s">
        <v>195</v>
      </c>
      <c r="C61" s="28" t="s">
        <v>33</v>
      </c>
      <c r="D61" s="27" t="s">
        <v>34</v>
      </c>
      <c r="E61" s="27"/>
      <c r="F61" s="29" t="s">
        <v>196</v>
      </c>
      <c r="G61" s="30" t="n">
        <v>75016</v>
      </c>
      <c r="H61" s="31" t="s">
        <v>36</v>
      </c>
      <c r="I61" s="32" t="n">
        <v>177111867</v>
      </c>
      <c r="J61" s="33" t="n">
        <v>55</v>
      </c>
      <c r="K61" s="33" t="n">
        <v>1</v>
      </c>
      <c r="L61" s="34"/>
      <c r="M61" s="35"/>
      <c r="N61" s="36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9"/>
      <c r="Z61" s="39"/>
      <c r="AA61" s="28"/>
      <c r="AC61" s="2" t="s">
        <v>197</v>
      </c>
      <c r="AMJ61" s="0"/>
    </row>
    <row r="62" s="2" customFormat="true" ht="12.75" hidden="false" customHeight="true" outlineLevel="0" collapsed="false">
      <c r="A62" s="27" t="s">
        <v>198</v>
      </c>
      <c r="B62" s="27" t="s">
        <v>88</v>
      </c>
      <c r="C62" s="28" t="s">
        <v>41</v>
      </c>
      <c r="D62" s="27" t="s">
        <v>34</v>
      </c>
      <c r="E62" s="27"/>
      <c r="F62" s="29" t="s">
        <v>199</v>
      </c>
      <c r="G62" s="30" t="n">
        <v>75016</v>
      </c>
      <c r="H62" s="31" t="s">
        <v>36</v>
      </c>
      <c r="I62" s="32" t="n">
        <v>146510254</v>
      </c>
      <c r="J62" s="33" t="n">
        <v>295</v>
      </c>
      <c r="K62" s="33" t="n">
        <v>0</v>
      </c>
      <c r="L62" s="34"/>
      <c r="M62" s="35"/>
      <c r="N62" s="36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9"/>
      <c r="Z62" s="39"/>
      <c r="AA62" s="28"/>
      <c r="AMJ62" s="0"/>
    </row>
    <row r="63" s="2" customFormat="true" ht="12.75" hidden="false" customHeight="true" outlineLevel="0" collapsed="false">
      <c r="A63" s="27" t="s">
        <v>200</v>
      </c>
      <c r="B63" s="27" t="s">
        <v>201</v>
      </c>
      <c r="C63" s="28" t="s">
        <v>138</v>
      </c>
      <c r="D63" s="27" t="s">
        <v>34</v>
      </c>
      <c r="E63" s="27"/>
      <c r="F63" s="29" t="s">
        <v>202</v>
      </c>
      <c r="G63" s="30" t="n">
        <v>75016</v>
      </c>
      <c r="H63" s="31" t="s">
        <v>36</v>
      </c>
      <c r="I63" s="32" t="n">
        <v>140711905</v>
      </c>
      <c r="J63" s="33" t="n">
        <v>261</v>
      </c>
      <c r="K63" s="33" t="n">
        <v>4</v>
      </c>
      <c r="L63" s="34"/>
      <c r="M63" s="35"/>
      <c r="N63" s="36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9"/>
      <c r="Z63" s="39"/>
      <c r="AA63" s="28"/>
      <c r="AMJ63" s="0"/>
    </row>
    <row r="64" s="2" customFormat="true" ht="12.75" hidden="false" customHeight="true" outlineLevel="0" collapsed="false">
      <c r="A64" s="27" t="s">
        <v>203</v>
      </c>
      <c r="B64" s="27" t="s">
        <v>71</v>
      </c>
      <c r="C64" s="28" t="s">
        <v>41</v>
      </c>
      <c r="D64" s="27" t="s">
        <v>34</v>
      </c>
      <c r="E64" s="27"/>
      <c r="F64" s="29" t="s">
        <v>202</v>
      </c>
      <c r="G64" s="30" t="n">
        <v>75016</v>
      </c>
      <c r="H64" s="31" t="s">
        <v>36</v>
      </c>
      <c r="I64" s="32" t="n">
        <v>140711905</v>
      </c>
      <c r="J64" s="33" t="n">
        <v>400</v>
      </c>
      <c r="K64" s="33"/>
      <c r="L64" s="34"/>
      <c r="M64" s="35"/>
      <c r="N64" s="36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9"/>
      <c r="Z64" s="39"/>
      <c r="AA64" s="28"/>
      <c r="AMJ64" s="0"/>
    </row>
    <row r="65" s="2" customFormat="true" ht="12.75" hidden="false" customHeight="true" outlineLevel="0" collapsed="false">
      <c r="A65" s="27" t="s">
        <v>204</v>
      </c>
      <c r="B65" s="27" t="s">
        <v>205</v>
      </c>
      <c r="C65" s="28" t="s">
        <v>41</v>
      </c>
      <c r="D65" s="27" t="s">
        <v>34</v>
      </c>
      <c r="E65" s="27"/>
      <c r="F65" s="29" t="s">
        <v>202</v>
      </c>
      <c r="G65" s="30" t="n">
        <v>75016</v>
      </c>
      <c r="H65" s="31" t="s">
        <v>36</v>
      </c>
      <c r="I65" s="32" t="n">
        <v>140711905</v>
      </c>
      <c r="J65" s="33" t="n">
        <v>400</v>
      </c>
      <c r="K65" s="33"/>
      <c r="L65" s="34"/>
      <c r="M65" s="35"/>
      <c r="N65" s="36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9"/>
      <c r="Z65" s="39"/>
      <c r="AA65" s="28"/>
      <c r="AMJ65" s="0"/>
    </row>
    <row r="66" s="2" customFormat="true" ht="12.75" hidden="false" customHeight="true" outlineLevel="0" collapsed="false">
      <c r="A66" s="40" t="s">
        <v>206</v>
      </c>
      <c r="B66" s="27" t="s">
        <v>207</v>
      </c>
      <c r="C66" s="28" t="s">
        <v>208</v>
      </c>
      <c r="D66" s="27" t="s">
        <v>34</v>
      </c>
      <c r="E66" s="27"/>
      <c r="F66" s="29" t="s">
        <v>202</v>
      </c>
      <c r="G66" s="30" t="n">
        <v>75016</v>
      </c>
      <c r="H66" s="31" t="s">
        <v>36</v>
      </c>
      <c r="I66" s="32" t="n">
        <v>140711905</v>
      </c>
      <c r="J66" s="33" t="n">
        <v>280</v>
      </c>
      <c r="K66" s="33" t="n">
        <v>9</v>
      </c>
      <c r="L66" s="34" t="n">
        <v>3</v>
      </c>
      <c r="M66" s="43" t="s">
        <v>155</v>
      </c>
      <c r="N66" s="36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39" t="n">
        <v>45112.5833333333</v>
      </c>
      <c r="Z66" s="39" t="n">
        <v>45194.5416666667</v>
      </c>
      <c r="AA66" s="28" t="n">
        <v>3</v>
      </c>
      <c r="AMJ66" s="0"/>
    </row>
    <row r="67" s="2" customFormat="true" ht="12.75" hidden="false" customHeight="true" outlineLevel="0" collapsed="false">
      <c r="A67" s="27" t="s">
        <v>209</v>
      </c>
      <c r="B67" s="27" t="s">
        <v>210</v>
      </c>
      <c r="C67" s="28" t="s">
        <v>113</v>
      </c>
      <c r="D67" s="27" t="s">
        <v>34</v>
      </c>
      <c r="E67" s="27"/>
      <c r="F67" s="29" t="s">
        <v>211</v>
      </c>
      <c r="G67" s="30" t="n">
        <v>75016</v>
      </c>
      <c r="H67" s="31" t="s">
        <v>36</v>
      </c>
      <c r="I67" s="32" t="n">
        <v>146510888</v>
      </c>
      <c r="J67" s="33" t="n">
        <v>51</v>
      </c>
      <c r="K67" s="33" t="n">
        <v>1</v>
      </c>
      <c r="L67" s="34"/>
      <c r="M67" s="35"/>
      <c r="N67" s="36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9"/>
      <c r="Z67" s="39"/>
      <c r="AA67" s="28"/>
      <c r="AMJ67" s="0"/>
    </row>
    <row r="68" s="2" customFormat="true" ht="12.75" hidden="false" customHeight="true" outlineLevel="0" collapsed="false">
      <c r="A68" s="27" t="s">
        <v>212</v>
      </c>
      <c r="B68" s="27" t="s">
        <v>213</v>
      </c>
      <c r="C68" s="28" t="s">
        <v>113</v>
      </c>
      <c r="D68" s="27" t="s">
        <v>34</v>
      </c>
      <c r="E68" s="27"/>
      <c r="F68" s="29" t="s">
        <v>211</v>
      </c>
      <c r="G68" s="30" t="n">
        <v>75016</v>
      </c>
      <c r="H68" s="31" t="s">
        <v>36</v>
      </c>
      <c r="I68" s="32" t="n">
        <v>146510888</v>
      </c>
      <c r="J68" s="33" t="n">
        <v>8</v>
      </c>
      <c r="K68" s="33" t="n">
        <v>0</v>
      </c>
      <c r="L68" s="34"/>
      <c r="M68" s="35"/>
      <c r="N68" s="36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9"/>
      <c r="Z68" s="39"/>
      <c r="AA68" s="28"/>
      <c r="AMJ68" s="0"/>
    </row>
    <row r="69" s="2" customFormat="true" ht="12.75" hidden="false" customHeight="true" outlineLevel="0" collapsed="false">
      <c r="A69" s="27" t="s">
        <v>214</v>
      </c>
      <c r="B69" s="27" t="s">
        <v>215</v>
      </c>
      <c r="C69" s="28" t="s">
        <v>33</v>
      </c>
      <c r="D69" s="27" t="s">
        <v>34</v>
      </c>
      <c r="E69" s="27"/>
      <c r="F69" s="29" t="s">
        <v>211</v>
      </c>
      <c r="G69" s="30" t="n">
        <v>75016</v>
      </c>
      <c r="H69" s="31" t="s">
        <v>36</v>
      </c>
      <c r="I69" s="32" t="n">
        <v>146510888</v>
      </c>
      <c r="J69" s="33" t="n">
        <v>51</v>
      </c>
      <c r="K69" s="33" t="n">
        <v>1</v>
      </c>
      <c r="L69" s="34"/>
      <c r="M69" s="35"/>
      <c r="N69" s="36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9"/>
      <c r="Z69" s="39"/>
      <c r="AA69" s="28"/>
      <c r="AC69" s="2" t="s">
        <v>197</v>
      </c>
      <c r="AMJ69" s="0"/>
    </row>
    <row r="70" s="2" customFormat="true" ht="12.75" hidden="false" customHeight="true" outlineLevel="0" collapsed="false">
      <c r="A70" s="27" t="s">
        <v>216</v>
      </c>
      <c r="B70" s="27" t="s">
        <v>217</v>
      </c>
      <c r="C70" s="28" t="s">
        <v>33</v>
      </c>
      <c r="D70" s="27" t="s">
        <v>34</v>
      </c>
      <c r="E70" s="27"/>
      <c r="F70" s="29" t="s">
        <v>211</v>
      </c>
      <c r="G70" s="30" t="n">
        <v>75016</v>
      </c>
      <c r="H70" s="31" t="s">
        <v>36</v>
      </c>
      <c r="I70" s="32" t="n">
        <v>146510888</v>
      </c>
      <c r="J70" s="33" t="n">
        <v>51</v>
      </c>
      <c r="K70" s="33" t="n">
        <v>1</v>
      </c>
      <c r="L70" s="34"/>
      <c r="M70" s="35"/>
      <c r="N70" s="36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9"/>
      <c r="Z70" s="39"/>
      <c r="AA70" s="28"/>
      <c r="AC70" s="2" t="s">
        <v>218</v>
      </c>
      <c r="AMJ70" s="0"/>
    </row>
    <row r="71" s="2" customFormat="true" ht="12.75" hidden="false" customHeight="true" outlineLevel="0" collapsed="false">
      <c r="A71" s="40" t="s">
        <v>219</v>
      </c>
      <c r="B71" s="27" t="s">
        <v>47</v>
      </c>
      <c r="C71" s="28" t="s">
        <v>33</v>
      </c>
      <c r="D71" s="27" t="s">
        <v>34</v>
      </c>
      <c r="E71" s="27"/>
      <c r="F71" s="29" t="s">
        <v>220</v>
      </c>
      <c r="G71" s="30" t="n">
        <v>75016</v>
      </c>
      <c r="H71" s="31" t="s">
        <v>36</v>
      </c>
      <c r="I71" s="32" t="n">
        <v>145275120</v>
      </c>
      <c r="J71" s="33" t="n">
        <v>55</v>
      </c>
      <c r="K71" s="33" t="n">
        <v>1</v>
      </c>
      <c r="L71" s="34" t="n">
        <v>1</v>
      </c>
      <c r="M71" s="35"/>
      <c r="N71" s="36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39"/>
      <c r="Z71" s="39"/>
      <c r="AA71" s="28"/>
      <c r="AC71" s="2" t="s">
        <v>38</v>
      </c>
      <c r="AMJ71" s="0"/>
    </row>
    <row r="72" s="2" customFormat="true" ht="12.75" hidden="false" customHeight="true" outlineLevel="0" collapsed="false">
      <c r="A72" s="27" t="s">
        <v>221</v>
      </c>
      <c r="B72" s="27" t="s">
        <v>222</v>
      </c>
      <c r="C72" s="28" t="s">
        <v>33</v>
      </c>
      <c r="D72" s="27" t="s">
        <v>34</v>
      </c>
      <c r="E72" s="27"/>
      <c r="F72" s="29" t="s">
        <v>223</v>
      </c>
      <c r="G72" s="30" t="n">
        <v>75016</v>
      </c>
      <c r="H72" s="31" t="s">
        <v>36</v>
      </c>
      <c r="I72" s="32" t="n">
        <v>146515568</v>
      </c>
      <c r="J72" s="33" t="n">
        <v>51</v>
      </c>
      <c r="K72" s="33" t="n">
        <v>0</v>
      </c>
      <c r="L72" s="34"/>
      <c r="M72" s="35"/>
      <c r="N72" s="36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9"/>
      <c r="Z72" s="39"/>
      <c r="AA72" s="28"/>
      <c r="AC72" s="2" t="s">
        <v>38</v>
      </c>
      <c r="AMJ72" s="0"/>
    </row>
    <row r="73" s="2" customFormat="true" ht="12.75" hidden="false" customHeight="true" outlineLevel="0" collapsed="false">
      <c r="A73" s="27" t="s">
        <v>224</v>
      </c>
      <c r="B73" s="27" t="s">
        <v>225</v>
      </c>
      <c r="C73" s="28" t="s">
        <v>41</v>
      </c>
      <c r="D73" s="27" t="s">
        <v>34</v>
      </c>
      <c r="E73" s="27"/>
      <c r="F73" s="29" t="s">
        <v>226</v>
      </c>
      <c r="G73" s="30" t="n">
        <v>75016</v>
      </c>
      <c r="H73" s="31" t="s">
        <v>36</v>
      </c>
      <c r="I73" s="32" t="n">
        <v>144963306</v>
      </c>
      <c r="J73" s="33" t="n">
        <v>141</v>
      </c>
      <c r="K73" s="33" t="n">
        <v>1</v>
      </c>
      <c r="L73" s="34"/>
      <c r="M73" s="35"/>
      <c r="N73" s="36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9"/>
      <c r="Z73" s="39"/>
      <c r="AA73" s="28"/>
      <c r="AMJ73" s="0"/>
    </row>
    <row r="74" s="2" customFormat="true" ht="12.75" hidden="false" customHeight="true" outlineLevel="0" collapsed="false">
      <c r="A74" s="27" t="s">
        <v>227</v>
      </c>
      <c r="B74" s="27" t="s">
        <v>147</v>
      </c>
      <c r="C74" s="28" t="s">
        <v>41</v>
      </c>
      <c r="D74" s="27" t="s">
        <v>34</v>
      </c>
      <c r="E74" s="27"/>
      <c r="F74" s="29" t="s">
        <v>226</v>
      </c>
      <c r="G74" s="30" t="n">
        <v>75016</v>
      </c>
      <c r="H74" s="31" t="s">
        <v>36</v>
      </c>
      <c r="I74" s="32" t="n">
        <v>144963369</v>
      </c>
      <c r="J74" s="33" t="n">
        <v>135</v>
      </c>
      <c r="K74" s="33" t="n">
        <v>1</v>
      </c>
      <c r="L74" s="34"/>
      <c r="M74" s="35"/>
      <c r="N74" s="36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9"/>
      <c r="Z74" s="39"/>
      <c r="AA74" s="28"/>
      <c r="AMJ74" s="0"/>
    </row>
    <row r="75" s="2" customFormat="true" ht="12.75" hidden="false" customHeight="true" outlineLevel="0" collapsed="false">
      <c r="A75" s="27" t="s">
        <v>228</v>
      </c>
      <c r="B75" s="27" t="s">
        <v>229</v>
      </c>
      <c r="C75" s="28" t="s">
        <v>41</v>
      </c>
      <c r="D75" s="27" t="s">
        <v>34</v>
      </c>
      <c r="E75" s="27"/>
      <c r="F75" s="29" t="s">
        <v>230</v>
      </c>
      <c r="G75" s="30" t="n">
        <v>75016</v>
      </c>
      <c r="H75" s="31" t="s">
        <v>36</v>
      </c>
      <c r="I75" s="32"/>
      <c r="J75" s="33" t="n">
        <v>400</v>
      </c>
      <c r="K75" s="33" t="n">
        <v>1</v>
      </c>
      <c r="L75" s="34"/>
      <c r="M75" s="35"/>
      <c r="N75" s="36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9"/>
      <c r="Z75" s="39"/>
      <c r="AA75" s="28"/>
      <c r="AMJ75" s="0"/>
    </row>
    <row r="76" s="2" customFormat="true" ht="12.75" hidden="false" customHeight="true" outlineLevel="0" collapsed="false">
      <c r="A76" s="27" t="s">
        <v>231</v>
      </c>
      <c r="B76" s="27" t="s">
        <v>232</v>
      </c>
      <c r="C76" s="28" t="s">
        <v>41</v>
      </c>
      <c r="D76" s="27" t="s">
        <v>34</v>
      </c>
      <c r="E76" s="27"/>
      <c r="F76" s="29" t="s">
        <v>230</v>
      </c>
      <c r="G76" s="30" t="n">
        <v>75016</v>
      </c>
      <c r="H76" s="31" t="s">
        <v>36</v>
      </c>
      <c r="I76" s="32"/>
      <c r="J76" s="33" t="n">
        <v>237</v>
      </c>
      <c r="K76" s="33" t="n">
        <v>1</v>
      </c>
      <c r="L76" s="34"/>
      <c r="M76" s="35"/>
      <c r="N76" s="36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9"/>
      <c r="Z76" s="39"/>
      <c r="AA76" s="28"/>
      <c r="AMJ76" s="0"/>
    </row>
    <row r="77" s="2" customFormat="true" ht="12.75" hidden="false" customHeight="true" outlineLevel="0" collapsed="false">
      <c r="A77" s="27" t="s">
        <v>233</v>
      </c>
      <c r="B77" s="27" t="s">
        <v>234</v>
      </c>
      <c r="C77" s="28" t="s">
        <v>77</v>
      </c>
      <c r="D77" s="27" t="s">
        <v>34</v>
      </c>
      <c r="E77" s="27"/>
      <c r="F77" s="29" t="s">
        <v>235</v>
      </c>
      <c r="G77" s="30" t="n">
        <v>75016</v>
      </c>
      <c r="H77" s="31" t="s">
        <v>36</v>
      </c>
      <c r="I77" s="32" t="n">
        <v>145271553</v>
      </c>
      <c r="J77" s="33" t="n">
        <v>862</v>
      </c>
      <c r="K77" s="33" t="n">
        <v>0</v>
      </c>
      <c r="L77" s="34"/>
      <c r="M77" s="35"/>
      <c r="N77" s="36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9"/>
      <c r="Z77" s="39"/>
      <c r="AA77" s="28"/>
      <c r="AMJ77" s="0"/>
    </row>
    <row r="78" s="2" customFormat="true" ht="12.75" hidden="false" customHeight="true" outlineLevel="0" collapsed="false">
      <c r="A78" s="27" t="s">
        <v>236</v>
      </c>
      <c r="B78" s="27" t="s">
        <v>237</v>
      </c>
      <c r="C78" s="28" t="s">
        <v>33</v>
      </c>
      <c r="D78" s="27" t="s">
        <v>34</v>
      </c>
      <c r="E78" s="27"/>
      <c r="F78" s="29" t="s">
        <v>235</v>
      </c>
      <c r="G78" s="30" t="n">
        <v>75016</v>
      </c>
      <c r="H78" s="31" t="s">
        <v>36</v>
      </c>
      <c r="I78" s="32" t="n">
        <v>145271553</v>
      </c>
      <c r="J78" s="33" t="n">
        <v>51</v>
      </c>
      <c r="K78" s="33" t="n">
        <v>1</v>
      </c>
      <c r="L78" s="34"/>
      <c r="M78" s="35"/>
      <c r="N78" s="36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9"/>
      <c r="Z78" s="39"/>
      <c r="AA78" s="28"/>
      <c r="AC78" s="2" t="s">
        <v>38</v>
      </c>
      <c r="AMJ78" s="0"/>
    </row>
    <row r="79" s="2" customFormat="true" ht="12.75" hidden="false" customHeight="true" outlineLevel="0" collapsed="false">
      <c r="A79" s="27" t="s">
        <v>238</v>
      </c>
      <c r="B79" s="27" t="s">
        <v>239</v>
      </c>
      <c r="C79" s="28" t="s">
        <v>41</v>
      </c>
      <c r="D79" s="27" t="s">
        <v>34</v>
      </c>
      <c r="E79" s="27"/>
      <c r="F79" s="29" t="s">
        <v>240</v>
      </c>
      <c r="G79" s="30" t="n">
        <v>75016</v>
      </c>
      <c r="H79" s="31" t="s">
        <v>36</v>
      </c>
      <c r="I79" s="32" t="n">
        <v>146470615</v>
      </c>
      <c r="J79" s="33" t="n">
        <v>231</v>
      </c>
      <c r="K79" s="33" t="n">
        <v>0</v>
      </c>
      <c r="L79" s="34"/>
      <c r="M79" s="35"/>
      <c r="N79" s="36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9"/>
      <c r="Z79" s="39"/>
      <c r="AA79" s="28"/>
      <c r="AMJ79" s="0"/>
    </row>
    <row r="80" s="2" customFormat="true" ht="12.75" hidden="false" customHeight="true" outlineLevel="0" collapsed="false">
      <c r="A80" s="27" t="s">
        <v>241</v>
      </c>
      <c r="B80" s="27" t="s">
        <v>242</v>
      </c>
      <c r="C80" s="28" t="s">
        <v>41</v>
      </c>
      <c r="D80" s="27" t="s">
        <v>34</v>
      </c>
      <c r="E80" s="27"/>
      <c r="F80" s="29" t="s">
        <v>243</v>
      </c>
      <c r="G80" s="30" t="n">
        <v>75016</v>
      </c>
      <c r="H80" s="31" t="s">
        <v>36</v>
      </c>
      <c r="I80" s="32" t="n">
        <v>187442424</v>
      </c>
      <c r="J80" s="33" t="n">
        <v>292</v>
      </c>
      <c r="K80" s="33" t="n">
        <v>1</v>
      </c>
      <c r="L80" s="34"/>
      <c r="M80" s="35"/>
      <c r="N80" s="36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9"/>
      <c r="Z80" s="39"/>
      <c r="AA80" s="28"/>
      <c r="AMJ80" s="0"/>
    </row>
    <row r="81" s="2" customFormat="true" ht="12.75" hidden="false" customHeight="true" outlineLevel="0" collapsed="false">
      <c r="A81" s="27" t="s">
        <v>244</v>
      </c>
      <c r="B81" s="27" t="s">
        <v>245</v>
      </c>
      <c r="C81" s="28" t="s">
        <v>41</v>
      </c>
      <c r="D81" s="27" t="s">
        <v>34</v>
      </c>
      <c r="E81" s="27"/>
      <c r="F81" s="29" t="s">
        <v>243</v>
      </c>
      <c r="G81" s="30" t="n">
        <v>75016</v>
      </c>
      <c r="H81" s="31" t="s">
        <v>36</v>
      </c>
      <c r="I81" s="32" t="n">
        <v>187442424</v>
      </c>
      <c r="J81" s="33" t="n">
        <v>287</v>
      </c>
      <c r="K81" s="33" t="n">
        <v>1</v>
      </c>
      <c r="L81" s="34"/>
      <c r="M81" s="35"/>
      <c r="N81" s="36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9"/>
      <c r="Z81" s="39"/>
      <c r="AA81" s="28"/>
      <c r="AMJ81" s="0"/>
    </row>
    <row r="82" s="2" customFormat="true" ht="12.75" hidden="false" customHeight="true" outlineLevel="0" collapsed="false">
      <c r="A82" s="27" t="s">
        <v>246</v>
      </c>
      <c r="B82" s="27" t="s">
        <v>157</v>
      </c>
      <c r="C82" s="28" t="s">
        <v>138</v>
      </c>
      <c r="D82" s="27" t="s">
        <v>34</v>
      </c>
      <c r="E82" s="27"/>
      <c r="F82" s="29" t="s">
        <v>247</v>
      </c>
      <c r="G82" s="30" t="n">
        <v>75016</v>
      </c>
      <c r="H82" s="31" t="s">
        <v>36</v>
      </c>
      <c r="I82" s="32" t="n">
        <v>146475585</v>
      </c>
      <c r="J82" s="33" t="n">
        <v>69</v>
      </c>
      <c r="K82" s="33" t="n">
        <v>3</v>
      </c>
      <c r="L82" s="34"/>
      <c r="M82" s="35"/>
      <c r="N82" s="36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9"/>
      <c r="Z82" s="39"/>
      <c r="AA82" s="28"/>
      <c r="AMJ82" s="0"/>
    </row>
    <row r="83" s="2" customFormat="true" ht="12.75" hidden="false" customHeight="true" outlineLevel="0" collapsed="false">
      <c r="A83" s="27" t="s">
        <v>248</v>
      </c>
      <c r="B83" s="27" t="s">
        <v>151</v>
      </c>
      <c r="C83" s="28" t="s">
        <v>41</v>
      </c>
      <c r="D83" s="27" t="s">
        <v>34</v>
      </c>
      <c r="E83" s="27"/>
      <c r="F83" s="29" t="s">
        <v>247</v>
      </c>
      <c r="G83" s="30" t="n">
        <v>75016</v>
      </c>
      <c r="H83" s="31" t="s">
        <v>36</v>
      </c>
      <c r="I83" s="32" t="n">
        <v>142887216</v>
      </c>
      <c r="J83" s="33" t="n">
        <v>334</v>
      </c>
      <c r="K83" s="33" t="n">
        <v>1</v>
      </c>
      <c r="L83" s="34"/>
      <c r="M83" s="35"/>
      <c r="N83" s="36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9"/>
      <c r="Z83" s="39"/>
      <c r="AA83" s="28"/>
      <c r="AMJ83" s="0"/>
    </row>
    <row r="84" s="2" customFormat="true" ht="12.75" hidden="false" customHeight="true" outlineLevel="0" collapsed="false">
      <c r="A84" s="40" t="s">
        <v>249</v>
      </c>
      <c r="B84" s="27" t="s">
        <v>250</v>
      </c>
      <c r="C84" s="28" t="s">
        <v>41</v>
      </c>
      <c r="D84" s="27" t="s">
        <v>34</v>
      </c>
      <c r="E84" s="27"/>
      <c r="F84" s="29" t="s">
        <v>247</v>
      </c>
      <c r="G84" s="30" t="n">
        <v>75016</v>
      </c>
      <c r="H84" s="31" t="s">
        <v>36</v>
      </c>
      <c r="I84" s="32" t="n">
        <v>142887216</v>
      </c>
      <c r="J84" s="33" t="n">
        <v>278</v>
      </c>
      <c r="K84" s="33" t="n">
        <v>2</v>
      </c>
      <c r="L84" s="34" t="n">
        <v>1</v>
      </c>
      <c r="M84" s="43" t="s">
        <v>164</v>
      </c>
      <c r="N84" s="36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39"/>
      <c r="Z84" s="39"/>
      <c r="AA84" s="28"/>
      <c r="AMJ84" s="0"/>
    </row>
    <row r="85" s="2" customFormat="true" ht="12.75" hidden="false" customHeight="true" outlineLevel="0" collapsed="false">
      <c r="A85" s="40" t="s">
        <v>251</v>
      </c>
      <c r="B85" s="27"/>
      <c r="C85" s="3"/>
      <c r="D85" s="4" t="s">
        <v>34</v>
      </c>
      <c r="E85" s="0"/>
      <c r="F85" s="4" t="s">
        <v>252</v>
      </c>
      <c r="G85" s="5" t="n">
        <v>75016</v>
      </c>
      <c r="H85" s="5" t="s">
        <v>36</v>
      </c>
      <c r="I85" s="7"/>
      <c r="J85" s="8"/>
      <c r="K85" s="8"/>
      <c r="L85" s="9"/>
      <c r="M85" s="10"/>
      <c r="N85" s="11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3" t="n">
        <v>45195.6770833333</v>
      </c>
      <c r="Z85" s="13"/>
      <c r="AA85" s="14"/>
      <c r="AMJ85" s="0"/>
    </row>
    <row r="86" s="2" customFormat="true" ht="12.75" hidden="false" customHeight="true" outlineLevel="0" collapsed="false">
      <c r="A86" s="27" t="s">
        <v>253</v>
      </c>
      <c r="B86" s="27" t="s">
        <v>254</v>
      </c>
      <c r="C86" s="28" t="s">
        <v>41</v>
      </c>
      <c r="D86" s="27" t="s">
        <v>34</v>
      </c>
      <c r="E86" s="27" t="s">
        <v>255</v>
      </c>
      <c r="F86" s="29" t="s">
        <v>256</v>
      </c>
      <c r="G86" s="30" t="n">
        <v>75016</v>
      </c>
      <c r="H86" s="31" t="s">
        <v>36</v>
      </c>
      <c r="I86" s="32" t="n">
        <v>144496785</v>
      </c>
      <c r="J86" s="33" t="n">
        <v>289</v>
      </c>
      <c r="K86" s="33" t="n">
        <v>6</v>
      </c>
      <c r="L86" s="34"/>
      <c r="M86" s="35" t="s">
        <v>164</v>
      </c>
      <c r="N86" s="36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9"/>
      <c r="Z86" s="39"/>
      <c r="AA86" s="28"/>
      <c r="AMJ86" s="0"/>
    </row>
    <row r="87" s="2" customFormat="true" ht="12.75" hidden="false" customHeight="true" outlineLevel="0" collapsed="false">
      <c r="A87" s="40" t="s">
        <v>257</v>
      </c>
      <c r="B87" s="27" t="s">
        <v>258</v>
      </c>
      <c r="C87" s="28" t="s">
        <v>41</v>
      </c>
      <c r="D87" s="27" t="s">
        <v>34</v>
      </c>
      <c r="E87" s="27"/>
      <c r="F87" s="29" t="s">
        <v>259</v>
      </c>
      <c r="G87" s="30" t="n">
        <v>75016</v>
      </c>
      <c r="H87" s="31" t="s">
        <v>36</v>
      </c>
      <c r="I87" s="32" t="n">
        <v>145206970</v>
      </c>
      <c r="J87" s="33" t="n">
        <v>331</v>
      </c>
      <c r="K87" s="33" t="n">
        <v>25</v>
      </c>
      <c r="L87" s="34" t="n">
        <v>2</v>
      </c>
      <c r="M87" s="43" t="s">
        <v>155</v>
      </c>
      <c r="N87" s="36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39" t="n">
        <v>45127.4375</v>
      </c>
      <c r="Z87" s="39" t="n">
        <v>45202.4375</v>
      </c>
      <c r="AA87" s="28" t="n">
        <v>3</v>
      </c>
      <c r="AMJ87" s="0"/>
    </row>
    <row r="88" s="2" customFormat="true" ht="12.75" hidden="false" customHeight="true" outlineLevel="0" collapsed="false">
      <c r="A88" s="27" t="s">
        <v>260</v>
      </c>
      <c r="B88" s="27" t="s">
        <v>210</v>
      </c>
      <c r="C88" s="28" t="s">
        <v>41</v>
      </c>
      <c r="D88" s="27" t="s">
        <v>34</v>
      </c>
      <c r="E88" s="27"/>
      <c r="F88" s="29" t="s">
        <v>261</v>
      </c>
      <c r="G88" s="30" t="n">
        <v>75016</v>
      </c>
      <c r="H88" s="31" t="s">
        <v>36</v>
      </c>
      <c r="I88" s="32" t="n">
        <v>145204506</v>
      </c>
      <c r="J88" s="33" t="n">
        <v>255</v>
      </c>
      <c r="K88" s="33" t="n">
        <v>1</v>
      </c>
      <c r="L88" s="34"/>
      <c r="M88" s="35"/>
      <c r="N88" s="36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9"/>
      <c r="Z88" s="39"/>
      <c r="AA88" s="28"/>
      <c r="AMJ88" s="0"/>
    </row>
    <row r="89" s="2" customFormat="true" ht="12.75" hidden="false" customHeight="true" outlineLevel="0" collapsed="false">
      <c r="A89" s="27" t="s">
        <v>262</v>
      </c>
      <c r="B89" s="27" t="s">
        <v>263</v>
      </c>
      <c r="C89" s="28" t="s">
        <v>33</v>
      </c>
      <c r="D89" s="27" t="s">
        <v>34</v>
      </c>
      <c r="E89" s="27"/>
      <c r="F89" s="29" t="s">
        <v>264</v>
      </c>
      <c r="G89" s="30" t="n">
        <v>75016</v>
      </c>
      <c r="H89" s="31" t="s">
        <v>36</v>
      </c>
      <c r="I89" s="32" t="n">
        <v>145252556</v>
      </c>
      <c r="J89" s="33" t="n">
        <v>52</v>
      </c>
      <c r="K89" s="33" t="n">
        <v>0</v>
      </c>
      <c r="L89" s="34"/>
      <c r="M89" s="35"/>
      <c r="N89" s="36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9"/>
      <c r="Z89" s="39"/>
      <c r="AA89" s="28"/>
      <c r="AC89" s="2" t="s">
        <v>38</v>
      </c>
      <c r="AMJ89" s="0"/>
    </row>
    <row r="90" s="2" customFormat="true" ht="12.75" hidden="false" customHeight="true" outlineLevel="0" collapsed="false">
      <c r="A90" s="27" t="s">
        <v>265</v>
      </c>
      <c r="B90" s="27" t="s">
        <v>266</v>
      </c>
      <c r="C90" s="28" t="s">
        <v>41</v>
      </c>
      <c r="D90" s="27" t="s">
        <v>34</v>
      </c>
      <c r="E90" s="27"/>
      <c r="F90" s="29" t="s">
        <v>267</v>
      </c>
      <c r="G90" s="30" t="n">
        <v>75016</v>
      </c>
      <c r="H90" s="31" t="s">
        <v>36</v>
      </c>
      <c r="I90" s="32" t="n">
        <v>147430607</v>
      </c>
      <c r="J90" s="33" t="n">
        <v>304</v>
      </c>
      <c r="K90" s="33" t="n">
        <v>1</v>
      </c>
      <c r="L90" s="34"/>
      <c r="M90" s="35"/>
      <c r="N90" s="36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9"/>
      <c r="Z90" s="39"/>
      <c r="AA90" s="28"/>
      <c r="AMJ90" s="0"/>
    </row>
    <row r="91" s="2" customFormat="true" ht="12.75" hidden="false" customHeight="true" outlineLevel="0" collapsed="false">
      <c r="A91" s="27" t="s">
        <v>268</v>
      </c>
      <c r="B91" s="27" t="s">
        <v>32</v>
      </c>
      <c r="C91" s="28" t="s">
        <v>121</v>
      </c>
      <c r="D91" s="27" t="s">
        <v>34</v>
      </c>
      <c r="E91" s="27"/>
      <c r="F91" s="29" t="s">
        <v>269</v>
      </c>
      <c r="G91" s="30" t="n">
        <v>75016</v>
      </c>
      <c r="H91" s="31" t="s">
        <v>36</v>
      </c>
      <c r="I91" s="32" t="n">
        <v>134442820</v>
      </c>
      <c r="J91" s="33" t="n">
        <v>96</v>
      </c>
      <c r="K91" s="33" t="n">
        <v>2</v>
      </c>
      <c r="L91" s="34"/>
      <c r="M91" s="35"/>
      <c r="N91" s="36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9"/>
      <c r="Z91" s="39"/>
      <c r="AA91" s="28"/>
      <c r="AMJ91" s="0"/>
    </row>
    <row r="92" s="2" customFormat="true" ht="12.75" hidden="false" customHeight="true" outlineLevel="0" collapsed="false">
      <c r="A92" s="27" t="s">
        <v>270</v>
      </c>
      <c r="B92" s="27" t="s">
        <v>271</v>
      </c>
      <c r="C92" s="28" t="s">
        <v>121</v>
      </c>
      <c r="D92" s="27" t="s">
        <v>34</v>
      </c>
      <c r="E92" s="27"/>
      <c r="F92" s="29" t="s">
        <v>269</v>
      </c>
      <c r="G92" s="30" t="n">
        <v>75016</v>
      </c>
      <c r="H92" s="31" t="s">
        <v>36</v>
      </c>
      <c r="I92" s="32" t="n">
        <v>147430708</v>
      </c>
      <c r="J92" s="33" t="n">
        <v>77</v>
      </c>
      <c r="K92" s="33" t="n">
        <v>2</v>
      </c>
      <c r="L92" s="34"/>
      <c r="M92" s="35"/>
      <c r="N92" s="36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9"/>
      <c r="Z92" s="39"/>
      <c r="AA92" s="28"/>
      <c r="AMJ92" s="0"/>
    </row>
    <row r="93" s="2" customFormat="true" ht="12.75" hidden="false" customHeight="true" outlineLevel="0" collapsed="false">
      <c r="A93" s="27" t="s">
        <v>272</v>
      </c>
      <c r="B93" s="27" t="s">
        <v>273</v>
      </c>
      <c r="C93" s="28" t="s">
        <v>41</v>
      </c>
      <c r="D93" s="27" t="s">
        <v>34</v>
      </c>
      <c r="E93" s="27"/>
      <c r="F93" s="29" t="s">
        <v>274</v>
      </c>
      <c r="G93" s="30" t="n">
        <v>75016</v>
      </c>
      <c r="H93" s="31" t="s">
        <v>36</v>
      </c>
      <c r="I93" s="32" t="n">
        <v>145251663</v>
      </c>
      <c r="J93" s="33" t="n">
        <v>81</v>
      </c>
      <c r="K93" s="33" t="n">
        <v>1</v>
      </c>
      <c r="L93" s="34"/>
      <c r="M93" s="35"/>
      <c r="N93" s="36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9"/>
      <c r="Z93" s="39"/>
      <c r="AA93" s="28"/>
      <c r="AMJ93" s="0"/>
    </row>
    <row r="94" s="2" customFormat="true" ht="12.75" hidden="false" customHeight="true" outlineLevel="0" collapsed="false">
      <c r="A94" s="27" t="s">
        <v>275</v>
      </c>
      <c r="B94" s="27" t="s">
        <v>53</v>
      </c>
      <c r="C94" s="28" t="s">
        <v>33</v>
      </c>
      <c r="D94" s="27" t="s">
        <v>34</v>
      </c>
      <c r="E94" s="27"/>
      <c r="F94" s="29" t="s">
        <v>274</v>
      </c>
      <c r="G94" s="30" t="n">
        <v>75016</v>
      </c>
      <c r="H94" s="31" t="s">
        <v>36</v>
      </c>
      <c r="I94" s="32" t="n">
        <v>145251663</v>
      </c>
      <c r="J94" s="33" t="n">
        <v>51</v>
      </c>
      <c r="K94" s="33" t="n">
        <v>1</v>
      </c>
      <c r="L94" s="34"/>
      <c r="M94" s="35"/>
      <c r="N94" s="36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9"/>
      <c r="Z94" s="39"/>
      <c r="AA94" s="28"/>
      <c r="AC94" s="2" t="s">
        <v>38</v>
      </c>
      <c r="AMJ94" s="0"/>
    </row>
    <row r="95" s="2" customFormat="true" ht="12.75" hidden="false" customHeight="true" outlineLevel="0" collapsed="false">
      <c r="A95" s="27" t="s">
        <v>276</v>
      </c>
      <c r="B95" s="27" t="s">
        <v>277</v>
      </c>
      <c r="C95" s="28" t="s">
        <v>41</v>
      </c>
      <c r="D95" s="27" t="s">
        <v>34</v>
      </c>
      <c r="E95" s="27"/>
      <c r="F95" s="29" t="s">
        <v>278</v>
      </c>
      <c r="G95" s="30" t="n">
        <v>75016</v>
      </c>
      <c r="H95" s="31" t="s">
        <v>36</v>
      </c>
      <c r="I95" s="32" t="n">
        <v>142240068</v>
      </c>
      <c r="J95" s="33" t="n">
        <v>268</v>
      </c>
      <c r="K95" s="33" t="n">
        <v>1</v>
      </c>
      <c r="L95" s="34"/>
      <c r="M95" s="35"/>
      <c r="N95" s="36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9"/>
      <c r="Z95" s="39"/>
      <c r="AA95" s="28"/>
      <c r="AMJ95" s="0"/>
    </row>
    <row r="96" s="2" customFormat="true" ht="12.75" hidden="false" customHeight="true" outlineLevel="0" collapsed="false">
      <c r="A96" s="27" t="s">
        <v>279</v>
      </c>
      <c r="B96" s="27" t="s">
        <v>280</v>
      </c>
      <c r="C96" s="28" t="s">
        <v>113</v>
      </c>
      <c r="D96" s="27" t="s">
        <v>34</v>
      </c>
      <c r="E96" s="27"/>
      <c r="F96" s="29" t="s">
        <v>281</v>
      </c>
      <c r="G96" s="30" t="n">
        <v>75016</v>
      </c>
      <c r="H96" s="31" t="s">
        <v>36</v>
      </c>
      <c r="I96" s="32" t="n">
        <v>140718179</v>
      </c>
      <c r="J96" s="33" t="n">
        <v>51</v>
      </c>
      <c r="K96" s="33" t="n">
        <v>0</v>
      </c>
      <c r="L96" s="34"/>
      <c r="M96" s="35"/>
      <c r="N96" s="36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9"/>
      <c r="Z96" s="39"/>
      <c r="AA96" s="28"/>
      <c r="AMJ96" s="0"/>
    </row>
    <row r="97" s="2" customFormat="true" ht="12.75" hidden="false" customHeight="true" outlineLevel="0" collapsed="false">
      <c r="A97" s="27" t="s">
        <v>282</v>
      </c>
      <c r="B97" s="27" t="s">
        <v>127</v>
      </c>
      <c r="C97" s="28" t="s">
        <v>41</v>
      </c>
      <c r="D97" s="27" t="s">
        <v>34</v>
      </c>
      <c r="E97" s="27"/>
      <c r="F97" s="29" t="s">
        <v>283</v>
      </c>
      <c r="G97" s="30" t="n">
        <v>75016</v>
      </c>
      <c r="H97" s="31" t="s">
        <v>36</v>
      </c>
      <c r="I97" s="32" t="n">
        <v>146510564</v>
      </c>
      <c r="J97" s="33" t="n">
        <v>196</v>
      </c>
      <c r="K97" s="33" t="n">
        <v>1</v>
      </c>
      <c r="L97" s="34"/>
      <c r="M97" s="35"/>
      <c r="N97" s="36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9"/>
      <c r="Z97" s="39"/>
      <c r="AA97" s="28"/>
      <c r="AMJ97" s="0"/>
    </row>
    <row r="98" s="2" customFormat="true" ht="12.75" hidden="false" customHeight="true" outlineLevel="0" collapsed="false">
      <c r="A98" s="40" t="s">
        <v>284</v>
      </c>
      <c r="B98" s="27" t="s">
        <v>285</v>
      </c>
      <c r="C98" s="28" t="s">
        <v>41</v>
      </c>
      <c r="D98" s="27" t="s">
        <v>34</v>
      </c>
      <c r="E98" s="27"/>
      <c r="F98" s="29" t="s">
        <v>286</v>
      </c>
      <c r="G98" s="30" t="n">
        <v>75016</v>
      </c>
      <c r="H98" s="31" t="s">
        <v>36</v>
      </c>
      <c r="I98" s="32" t="n">
        <v>145270666</v>
      </c>
      <c r="J98" s="33" t="n">
        <v>332</v>
      </c>
      <c r="K98" s="33" t="n">
        <v>10</v>
      </c>
      <c r="L98" s="34" t="n">
        <v>2</v>
      </c>
      <c r="M98" s="35" t="s">
        <v>164</v>
      </c>
      <c r="N98" s="36"/>
      <c r="O98" s="41"/>
      <c r="P98" s="41"/>
      <c r="Q98" s="41"/>
      <c r="R98" s="41" t="s">
        <v>104</v>
      </c>
      <c r="S98" s="41"/>
      <c r="T98" s="41" t="s">
        <v>104</v>
      </c>
      <c r="U98" s="41"/>
      <c r="V98" s="41" t="s">
        <v>104</v>
      </c>
      <c r="W98" s="41"/>
      <c r="X98" s="41"/>
      <c r="Y98" s="39"/>
      <c r="Z98" s="39"/>
      <c r="AA98" s="28" t="n">
        <v>3</v>
      </c>
      <c r="AMJ98" s="0"/>
    </row>
    <row r="99" s="2" customFormat="true" ht="12.75" hidden="false" customHeight="true" outlineLevel="0" collapsed="false">
      <c r="A99" s="27" t="s">
        <v>287</v>
      </c>
      <c r="B99" s="27" t="s">
        <v>288</v>
      </c>
      <c r="C99" s="28" t="s">
        <v>41</v>
      </c>
      <c r="D99" s="27" t="s">
        <v>34</v>
      </c>
      <c r="E99" s="27"/>
      <c r="F99" s="29" t="s">
        <v>289</v>
      </c>
      <c r="G99" s="30" t="n">
        <v>75016</v>
      </c>
      <c r="H99" s="31" t="s">
        <v>36</v>
      </c>
      <c r="I99" s="32" t="n">
        <v>145456601</v>
      </c>
      <c r="J99" s="33" t="n">
        <v>221</v>
      </c>
      <c r="K99" s="33" t="n">
        <v>3</v>
      </c>
      <c r="L99" s="34"/>
      <c r="M99" s="35"/>
      <c r="N99" s="36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9"/>
      <c r="Z99" s="39"/>
      <c r="AA99" s="28"/>
      <c r="AMJ99" s="0"/>
    </row>
    <row r="100" s="2" customFormat="true" ht="12.75" hidden="false" customHeight="true" outlineLevel="0" collapsed="false">
      <c r="A100" s="27" t="s">
        <v>290</v>
      </c>
      <c r="B100" s="27" t="s">
        <v>291</v>
      </c>
      <c r="C100" s="28" t="s">
        <v>41</v>
      </c>
      <c r="D100" s="27" t="s">
        <v>34</v>
      </c>
      <c r="E100" s="27"/>
      <c r="F100" s="29" t="s">
        <v>289</v>
      </c>
      <c r="G100" s="30" t="n">
        <v>75016</v>
      </c>
      <c r="H100" s="31" t="s">
        <v>36</v>
      </c>
      <c r="I100" s="32" t="n">
        <v>145456601</v>
      </c>
      <c r="J100" s="33" t="n">
        <v>171</v>
      </c>
      <c r="K100" s="33" t="n">
        <v>1</v>
      </c>
      <c r="L100" s="34"/>
      <c r="M100" s="35"/>
      <c r="N100" s="36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9"/>
      <c r="Z100" s="39"/>
      <c r="AA100" s="28"/>
      <c r="AMJ100" s="0"/>
    </row>
    <row r="101" s="2" customFormat="true" ht="12.75" hidden="false" customHeight="true" outlineLevel="0" collapsed="false">
      <c r="A101" s="27" t="s">
        <v>292</v>
      </c>
      <c r="B101" s="27" t="s">
        <v>293</v>
      </c>
      <c r="C101" s="28" t="s">
        <v>41</v>
      </c>
      <c r="D101" s="27" t="s">
        <v>34</v>
      </c>
      <c r="E101" s="27"/>
      <c r="F101" s="29" t="s">
        <v>294</v>
      </c>
      <c r="G101" s="30" t="n">
        <v>75016</v>
      </c>
      <c r="H101" s="31" t="s">
        <v>36</v>
      </c>
      <c r="I101" s="32" t="n">
        <v>146476396</v>
      </c>
      <c r="J101" s="33" t="n">
        <v>209</v>
      </c>
      <c r="K101" s="33" t="n">
        <v>2</v>
      </c>
      <c r="L101" s="34"/>
      <c r="M101" s="35"/>
      <c r="N101" s="36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9"/>
      <c r="Z101" s="39"/>
      <c r="AA101" s="28"/>
      <c r="AMJ101" s="0"/>
    </row>
    <row r="102" s="2" customFormat="true" ht="12.75" hidden="false" customHeight="true" outlineLevel="0" collapsed="false">
      <c r="A102" s="27" t="s">
        <v>295</v>
      </c>
      <c r="B102" s="27" t="s">
        <v>55</v>
      </c>
      <c r="C102" s="28" t="s">
        <v>41</v>
      </c>
      <c r="D102" s="27" t="s">
        <v>34</v>
      </c>
      <c r="E102" s="27"/>
      <c r="F102" s="29" t="s">
        <v>294</v>
      </c>
      <c r="G102" s="30" t="n">
        <v>75016</v>
      </c>
      <c r="H102" s="31" t="s">
        <v>36</v>
      </c>
      <c r="I102" s="32" t="n">
        <v>146476396</v>
      </c>
      <c r="J102" s="33" t="n">
        <v>0</v>
      </c>
      <c r="K102" s="33" t="n">
        <v>1</v>
      </c>
      <c r="L102" s="34"/>
      <c r="M102" s="35"/>
      <c r="N102" s="36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9"/>
      <c r="Z102" s="39"/>
      <c r="AA102" s="28"/>
      <c r="AMJ102" s="0"/>
    </row>
    <row r="103" s="2" customFormat="true" ht="12.75" hidden="false" customHeight="true" outlineLevel="0" collapsed="false">
      <c r="A103" s="27" t="s">
        <v>296</v>
      </c>
      <c r="B103" s="27" t="s">
        <v>297</v>
      </c>
      <c r="C103" s="28" t="s">
        <v>41</v>
      </c>
      <c r="D103" s="27" t="s">
        <v>34</v>
      </c>
      <c r="E103" s="27"/>
      <c r="F103" s="29" t="s">
        <v>294</v>
      </c>
      <c r="G103" s="30" t="n">
        <v>75016</v>
      </c>
      <c r="H103" s="31" t="s">
        <v>36</v>
      </c>
      <c r="I103" s="32" t="n">
        <v>146476396</v>
      </c>
      <c r="J103" s="33"/>
      <c r="K103" s="33" t="n">
        <v>1</v>
      </c>
      <c r="L103" s="34"/>
      <c r="M103" s="35"/>
      <c r="N103" s="36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9"/>
      <c r="Z103" s="39"/>
      <c r="AA103" s="28"/>
      <c r="AMJ103" s="0"/>
    </row>
    <row r="104" s="2" customFormat="true" ht="12.75" hidden="false" customHeight="true" outlineLevel="0" collapsed="false">
      <c r="A104" s="27" t="s">
        <v>298</v>
      </c>
      <c r="B104" s="27" t="s">
        <v>299</v>
      </c>
      <c r="C104" s="28" t="s">
        <v>41</v>
      </c>
      <c r="D104" s="27" t="s">
        <v>34</v>
      </c>
      <c r="E104" s="27"/>
      <c r="F104" s="29" t="s">
        <v>300</v>
      </c>
      <c r="G104" s="30" t="n">
        <v>75016</v>
      </c>
      <c r="H104" s="31" t="s">
        <v>36</v>
      </c>
      <c r="I104" s="32" t="n">
        <v>142245030</v>
      </c>
      <c r="J104" s="33" t="n">
        <v>287</v>
      </c>
      <c r="K104" s="33" t="n">
        <v>3</v>
      </c>
      <c r="L104" s="34"/>
      <c r="M104" s="35"/>
      <c r="N104" s="36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9"/>
      <c r="Z104" s="39"/>
      <c r="AA104" s="28"/>
      <c r="AMJ104" s="0"/>
    </row>
    <row r="105" s="2" customFormat="true" ht="12.75" hidden="false" customHeight="true" outlineLevel="0" collapsed="false">
      <c r="A105" s="27" t="s">
        <v>301</v>
      </c>
      <c r="B105" s="27" t="s">
        <v>151</v>
      </c>
      <c r="C105" s="28" t="s">
        <v>41</v>
      </c>
      <c r="D105" s="27" t="s">
        <v>34</v>
      </c>
      <c r="E105" s="27"/>
      <c r="F105" s="29" t="s">
        <v>302</v>
      </c>
      <c r="G105" s="30" t="n">
        <v>75016</v>
      </c>
      <c r="H105" s="31" t="s">
        <v>36</v>
      </c>
      <c r="I105" s="32"/>
      <c r="J105" s="33" t="n">
        <v>274</v>
      </c>
      <c r="K105" s="33" t="n">
        <v>1</v>
      </c>
      <c r="L105" s="34"/>
      <c r="M105" s="35"/>
      <c r="N105" s="36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9"/>
      <c r="Z105" s="39"/>
      <c r="AA105" s="28"/>
      <c r="AMJ105" s="0"/>
    </row>
    <row r="106" s="2" customFormat="true" ht="12.75" hidden="false" customHeight="true" outlineLevel="0" collapsed="false">
      <c r="A106" s="27" t="s">
        <v>303</v>
      </c>
      <c r="B106" s="27" t="s">
        <v>304</v>
      </c>
      <c r="C106" s="28" t="s">
        <v>77</v>
      </c>
      <c r="D106" s="27" t="s">
        <v>34</v>
      </c>
      <c r="E106" s="27"/>
      <c r="F106" s="29" t="s">
        <v>302</v>
      </c>
      <c r="G106" s="30" t="n">
        <v>75016</v>
      </c>
      <c r="H106" s="31" t="s">
        <v>36</v>
      </c>
      <c r="I106" s="32" t="n">
        <v>142154245</v>
      </c>
      <c r="J106" s="33" t="n">
        <v>838</v>
      </c>
      <c r="K106" s="33" t="n">
        <v>1</v>
      </c>
      <c r="L106" s="34"/>
      <c r="M106" s="35"/>
      <c r="N106" s="36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9"/>
      <c r="Z106" s="39"/>
      <c r="AA106" s="28"/>
      <c r="AMJ106" s="0"/>
    </row>
    <row r="107" s="2" customFormat="true" ht="12.75" hidden="false" customHeight="true" outlineLevel="0" collapsed="false">
      <c r="A107" s="27" t="s">
        <v>305</v>
      </c>
      <c r="B107" s="27" t="s">
        <v>306</v>
      </c>
      <c r="C107" s="28" t="s">
        <v>77</v>
      </c>
      <c r="D107" s="27" t="s">
        <v>34</v>
      </c>
      <c r="E107" s="27"/>
      <c r="F107" s="29" t="s">
        <v>302</v>
      </c>
      <c r="G107" s="30" t="n">
        <v>75016</v>
      </c>
      <c r="H107" s="31" t="s">
        <v>36</v>
      </c>
      <c r="I107" s="32" t="n">
        <v>142154245</v>
      </c>
      <c r="J107" s="33" t="n">
        <v>563</v>
      </c>
      <c r="K107" s="33" t="n">
        <v>1</v>
      </c>
      <c r="L107" s="34"/>
      <c r="M107" s="35"/>
      <c r="N107" s="36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9"/>
      <c r="Z107" s="39"/>
      <c r="AA107" s="28"/>
      <c r="AMJ107" s="0"/>
    </row>
    <row r="108" s="2" customFormat="true" ht="12.75" hidden="false" customHeight="true" outlineLevel="0" collapsed="false">
      <c r="A108" s="27" t="s">
        <v>307</v>
      </c>
      <c r="B108" s="27" t="s">
        <v>229</v>
      </c>
      <c r="C108" s="28" t="s">
        <v>77</v>
      </c>
      <c r="D108" s="27" t="s">
        <v>34</v>
      </c>
      <c r="E108" s="27"/>
      <c r="F108" s="29" t="s">
        <v>302</v>
      </c>
      <c r="G108" s="30" t="n">
        <v>75016</v>
      </c>
      <c r="H108" s="31" t="s">
        <v>36</v>
      </c>
      <c r="I108" s="32" t="n">
        <v>142154245</v>
      </c>
      <c r="J108" s="33" t="n">
        <v>184</v>
      </c>
      <c r="K108" s="33" t="n">
        <v>1</v>
      </c>
      <c r="L108" s="34"/>
      <c r="M108" s="35"/>
      <c r="N108" s="36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9"/>
      <c r="Z108" s="39"/>
      <c r="AA108" s="28"/>
      <c r="AMJ108" s="0"/>
    </row>
    <row r="109" s="2" customFormat="true" ht="12.75" hidden="false" customHeight="true" outlineLevel="0" collapsed="false">
      <c r="A109" s="27" t="s">
        <v>308</v>
      </c>
      <c r="B109" s="27" t="s">
        <v>309</v>
      </c>
      <c r="C109" s="28" t="s">
        <v>113</v>
      </c>
      <c r="D109" s="27" t="s">
        <v>34</v>
      </c>
      <c r="E109" s="27"/>
      <c r="F109" s="29" t="s">
        <v>310</v>
      </c>
      <c r="G109" s="30" t="n">
        <v>75016</v>
      </c>
      <c r="H109" s="31" t="s">
        <v>36</v>
      </c>
      <c r="I109" s="32"/>
      <c r="J109" s="33" t="n">
        <v>52</v>
      </c>
      <c r="K109" s="33" t="n">
        <v>0</v>
      </c>
      <c r="L109" s="34"/>
      <c r="M109" s="35"/>
      <c r="N109" s="36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9"/>
      <c r="Z109" s="39"/>
      <c r="AA109" s="28"/>
      <c r="AMJ109" s="0"/>
    </row>
    <row r="110" s="2" customFormat="true" ht="12.75" hidden="false" customHeight="true" outlineLevel="0" collapsed="false">
      <c r="A110" s="27" t="s">
        <v>311</v>
      </c>
      <c r="B110" s="27" t="s">
        <v>237</v>
      </c>
      <c r="C110" s="28" t="s">
        <v>41</v>
      </c>
      <c r="D110" s="27" t="s">
        <v>34</v>
      </c>
      <c r="E110" s="27"/>
      <c r="F110" s="29" t="s">
        <v>312</v>
      </c>
      <c r="G110" s="30" t="n">
        <v>75016</v>
      </c>
      <c r="H110" s="31" t="s">
        <v>36</v>
      </c>
      <c r="I110" s="32" t="n">
        <v>140603830</v>
      </c>
      <c r="J110" s="33" t="n">
        <v>142</v>
      </c>
      <c r="K110" s="33" t="n">
        <v>1</v>
      </c>
      <c r="L110" s="34"/>
      <c r="M110" s="35"/>
      <c r="N110" s="36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9"/>
      <c r="Z110" s="39"/>
      <c r="AA110" s="28"/>
      <c r="AMJ110" s="0"/>
    </row>
    <row r="111" s="2" customFormat="true" ht="12.75" hidden="false" customHeight="true" outlineLevel="0" collapsed="false">
      <c r="A111" s="27" t="s">
        <v>313</v>
      </c>
      <c r="B111" s="27" t="s">
        <v>314</v>
      </c>
      <c r="C111" s="28" t="s">
        <v>138</v>
      </c>
      <c r="D111" s="27" t="s">
        <v>34</v>
      </c>
      <c r="E111" s="27"/>
      <c r="F111" s="29" t="s">
        <v>315</v>
      </c>
      <c r="G111" s="30" t="n">
        <v>75016</v>
      </c>
      <c r="H111" s="31" t="s">
        <v>36</v>
      </c>
      <c r="I111" s="32" t="n">
        <v>146511619</v>
      </c>
      <c r="J111" s="33" t="n">
        <v>220</v>
      </c>
      <c r="K111" s="33" t="n">
        <v>1</v>
      </c>
      <c r="L111" s="34"/>
      <c r="M111" s="35"/>
      <c r="N111" s="36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9"/>
      <c r="Z111" s="39"/>
      <c r="AA111" s="28"/>
      <c r="AMJ111" s="0"/>
    </row>
    <row r="112" s="2" customFormat="true" ht="12.75" hidden="false" customHeight="true" outlineLevel="0" collapsed="false">
      <c r="A112" s="27" t="s">
        <v>316</v>
      </c>
      <c r="B112" s="27" t="s">
        <v>317</v>
      </c>
      <c r="C112" s="28" t="s">
        <v>41</v>
      </c>
      <c r="D112" s="27" t="s">
        <v>34</v>
      </c>
      <c r="E112" s="27"/>
      <c r="F112" s="29" t="s">
        <v>318</v>
      </c>
      <c r="G112" s="30" t="n">
        <v>75016</v>
      </c>
      <c r="H112" s="31" t="s">
        <v>36</v>
      </c>
      <c r="I112" s="32" t="n">
        <v>142500261</v>
      </c>
      <c r="J112" s="33" t="n">
        <v>69</v>
      </c>
      <c r="K112" s="33" t="n">
        <v>1</v>
      </c>
      <c r="L112" s="34"/>
      <c r="M112" s="35"/>
      <c r="N112" s="36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9"/>
      <c r="Z112" s="39"/>
      <c r="AA112" s="28"/>
      <c r="AMJ112" s="0"/>
    </row>
    <row r="113" s="2" customFormat="true" ht="12.75" hidden="false" customHeight="true" outlineLevel="0" collapsed="false">
      <c r="A113" s="40" t="s">
        <v>319</v>
      </c>
      <c r="B113" s="27" t="s">
        <v>106</v>
      </c>
      <c r="C113" s="28" t="s">
        <v>41</v>
      </c>
      <c r="D113" s="27" t="s">
        <v>34</v>
      </c>
      <c r="E113" s="27"/>
      <c r="F113" s="29" t="s">
        <v>320</v>
      </c>
      <c r="G113" s="30" t="n">
        <v>75016</v>
      </c>
      <c r="H113" s="31" t="s">
        <v>36</v>
      </c>
      <c r="I113" s="32" t="n">
        <v>146519537</v>
      </c>
      <c r="J113" s="33" t="n">
        <v>329</v>
      </c>
      <c r="K113" s="33" t="n">
        <v>9</v>
      </c>
      <c r="L113" s="34" t="n">
        <v>1</v>
      </c>
      <c r="M113" s="35" t="s">
        <v>321</v>
      </c>
      <c r="N113" s="36" t="s">
        <v>322</v>
      </c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39" t="n">
        <v>45111.5</v>
      </c>
      <c r="Z113" s="39"/>
      <c r="AA113" s="28" t="n">
        <v>2</v>
      </c>
      <c r="AMJ113" s="0"/>
    </row>
    <row r="114" s="2" customFormat="true" ht="12.75" hidden="false" customHeight="true" outlineLevel="0" collapsed="false">
      <c r="A114" s="27" t="s">
        <v>323</v>
      </c>
      <c r="B114" s="27" t="s">
        <v>324</v>
      </c>
      <c r="C114" s="28" t="s">
        <v>121</v>
      </c>
      <c r="D114" s="27" t="s">
        <v>34</v>
      </c>
      <c r="E114" s="27"/>
      <c r="F114" s="29" t="s">
        <v>325</v>
      </c>
      <c r="G114" s="30" t="n">
        <v>75016</v>
      </c>
      <c r="H114" s="31" t="s">
        <v>36</v>
      </c>
      <c r="I114" s="32" t="n">
        <v>140710510</v>
      </c>
      <c r="J114" s="33" t="n">
        <v>88</v>
      </c>
      <c r="K114" s="33" t="n">
        <v>2</v>
      </c>
      <c r="L114" s="34"/>
      <c r="M114" s="35"/>
      <c r="N114" s="36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9"/>
      <c r="Z114" s="39"/>
      <c r="AA114" s="28"/>
      <c r="AMJ114" s="0"/>
    </row>
    <row r="115" s="2" customFormat="true" ht="12.75" hidden="false" customHeight="true" outlineLevel="0" collapsed="false">
      <c r="A115" s="27" t="s">
        <v>326</v>
      </c>
      <c r="B115" s="27" t="s">
        <v>187</v>
      </c>
      <c r="C115" s="28" t="s">
        <v>41</v>
      </c>
      <c r="D115" s="27" t="s">
        <v>34</v>
      </c>
      <c r="E115" s="27"/>
      <c r="F115" s="29" t="s">
        <v>327</v>
      </c>
      <c r="G115" s="30" t="n">
        <v>75016</v>
      </c>
      <c r="H115" s="31" t="s">
        <v>36</v>
      </c>
      <c r="I115" s="32" t="n">
        <v>145245573</v>
      </c>
      <c r="J115" s="33" t="n">
        <v>380</v>
      </c>
      <c r="K115" s="33" t="n">
        <v>11</v>
      </c>
      <c r="L115" s="34"/>
      <c r="M115" s="35"/>
      <c r="N115" s="36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9" t="n">
        <v>45106.375</v>
      </c>
      <c r="Z115" s="39"/>
      <c r="AA115" s="28"/>
      <c r="AMJ115" s="0"/>
    </row>
    <row r="116" s="2" customFormat="true" ht="12.75" hidden="false" customHeight="true" outlineLevel="0" collapsed="false">
      <c r="A116" s="27" t="s">
        <v>328</v>
      </c>
      <c r="B116" s="27" t="s">
        <v>329</v>
      </c>
      <c r="C116" s="28" t="s">
        <v>41</v>
      </c>
      <c r="D116" s="27" t="s">
        <v>34</v>
      </c>
      <c r="E116" s="27"/>
      <c r="F116" s="29" t="s">
        <v>330</v>
      </c>
      <c r="G116" s="30" t="n">
        <v>75016</v>
      </c>
      <c r="H116" s="31" t="s">
        <v>36</v>
      </c>
      <c r="I116" s="32" t="n">
        <v>142887214</v>
      </c>
      <c r="J116" s="33" t="n">
        <v>320</v>
      </c>
      <c r="K116" s="33" t="n">
        <v>16</v>
      </c>
      <c r="L116" s="34"/>
      <c r="M116" s="35" t="s">
        <v>155</v>
      </c>
      <c r="N116" s="36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9"/>
      <c r="Z116" s="39" t="n">
        <v>45279.5833333333</v>
      </c>
      <c r="AA116" s="28" t="n">
        <v>3</v>
      </c>
      <c r="AMJ116" s="0"/>
    </row>
    <row r="117" s="2" customFormat="true" ht="12.75" hidden="false" customHeight="true" outlineLevel="0" collapsed="false">
      <c r="A117" s="27" t="s">
        <v>331</v>
      </c>
      <c r="B117" s="27" t="s">
        <v>332</v>
      </c>
      <c r="C117" s="28" t="s">
        <v>41</v>
      </c>
      <c r="D117" s="27" t="s">
        <v>34</v>
      </c>
      <c r="E117" s="27"/>
      <c r="F117" s="29" t="s">
        <v>333</v>
      </c>
      <c r="G117" s="30" t="n">
        <v>75016</v>
      </c>
      <c r="H117" s="31" t="s">
        <v>36</v>
      </c>
      <c r="I117" s="32" t="n">
        <v>145256600</v>
      </c>
      <c r="J117" s="33" t="n">
        <v>254</v>
      </c>
      <c r="K117" s="33" t="n">
        <v>4</v>
      </c>
      <c r="L117" s="34"/>
      <c r="M117" s="35"/>
      <c r="N117" s="36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9"/>
      <c r="Z117" s="39"/>
      <c r="AA117" s="28"/>
      <c r="AMJ117" s="0"/>
    </row>
    <row r="118" s="2" customFormat="true" ht="12.75" hidden="false" customHeight="true" outlineLevel="0" collapsed="false">
      <c r="A118" s="27" t="s">
        <v>334</v>
      </c>
      <c r="B118" s="27" t="s">
        <v>335</v>
      </c>
      <c r="C118" s="28" t="s">
        <v>121</v>
      </c>
      <c r="D118" s="27" t="s">
        <v>34</v>
      </c>
      <c r="E118" s="27"/>
      <c r="F118" s="29" t="s">
        <v>336</v>
      </c>
      <c r="G118" s="30" t="n">
        <v>75016</v>
      </c>
      <c r="H118" s="31" t="s">
        <v>36</v>
      </c>
      <c r="I118" s="32"/>
      <c r="J118" s="33" t="n">
        <v>174</v>
      </c>
      <c r="K118" s="33" t="n">
        <v>4</v>
      </c>
      <c r="L118" s="34"/>
      <c r="M118" s="35"/>
      <c r="N118" s="36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9"/>
      <c r="Z118" s="39"/>
      <c r="AA118" s="28"/>
      <c r="AMJ118" s="0"/>
    </row>
    <row r="119" s="2" customFormat="true" ht="12.75" hidden="false" customHeight="true" outlineLevel="0" collapsed="false">
      <c r="A119" s="27" t="s">
        <v>337</v>
      </c>
      <c r="B119" s="27" t="s">
        <v>106</v>
      </c>
      <c r="C119" s="28" t="s">
        <v>41</v>
      </c>
      <c r="D119" s="27" t="s">
        <v>34</v>
      </c>
      <c r="E119" s="27"/>
      <c r="F119" s="29" t="s">
        <v>338</v>
      </c>
      <c r="G119" s="30" t="n">
        <v>75016</v>
      </c>
      <c r="H119" s="31" t="s">
        <v>36</v>
      </c>
      <c r="I119" s="32" t="n">
        <v>142940600</v>
      </c>
      <c r="J119" s="33" t="n">
        <v>295</v>
      </c>
      <c r="K119" s="33" t="n">
        <v>0</v>
      </c>
      <c r="L119" s="34"/>
      <c r="M119" s="35"/>
      <c r="N119" s="36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9"/>
      <c r="Z119" s="39"/>
      <c r="AA119" s="28"/>
      <c r="AMJ119" s="0"/>
    </row>
    <row r="120" s="2" customFormat="true" ht="12.75" hidden="false" customHeight="true" outlineLevel="0" collapsed="false">
      <c r="A120" s="27" t="s">
        <v>339</v>
      </c>
      <c r="B120" s="27" t="s">
        <v>340</v>
      </c>
      <c r="C120" s="28" t="s">
        <v>41</v>
      </c>
      <c r="D120" s="27" t="s">
        <v>34</v>
      </c>
      <c r="E120" s="27" t="s">
        <v>341</v>
      </c>
      <c r="F120" s="29" t="s">
        <v>342</v>
      </c>
      <c r="G120" s="30" t="n">
        <v>75016</v>
      </c>
      <c r="H120" s="31" t="s">
        <v>36</v>
      </c>
      <c r="I120" s="32" t="n">
        <v>140712459</v>
      </c>
      <c r="J120" s="33" t="n">
        <v>271</v>
      </c>
      <c r="K120" s="33" t="n">
        <v>2</v>
      </c>
      <c r="L120" s="34"/>
      <c r="M120" s="35"/>
      <c r="N120" s="36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9"/>
      <c r="Z120" s="39"/>
      <c r="AA120" s="28"/>
      <c r="AMJ120" s="0"/>
    </row>
    <row r="121" s="2" customFormat="true" ht="12.75" hidden="false" customHeight="true" outlineLevel="0" collapsed="false">
      <c r="A121" s="27" t="s">
        <v>343</v>
      </c>
      <c r="B121" s="27" t="s">
        <v>344</v>
      </c>
      <c r="C121" s="28" t="s">
        <v>41</v>
      </c>
      <c r="D121" s="27" t="s">
        <v>34</v>
      </c>
      <c r="E121" s="27" t="s">
        <v>341</v>
      </c>
      <c r="F121" s="29" t="s">
        <v>342</v>
      </c>
      <c r="G121" s="30" t="n">
        <v>75016</v>
      </c>
      <c r="H121" s="31" t="s">
        <v>36</v>
      </c>
      <c r="I121" s="32"/>
      <c r="J121" s="33" t="n">
        <v>233</v>
      </c>
      <c r="K121" s="33" t="n">
        <v>3</v>
      </c>
      <c r="L121" s="34"/>
      <c r="M121" s="35"/>
      <c r="N121" s="36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9"/>
      <c r="Z121" s="39"/>
      <c r="AA121" s="28"/>
      <c r="AMJ121" s="0"/>
    </row>
    <row r="122" s="2" customFormat="true" ht="12.75" hidden="false" customHeight="true" outlineLevel="0" collapsed="false">
      <c r="A122" s="27" t="s">
        <v>345</v>
      </c>
      <c r="B122" s="27" t="s">
        <v>53</v>
      </c>
      <c r="C122" s="28" t="s">
        <v>41</v>
      </c>
      <c r="D122" s="27" t="s">
        <v>34</v>
      </c>
      <c r="E122" s="27" t="s">
        <v>341</v>
      </c>
      <c r="F122" s="29" t="s">
        <v>342</v>
      </c>
      <c r="G122" s="30" t="n">
        <v>75016</v>
      </c>
      <c r="H122" s="31" t="s">
        <v>36</v>
      </c>
      <c r="I122" s="32" t="n">
        <v>140712459</v>
      </c>
      <c r="J122" s="33" t="n">
        <v>228</v>
      </c>
      <c r="K122" s="33" t="n">
        <v>1</v>
      </c>
      <c r="L122" s="34"/>
      <c r="M122" s="35"/>
      <c r="N122" s="36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9"/>
      <c r="Z122" s="39"/>
      <c r="AA122" s="28"/>
      <c r="AMJ122" s="0"/>
    </row>
    <row r="123" s="2" customFormat="true" ht="12.75" hidden="false" customHeight="true" outlineLevel="0" collapsed="false">
      <c r="A123" s="27" t="s">
        <v>346</v>
      </c>
      <c r="B123" s="27" t="s">
        <v>347</v>
      </c>
      <c r="C123" s="28" t="s">
        <v>41</v>
      </c>
      <c r="D123" s="27" t="s">
        <v>34</v>
      </c>
      <c r="E123" s="27" t="s">
        <v>341</v>
      </c>
      <c r="F123" s="29" t="s">
        <v>342</v>
      </c>
      <c r="G123" s="30" t="n">
        <v>75016</v>
      </c>
      <c r="H123" s="31" t="s">
        <v>36</v>
      </c>
      <c r="I123" s="32" t="n">
        <v>142819333</v>
      </c>
      <c r="J123" s="33" t="n">
        <v>143</v>
      </c>
      <c r="K123" s="33" t="n">
        <v>3</v>
      </c>
      <c r="L123" s="34"/>
      <c r="M123" s="35"/>
      <c r="N123" s="36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9"/>
      <c r="Z123" s="39"/>
      <c r="AA123" s="28"/>
      <c r="AMJ123" s="0"/>
    </row>
    <row r="124" s="2" customFormat="true" ht="12.75" hidden="false" customHeight="true" outlineLevel="0" collapsed="false">
      <c r="A124" s="27" t="s">
        <v>348</v>
      </c>
      <c r="B124" s="27" t="s">
        <v>349</v>
      </c>
      <c r="C124" s="28" t="s">
        <v>41</v>
      </c>
      <c r="D124" s="27" t="s">
        <v>34</v>
      </c>
      <c r="E124" s="27" t="s">
        <v>341</v>
      </c>
      <c r="F124" s="29" t="s">
        <v>342</v>
      </c>
      <c r="G124" s="30" t="n">
        <v>75016</v>
      </c>
      <c r="H124" s="31" t="s">
        <v>36</v>
      </c>
      <c r="I124" s="32" t="n">
        <v>140712459</v>
      </c>
      <c r="J124" s="33" t="n">
        <v>142</v>
      </c>
      <c r="K124" s="33" t="n">
        <v>1</v>
      </c>
      <c r="L124" s="34"/>
      <c r="M124" s="35"/>
      <c r="N124" s="36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9"/>
      <c r="Z124" s="39"/>
      <c r="AA124" s="28"/>
      <c r="AMJ124" s="0"/>
    </row>
    <row r="125" s="2" customFormat="true" ht="12.75" hidden="false" customHeight="true" outlineLevel="0" collapsed="false">
      <c r="A125" s="27" t="s">
        <v>350</v>
      </c>
      <c r="B125" s="27" t="s">
        <v>351</v>
      </c>
      <c r="C125" s="28" t="s">
        <v>41</v>
      </c>
      <c r="D125" s="27" t="s">
        <v>34</v>
      </c>
      <c r="E125" s="27" t="s">
        <v>341</v>
      </c>
      <c r="F125" s="29" t="s">
        <v>342</v>
      </c>
      <c r="G125" s="30" t="n">
        <v>75016</v>
      </c>
      <c r="H125" s="31" t="s">
        <v>36</v>
      </c>
      <c r="I125" s="32" t="n">
        <v>140712459</v>
      </c>
      <c r="J125" s="33" t="n">
        <v>142</v>
      </c>
      <c r="K125" s="33" t="n">
        <v>1</v>
      </c>
      <c r="L125" s="34"/>
      <c r="M125" s="35"/>
      <c r="N125" s="36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9"/>
      <c r="Z125" s="39"/>
      <c r="AA125" s="28"/>
      <c r="AMJ125" s="0"/>
    </row>
    <row r="126" s="2" customFormat="true" ht="12.75" hidden="false" customHeight="true" outlineLevel="0" collapsed="false">
      <c r="A126" s="27" t="s">
        <v>352</v>
      </c>
      <c r="B126" s="27" t="s">
        <v>353</v>
      </c>
      <c r="C126" s="28" t="s">
        <v>41</v>
      </c>
      <c r="D126" s="27" t="s">
        <v>34</v>
      </c>
      <c r="E126" s="27"/>
      <c r="F126" s="29" t="s">
        <v>354</v>
      </c>
      <c r="G126" s="30" t="n">
        <v>75016</v>
      </c>
      <c r="H126" s="31" t="s">
        <v>36</v>
      </c>
      <c r="I126" s="32" t="n">
        <v>149596577</v>
      </c>
      <c r="J126" s="33" t="n">
        <v>466</v>
      </c>
      <c r="K126" s="33" t="n">
        <v>1</v>
      </c>
      <c r="L126" s="34"/>
      <c r="M126" s="35"/>
      <c r="N126" s="36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9"/>
      <c r="Z126" s="39"/>
      <c r="AA126" s="28"/>
      <c r="AMJ126" s="0"/>
    </row>
    <row r="127" s="2" customFormat="true" ht="12.75" hidden="false" customHeight="true" outlineLevel="0" collapsed="false">
      <c r="A127" s="27" t="s">
        <v>355</v>
      </c>
      <c r="B127" s="27" t="s">
        <v>356</v>
      </c>
      <c r="C127" s="28" t="s">
        <v>138</v>
      </c>
      <c r="D127" s="27" t="s">
        <v>357</v>
      </c>
      <c r="E127" s="27"/>
      <c r="F127" s="29" t="s">
        <v>358</v>
      </c>
      <c r="G127" s="30" t="n">
        <v>75008</v>
      </c>
      <c r="H127" s="31" t="s">
        <v>36</v>
      </c>
      <c r="I127" s="32"/>
      <c r="J127" s="33" t="n">
        <v>111</v>
      </c>
      <c r="K127" s="33" t="n">
        <v>1</v>
      </c>
      <c r="L127" s="34"/>
      <c r="M127" s="35"/>
      <c r="N127" s="36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9"/>
      <c r="Z127" s="39"/>
      <c r="AA127" s="28"/>
      <c r="AMJ127" s="0"/>
    </row>
    <row r="128" s="2" customFormat="true" ht="12.75" hidden="false" customHeight="true" outlineLevel="0" collapsed="false">
      <c r="A128" s="27" t="s">
        <v>359</v>
      </c>
      <c r="B128" s="27" t="s">
        <v>360</v>
      </c>
      <c r="C128" s="28" t="s">
        <v>41</v>
      </c>
      <c r="D128" s="27" t="s">
        <v>357</v>
      </c>
      <c r="E128" s="27"/>
      <c r="F128" s="29" t="s">
        <v>361</v>
      </c>
      <c r="G128" s="30" t="n">
        <v>75008</v>
      </c>
      <c r="H128" s="31" t="s">
        <v>36</v>
      </c>
      <c r="I128" s="32" t="n">
        <v>142664782</v>
      </c>
      <c r="J128" s="33" t="n">
        <v>201</v>
      </c>
      <c r="K128" s="33" t="n">
        <v>1</v>
      </c>
      <c r="L128" s="34"/>
      <c r="M128" s="35"/>
      <c r="N128" s="36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9"/>
      <c r="Z128" s="39"/>
      <c r="AA128" s="28"/>
      <c r="AMJ128" s="0"/>
    </row>
    <row r="129" s="2" customFormat="true" ht="12.75" hidden="false" customHeight="true" outlineLevel="0" collapsed="false">
      <c r="A129" s="27" t="s">
        <v>362</v>
      </c>
      <c r="B129" s="27" t="s">
        <v>363</v>
      </c>
      <c r="C129" s="28" t="s">
        <v>138</v>
      </c>
      <c r="D129" s="27" t="s">
        <v>357</v>
      </c>
      <c r="E129" s="27"/>
      <c r="F129" s="29" t="s">
        <v>364</v>
      </c>
      <c r="G129" s="30" t="n">
        <v>75008</v>
      </c>
      <c r="H129" s="31" t="s">
        <v>36</v>
      </c>
      <c r="I129" s="32" t="n">
        <v>143590191</v>
      </c>
      <c r="J129" s="33" t="n">
        <v>132</v>
      </c>
      <c r="K129" s="33" t="n">
        <v>2</v>
      </c>
      <c r="L129" s="34" t="n">
        <v>1</v>
      </c>
      <c r="M129" s="35" t="s">
        <v>164</v>
      </c>
      <c r="N129" s="36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39"/>
      <c r="Z129" s="39"/>
      <c r="AA129" s="28" t="n">
        <v>3</v>
      </c>
      <c r="AMJ129" s="0"/>
    </row>
    <row r="130" s="2" customFormat="true" ht="12.75" hidden="false" customHeight="true" outlineLevel="0" collapsed="false">
      <c r="A130" s="27" t="s">
        <v>365</v>
      </c>
      <c r="B130" s="27" t="s">
        <v>329</v>
      </c>
      <c r="C130" s="28" t="s">
        <v>33</v>
      </c>
      <c r="D130" s="27" t="s">
        <v>357</v>
      </c>
      <c r="E130" s="27"/>
      <c r="F130" s="29" t="s">
        <v>366</v>
      </c>
      <c r="G130" s="30" t="n">
        <v>75008</v>
      </c>
      <c r="H130" s="31" t="s">
        <v>36</v>
      </c>
      <c r="I130" s="32" t="n">
        <v>145611807</v>
      </c>
      <c r="J130" s="33" t="n">
        <v>71</v>
      </c>
      <c r="K130" s="33" t="n">
        <v>1</v>
      </c>
      <c r="L130" s="34"/>
      <c r="M130" s="35"/>
      <c r="N130" s="36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9"/>
      <c r="Z130" s="39"/>
      <c r="AA130" s="28"/>
      <c r="AC130" s="2" t="s">
        <v>38</v>
      </c>
      <c r="AMJ130" s="0"/>
    </row>
    <row r="131" s="2" customFormat="true" ht="12.75" hidden="false" customHeight="true" outlineLevel="0" collapsed="false">
      <c r="A131" s="27" t="s">
        <v>367</v>
      </c>
      <c r="B131" s="27" t="s">
        <v>250</v>
      </c>
      <c r="C131" s="28" t="s">
        <v>33</v>
      </c>
      <c r="D131" s="27" t="s">
        <v>357</v>
      </c>
      <c r="E131" s="27"/>
      <c r="F131" s="29" t="s">
        <v>368</v>
      </c>
      <c r="G131" s="30" t="n">
        <v>75008</v>
      </c>
      <c r="H131" s="31" t="s">
        <v>36</v>
      </c>
      <c r="I131" s="32" t="n">
        <v>140060449</v>
      </c>
      <c r="J131" s="33" t="n">
        <v>53</v>
      </c>
      <c r="K131" s="33" t="n">
        <v>2</v>
      </c>
      <c r="L131" s="34"/>
      <c r="M131" s="35"/>
      <c r="N131" s="36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9"/>
      <c r="Z131" s="39"/>
      <c r="AA131" s="28"/>
      <c r="AC131" s="2" t="s">
        <v>108</v>
      </c>
      <c r="AD131" s="2" t="s">
        <v>369</v>
      </c>
      <c r="AE131" s="2" t="s">
        <v>370</v>
      </c>
      <c r="AMJ131" s="0"/>
    </row>
    <row r="132" s="2" customFormat="true" ht="12.75" hidden="false" customHeight="true" outlineLevel="0" collapsed="false">
      <c r="A132" s="27" t="s">
        <v>371</v>
      </c>
      <c r="B132" s="27" t="s">
        <v>160</v>
      </c>
      <c r="C132" s="28" t="s">
        <v>138</v>
      </c>
      <c r="D132" s="27" t="s">
        <v>357</v>
      </c>
      <c r="E132" s="27"/>
      <c r="F132" s="29" t="s">
        <v>372</v>
      </c>
      <c r="G132" s="30" t="n">
        <v>75008</v>
      </c>
      <c r="H132" s="31" t="s">
        <v>36</v>
      </c>
      <c r="I132" s="32"/>
      <c r="J132" s="33" t="n">
        <v>129</v>
      </c>
      <c r="K132" s="33" t="n">
        <v>4</v>
      </c>
      <c r="L132" s="34"/>
      <c r="M132" s="35"/>
      <c r="N132" s="36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9"/>
      <c r="Z132" s="39"/>
      <c r="AA132" s="28"/>
      <c r="AMJ132" s="0"/>
    </row>
    <row r="133" s="2" customFormat="true" ht="12.75" hidden="false" customHeight="true" outlineLevel="0" collapsed="false">
      <c r="A133" s="27" t="s">
        <v>373</v>
      </c>
      <c r="B133" s="27" t="s">
        <v>374</v>
      </c>
      <c r="C133" s="28" t="s">
        <v>41</v>
      </c>
      <c r="D133" s="27" t="s">
        <v>357</v>
      </c>
      <c r="E133" s="27"/>
      <c r="F133" s="29" t="s">
        <v>375</v>
      </c>
      <c r="G133" s="30" t="n">
        <v>75008</v>
      </c>
      <c r="H133" s="31" t="s">
        <v>36</v>
      </c>
      <c r="I133" s="32" t="n">
        <v>153535000</v>
      </c>
      <c r="J133" s="33" t="n">
        <v>0</v>
      </c>
      <c r="K133" s="33" t="n">
        <v>1</v>
      </c>
      <c r="L133" s="34"/>
      <c r="M133" s="35"/>
      <c r="N133" s="36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9"/>
      <c r="Z133" s="39"/>
      <c r="AA133" s="28"/>
      <c r="AMJ133" s="0"/>
    </row>
    <row r="134" s="2" customFormat="true" ht="12.75" hidden="false" customHeight="true" outlineLevel="0" collapsed="false">
      <c r="A134" s="27" t="s">
        <v>376</v>
      </c>
      <c r="B134" s="27" t="s">
        <v>377</v>
      </c>
      <c r="C134" s="28" t="s">
        <v>33</v>
      </c>
      <c r="D134" s="27" t="s">
        <v>357</v>
      </c>
      <c r="E134" s="27"/>
      <c r="F134" s="29" t="s">
        <v>378</v>
      </c>
      <c r="G134" s="30" t="n">
        <v>75008</v>
      </c>
      <c r="H134" s="31" t="s">
        <v>36</v>
      </c>
      <c r="I134" s="32"/>
      <c r="J134" s="33" t="n">
        <v>54</v>
      </c>
      <c r="K134" s="33" t="n">
        <v>0</v>
      </c>
      <c r="L134" s="34"/>
      <c r="M134" s="35"/>
      <c r="N134" s="36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9"/>
      <c r="Z134" s="39"/>
      <c r="AA134" s="28"/>
      <c r="AC134" s="2" t="s">
        <v>38</v>
      </c>
      <c r="AMJ134" s="0"/>
    </row>
    <row r="135" s="2" customFormat="true" ht="12.75" hidden="false" customHeight="true" outlineLevel="0" collapsed="false">
      <c r="A135" s="27" t="s">
        <v>376</v>
      </c>
      <c r="B135" s="27" t="s">
        <v>379</v>
      </c>
      <c r="C135" s="28" t="s">
        <v>33</v>
      </c>
      <c r="D135" s="27" t="s">
        <v>357</v>
      </c>
      <c r="E135" s="27"/>
      <c r="F135" s="29" t="s">
        <v>378</v>
      </c>
      <c r="G135" s="30" t="n">
        <v>75008</v>
      </c>
      <c r="H135" s="31" t="s">
        <v>36</v>
      </c>
      <c r="I135" s="32"/>
      <c r="J135" s="33" t="n">
        <v>51</v>
      </c>
      <c r="K135" s="33" t="n">
        <v>0</v>
      </c>
      <c r="L135" s="34"/>
      <c r="M135" s="35"/>
      <c r="N135" s="36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9"/>
      <c r="Z135" s="39"/>
      <c r="AA135" s="28"/>
      <c r="AC135" s="2" t="s">
        <v>38</v>
      </c>
      <c r="AMJ135" s="0"/>
    </row>
    <row r="136" s="2" customFormat="true" ht="12.75" hidden="false" customHeight="true" outlineLevel="0" collapsed="false">
      <c r="A136" s="27" t="s">
        <v>380</v>
      </c>
      <c r="B136" s="27" t="s">
        <v>381</v>
      </c>
      <c r="C136" s="28" t="s">
        <v>41</v>
      </c>
      <c r="D136" s="27" t="s">
        <v>357</v>
      </c>
      <c r="E136" s="27"/>
      <c r="F136" s="29" t="s">
        <v>382</v>
      </c>
      <c r="G136" s="30" t="n">
        <v>75008</v>
      </c>
      <c r="H136" s="31" t="s">
        <v>36</v>
      </c>
      <c r="I136" s="32" t="n">
        <v>147429100</v>
      </c>
      <c r="J136" s="33" t="n">
        <v>269</v>
      </c>
      <c r="K136" s="33" t="n">
        <v>1</v>
      </c>
      <c r="L136" s="34"/>
      <c r="M136" s="35"/>
      <c r="N136" s="36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9"/>
      <c r="Z136" s="39"/>
      <c r="AA136" s="28"/>
      <c r="AMJ136" s="0"/>
    </row>
    <row r="137" s="2" customFormat="true" ht="12.75" hidden="false" customHeight="true" outlineLevel="0" collapsed="false">
      <c r="A137" s="27" t="s">
        <v>383</v>
      </c>
      <c r="B137" s="27" t="s">
        <v>384</v>
      </c>
      <c r="C137" s="28" t="s">
        <v>33</v>
      </c>
      <c r="D137" s="27" t="s">
        <v>357</v>
      </c>
      <c r="E137" s="27"/>
      <c r="F137" s="29" t="s">
        <v>385</v>
      </c>
      <c r="G137" s="30" t="n">
        <v>75008</v>
      </c>
      <c r="H137" s="31" t="s">
        <v>36</v>
      </c>
      <c r="I137" s="32" t="n">
        <v>153690420</v>
      </c>
      <c r="J137" s="33" t="n">
        <v>55</v>
      </c>
      <c r="K137" s="33" t="n">
        <v>1</v>
      </c>
      <c r="L137" s="34"/>
      <c r="M137" s="35"/>
      <c r="N137" s="36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9"/>
      <c r="Z137" s="39"/>
      <c r="AA137" s="28"/>
      <c r="AC137" s="2" t="s">
        <v>38</v>
      </c>
      <c r="AMJ137" s="0"/>
    </row>
    <row r="138" s="2" customFormat="true" ht="12.75" hidden="false" customHeight="true" outlineLevel="0" collapsed="false">
      <c r="A138" s="27" t="s">
        <v>386</v>
      </c>
      <c r="B138" s="27" t="s">
        <v>387</v>
      </c>
      <c r="C138" s="28" t="s">
        <v>41</v>
      </c>
      <c r="D138" s="27" t="s">
        <v>357</v>
      </c>
      <c r="E138" s="27"/>
      <c r="F138" s="29" t="s">
        <v>388</v>
      </c>
      <c r="G138" s="30" t="n">
        <v>75008</v>
      </c>
      <c r="H138" s="31" t="s">
        <v>36</v>
      </c>
      <c r="I138" s="32" t="n">
        <v>145008080</v>
      </c>
      <c r="J138" s="33" t="n">
        <v>172</v>
      </c>
      <c r="K138" s="33" t="n">
        <v>11</v>
      </c>
      <c r="L138" s="34"/>
      <c r="M138" s="35" t="s">
        <v>164</v>
      </c>
      <c r="N138" s="36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9"/>
      <c r="Z138" s="39"/>
      <c r="AA138" s="28"/>
      <c r="AMJ138" s="0"/>
    </row>
    <row r="139" s="2" customFormat="true" ht="12.75" hidden="false" customHeight="true" outlineLevel="0" collapsed="false">
      <c r="A139" s="27" t="s">
        <v>389</v>
      </c>
      <c r="B139" s="27" t="s">
        <v>151</v>
      </c>
      <c r="C139" s="28" t="s">
        <v>41</v>
      </c>
      <c r="D139" s="27" t="s">
        <v>357</v>
      </c>
      <c r="E139" s="27"/>
      <c r="F139" s="29" t="s">
        <v>390</v>
      </c>
      <c r="G139" s="30" t="n">
        <v>75008</v>
      </c>
      <c r="H139" s="31" t="s">
        <v>36</v>
      </c>
      <c r="I139" s="32" t="n">
        <v>145620195</v>
      </c>
      <c r="J139" s="33" t="n">
        <v>150</v>
      </c>
      <c r="K139" s="33" t="n">
        <v>3</v>
      </c>
      <c r="L139" s="34"/>
      <c r="M139" s="35"/>
      <c r="N139" s="36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9"/>
      <c r="Z139" s="39"/>
      <c r="AA139" s="28"/>
      <c r="AMJ139" s="0"/>
    </row>
    <row r="140" s="2" customFormat="true" ht="12.75" hidden="false" customHeight="true" outlineLevel="0" collapsed="false">
      <c r="A140" s="27" t="s">
        <v>391</v>
      </c>
      <c r="B140" s="27" t="s">
        <v>392</v>
      </c>
      <c r="C140" s="28" t="s">
        <v>41</v>
      </c>
      <c r="D140" s="27" t="s">
        <v>357</v>
      </c>
      <c r="E140" s="27"/>
      <c r="F140" s="29" t="s">
        <v>393</v>
      </c>
      <c r="G140" s="30" t="n">
        <v>75008</v>
      </c>
      <c r="H140" s="31" t="s">
        <v>36</v>
      </c>
      <c r="I140" s="32" t="n">
        <v>145610525</v>
      </c>
      <c r="J140" s="33" t="n">
        <v>164</v>
      </c>
      <c r="K140" s="33" t="n">
        <v>4</v>
      </c>
      <c r="L140" s="34"/>
      <c r="M140" s="35"/>
      <c r="N140" s="36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9"/>
      <c r="Z140" s="39"/>
      <c r="AA140" s="28"/>
      <c r="AMJ140" s="0"/>
    </row>
    <row r="141" s="2" customFormat="true" ht="12.75" hidden="false" customHeight="true" outlineLevel="0" collapsed="false">
      <c r="A141" s="27" t="s">
        <v>394</v>
      </c>
      <c r="B141" s="27" t="s">
        <v>395</v>
      </c>
      <c r="C141" s="28" t="s">
        <v>33</v>
      </c>
      <c r="D141" s="27" t="s">
        <v>357</v>
      </c>
      <c r="E141" s="27"/>
      <c r="F141" s="29" t="s">
        <v>396</v>
      </c>
      <c r="G141" s="30" t="n">
        <v>75008</v>
      </c>
      <c r="H141" s="31" t="s">
        <v>36</v>
      </c>
      <c r="I141" s="32" t="n">
        <v>158413301</v>
      </c>
      <c r="J141" s="33" t="n">
        <v>51</v>
      </c>
      <c r="K141" s="33" t="n">
        <v>0</v>
      </c>
      <c r="L141" s="34"/>
      <c r="M141" s="35"/>
      <c r="N141" s="36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9"/>
      <c r="Z141" s="39"/>
      <c r="AA141" s="28"/>
      <c r="AMJ141" s="0"/>
    </row>
    <row r="142" s="2" customFormat="true" ht="12.75" hidden="false" customHeight="true" outlineLevel="0" collapsed="false">
      <c r="A142" s="27" t="s">
        <v>397</v>
      </c>
      <c r="B142" s="27" t="s">
        <v>398</v>
      </c>
      <c r="C142" s="28" t="s">
        <v>41</v>
      </c>
      <c r="D142" s="27" t="s">
        <v>357</v>
      </c>
      <c r="E142" s="27"/>
      <c r="F142" s="29" t="s">
        <v>399</v>
      </c>
      <c r="G142" s="30" t="n">
        <v>75008</v>
      </c>
      <c r="H142" s="31" t="s">
        <v>36</v>
      </c>
      <c r="I142" s="32" t="n">
        <v>147426200</v>
      </c>
      <c r="J142" s="33" t="n">
        <v>257</v>
      </c>
      <c r="K142" s="33" t="n">
        <v>1</v>
      </c>
      <c r="L142" s="34"/>
      <c r="M142" s="35"/>
      <c r="N142" s="36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9"/>
      <c r="Z142" s="39"/>
      <c r="AA142" s="28"/>
      <c r="AMJ142" s="0"/>
    </row>
    <row r="143" s="2" customFormat="true" ht="12.75" hidden="false" customHeight="true" outlineLevel="0" collapsed="false">
      <c r="A143" s="27" t="s">
        <v>400</v>
      </c>
      <c r="B143" s="27" t="s">
        <v>401</v>
      </c>
      <c r="C143" s="28" t="s">
        <v>77</v>
      </c>
      <c r="D143" s="27" t="s">
        <v>357</v>
      </c>
      <c r="E143" s="27"/>
      <c r="F143" s="29" t="s">
        <v>402</v>
      </c>
      <c r="G143" s="30" t="n">
        <v>75008</v>
      </c>
      <c r="H143" s="31" t="s">
        <v>36</v>
      </c>
      <c r="I143" s="32" t="n">
        <v>158183828</v>
      </c>
      <c r="J143" s="33" t="n">
        <v>177</v>
      </c>
      <c r="K143" s="33" t="n">
        <v>1</v>
      </c>
      <c r="L143" s="34"/>
      <c r="M143" s="35"/>
      <c r="N143" s="36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9"/>
      <c r="Z143" s="39"/>
      <c r="AA143" s="28"/>
      <c r="AMJ143" s="0"/>
    </row>
    <row r="144" s="2" customFormat="true" ht="12.75" hidden="false" customHeight="true" outlineLevel="0" collapsed="false">
      <c r="A144" s="27" t="s">
        <v>403</v>
      </c>
      <c r="B144" s="27" t="s">
        <v>195</v>
      </c>
      <c r="C144" s="28" t="s">
        <v>138</v>
      </c>
      <c r="D144" s="27" t="s">
        <v>357</v>
      </c>
      <c r="E144" s="27"/>
      <c r="F144" s="29" t="s">
        <v>404</v>
      </c>
      <c r="G144" s="30" t="n">
        <v>75008</v>
      </c>
      <c r="H144" s="31" t="s">
        <v>36</v>
      </c>
      <c r="I144" s="32" t="n">
        <v>145620050</v>
      </c>
      <c r="J144" s="33" t="n">
        <v>151</v>
      </c>
      <c r="K144" s="33" t="n">
        <v>5</v>
      </c>
      <c r="L144" s="34" t="n">
        <v>2</v>
      </c>
      <c r="M144" s="35" t="s">
        <v>164</v>
      </c>
      <c r="N144" s="36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39"/>
      <c r="Z144" s="39"/>
      <c r="AA144" s="28" t="n">
        <v>3</v>
      </c>
      <c r="AMJ144" s="0"/>
    </row>
    <row r="145" s="2" customFormat="true" ht="12.75" hidden="false" customHeight="true" outlineLevel="0" collapsed="false">
      <c r="A145" s="27" t="s">
        <v>405</v>
      </c>
      <c r="B145" s="27" t="s">
        <v>406</v>
      </c>
      <c r="C145" s="28" t="s">
        <v>41</v>
      </c>
      <c r="D145" s="27" t="s">
        <v>357</v>
      </c>
      <c r="E145" s="27"/>
      <c r="F145" s="29" t="s">
        <v>407</v>
      </c>
      <c r="G145" s="30" t="n">
        <v>75008</v>
      </c>
      <c r="H145" s="31" t="s">
        <v>36</v>
      </c>
      <c r="I145" s="32" t="n">
        <v>140538725</v>
      </c>
      <c r="J145" s="33" t="n">
        <v>210</v>
      </c>
      <c r="K145" s="33" t="n">
        <v>2</v>
      </c>
      <c r="L145" s="34" t="n">
        <v>1</v>
      </c>
      <c r="M145" s="35" t="s">
        <v>164</v>
      </c>
      <c r="N145" s="36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39"/>
      <c r="Z145" s="39"/>
      <c r="AA145" s="28"/>
      <c r="AMJ145" s="0"/>
    </row>
    <row r="146" s="2" customFormat="true" ht="12.75" hidden="false" customHeight="true" outlineLevel="0" collapsed="false">
      <c r="A146" s="27" t="s">
        <v>408</v>
      </c>
      <c r="B146" s="27" t="s">
        <v>409</v>
      </c>
      <c r="C146" s="28" t="s">
        <v>41</v>
      </c>
      <c r="D146" s="27" t="s">
        <v>357</v>
      </c>
      <c r="E146" s="27"/>
      <c r="F146" s="29" t="s">
        <v>410</v>
      </c>
      <c r="G146" s="30" t="n">
        <v>75008</v>
      </c>
      <c r="H146" s="31" t="s">
        <v>36</v>
      </c>
      <c r="I146" s="32" t="n">
        <v>984143139</v>
      </c>
      <c r="J146" s="33" t="n">
        <v>0</v>
      </c>
      <c r="K146" s="33" t="n">
        <v>1</v>
      </c>
      <c r="L146" s="34"/>
      <c r="M146" s="35"/>
      <c r="N146" s="36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9"/>
      <c r="Z146" s="39"/>
      <c r="AA146" s="28"/>
      <c r="AMJ146" s="0"/>
    </row>
    <row r="147" s="2" customFormat="true" ht="12.75" hidden="false" customHeight="true" outlineLevel="0" collapsed="false">
      <c r="A147" s="27" t="s">
        <v>411</v>
      </c>
      <c r="B147" s="27" t="s">
        <v>133</v>
      </c>
      <c r="C147" s="28" t="s">
        <v>33</v>
      </c>
      <c r="D147" s="27" t="s">
        <v>357</v>
      </c>
      <c r="E147" s="27"/>
      <c r="F147" s="29" t="s">
        <v>412</v>
      </c>
      <c r="G147" s="30" t="n">
        <v>75008</v>
      </c>
      <c r="H147" s="31" t="s">
        <v>36</v>
      </c>
      <c r="I147" s="32"/>
      <c r="J147" s="33" t="n">
        <v>59</v>
      </c>
      <c r="K147" s="33" t="n">
        <v>1</v>
      </c>
      <c r="L147" s="34"/>
      <c r="M147" s="35"/>
      <c r="N147" s="36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9"/>
      <c r="Z147" s="39"/>
      <c r="AA147" s="28"/>
      <c r="AC147" s="2" t="s">
        <v>413</v>
      </c>
      <c r="AMJ147" s="0"/>
    </row>
    <row r="148" s="2" customFormat="true" ht="12.75" hidden="false" customHeight="true" outlineLevel="0" collapsed="false">
      <c r="A148" s="27" t="s">
        <v>414</v>
      </c>
      <c r="B148" s="27" t="s">
        <v>415</v>
      </c>
      <c r="C148" s="28" t="s">
        <v>33</v>
      </c>
      <c r="D148" s="27" t="s">
        <v>357</v>
      </c>
      <c r="E148" s="27"/>
      <c r="F148" s="29" t="s">
        <v>412</v>
      </c>
      <c r="G148" s="30" t="n">
        <v>75008</v>
      </c>
      <c r="H148" s="31" t="s">
        <v>36</v>
      </c>
      <c r="I148" s="32"/>
      <c r="J148" s="33" t="n">
        <v>55</v>
      </c>
      <c r="K148" s="33" t="n">
        <v>1</v>
      </c>
      <c r="L148" s="34"/>
      <c r="M148" s="35"/>
      <c r="N148" s="36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9"/>
      <c r="Z148" s="39"/>
      <c r="AA148" s="28"/>
      <c r="AC148" s="2" t="s">
        <v>416</v>
      </c>
      <c r="AMJ148" s="0"/>
    </row>
    <row r="149" s="2" customFormat="true" ht="12.75" hidden="false" customHeight="true" outlineLevel="0" collapsed="false">
      <c r="A149" s="27" t="s">
        <v>414</v>
      </c>
      <c r="B149" s="27" t="s">
        <v>417</v>
      </c>
      <c r="C149" s="28" t="s">
        <v>33</v>
      </c>
      <c r="D149" s="27" t="s">
        <v>357</v>
      </c>
      <c r="E149" s="27"/>
      <c r="F149" s="29" t="s">
        <v>412</v>
      </c>
      <c r="G149" s="30" t="n">
        <v>75008</v>
      </c>
      <c r="H149" s="31" t="s">
        <v>36</v>
      </c>
      <c r="I149" s="32"/>
      <c r="J149" s="33" t="n">
        <v>51</v>
      </c>
      <c r="K149" s="33" t="n">
        <v>1</v>
      </c>
      <c r="L149" s="34"/>
      <c r="M149" s="35"/>
      <c r="N149" s="36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9"/>
      <c r="Z149" s="39"/>
      <c r="AA149" s="28"/>
      <c r="AC149" s="2" t="s">
        <v>413</v>
      </c>
      <c r="AMJ149" s="0"/>
    </row>
    <row r="150" s="2" customFormat="true" ht="12.75" hidden="false" customHeight="true" outlineLevel="0" collapsed="false">
      <c r="A150" s="27" t="s">
        <v>418</v>
      </c>
      <c r="B150" s="27" t="s">
        <v>419</v>
      </c>
      <c r="C150" s="28" t="s">
        <v>41</v>
      </c>
      <c r="D150" s="27" t="s">
        <v>357</v>
      </c>
      <c r="E150" s="27"/>
      <c r="F150" s="29" t="s">
        <v>420</v>
      </c>
      <c r="G150" s="30" t="n">
        <v>75008</v>
      </c>
      <c r="H150" s="31" t="s">
        <v>36</v>
      </c>
      <c r="I150" s="32" t="n">
        <v>142402000</v>
      </c>
      <c r="J150" s="33" t="n">
        <v>45</v>
      </c>
      <c r="K150" s="33" t="n">
        <v>1</v>
      </c>
      <c r="L150" s="34"/>
      <c r="M150" s="35"/>
      <c r="N150" s="36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9"/>
      <c r="Z150" s="39"/>
      <c r="AA150" s="28"/>
      <c r="AMJ150" s="0"/>
    </row>
    <row r="151" s="2" customFormat="true" ht="12.75" hidden="false" customHeight="true" outlineLevel="0" collapsed="false">
      <c r="A151" s="27" t="s">
        <v>421</v>
      </c>
      <c r="B151" s="27" t="s">
        <v>422</v>
      </c>
      <c r="C151" s="28" t="s">
        <v>138</v>
      </c>
      <c r="D151" s="27" t="s">
        <v>357</v>
      </c>
      <c r="E151" s="27"/>
      <c r="F151" s="29" t="s">
        <v>423</v>
      </c>
      <c r="G151" s="30" t="n">
        <v>75008</v>
      </c>
      <c r="H151" s="31" t="s">
        <v>36</v>
      </c>
      <c r="I151" s="32" t="n">
        <v>147234222</v>
      </c>
      <c r="J151" s="33" t="n">
        <v>177</v>
      </c>
      <c r="K151" s="33" t="n">
        <v>1</v>
      </c>
      <c r="L151" s="34" t="n">
        <v>2</v>
      </c>
      <c r="M151" s="35" t="s">
        <v>164</v>
      </c>
      <c r="N151" s="36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39"/>
      <c r="Z151" s="39"/>
      <c r="AA151" s="28" t="n">
        <v>2</v>
      </c>
      <c r="AMJ151" s="0"/>
    </row>
    <row r="152" s="2" customFormat="true" ht="12.75" hidden="false" customHeight="true" outlineLevel="0" collapsed="false">
      <c r="A152" s="27" t="s">
        <v>424</v>
      </c>
      <c r="B152" s="27" t="s">
        <v>425</v>
      </c>
      <c r="C152" s="28" t="s">
        <v>41</v>
      </c>
      <c r="D152" s="27" t="s">
        <v>357</v>
      </c>
      <c r="E152" s="27"/>
      <c r="F152" s="29" t="s">
        <v>426</v>
      </c>
      <c r="G152" s="30" t="n">
        <v>75008</v>
      </c>
      <c r="H152" s="31" t="s">
        <v>36</v>
      </c>
      <c r="I152" s="32" t="n">
        <v>142602917</v>
      </c>
      <c r="J152" s="33" t="n">
        <v>400</v>
      </c>
      <c r="K152" s="33"/>
      <c r="L152" s="34"/>
      <c r="M152" s="35"/>
      <c r="N152" s="36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9"/>
      <c r="Z152" s="39"/>
      <c r="AA152" s="28"/>
      <c r="AMJ152" s="0"/>
    </row>
    <row r="153" s="2" customFormat="true" ht="12.75" hidden="false" customHeight="true" outlineLevel="0" collapsed="false">
      <c r="A153" s="27" t="s">
        <v>427</v>
      </c>
      <c r="B153" s="27" t="s">
        <v>428</v>
      </c>
      <c r="C153" s="28" t="s">
        <v>33</v>
      </c>
      <c r="D153" s="27" t="s">
        <v>357</v>
      </c>
      <c r="E153" s="27"/>
      <c r="F153" s="29" t="s">
        <v>429</v>
      </c>
      <c r="G153" s="30" t="n">
        <v>75008</v>
      </c>
      <c r="H153" s="31" t="s">
        <v>36</v>
      </c>
      <c r="I153" s="32" t="n">
        <v>142895337</v>
      </c>
      <c r="J153" s="33" t="n">
        <v>54</v>
      </c>
      <c r="K153" s="33" t="n">
        <v>1</v>
      </c>
      <c r="L153" s="34"/>
      <c r="M153" s="35"/>
      <c r="N153" s="36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9"/>
      <c r="Z153" s="39"/>
      <c r="AA153" s="28"/>
      <c r="AC153" s="2" t="s">
        <v>413</v>
      </c>
      <c r="AMJ153" s="0"/>
    </row>
    <row r="154" s="2" customFormat="true" ht="12.75" hidden="false" customHeight="true" outlineLevel="0" collapsed="false">
      <c r="A154" s="27" t="s">
        <v>430</v>
      </c>
      <c r="B154" s="27" t="s">
        <v>309</v>
      </c>
      <c r="C154" s="28" t="s">
        <v>41</v>
      </c>
      <c r="D154" s="27" t="s">
        <v>357</v>
      </c>
      <c r="E154" s="27"/>
      <c r="F154" s="29" t="s">
        <v>431</v>
      </c>
      <c r="G154" s="30" t="n">
        <v>75008</v>
      </c>
      <c r="H154" s="31" t="s">
        <v>36</v>
      </c>
      <c r="I154" s="32" t="n">
        <v>142566565</v>
      </c>
      <c r="J154" s="33" t="n">
        <v>322</v>
      </c>
      <c r="K154" s="33" t="n">
        <v>1</v>
      </c>
      <c r="L154" s="34"/>
      <c r="M154" s="35"/>
      <c r="N154" s="36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9"/>
      <c r="Z154" s="39"/>
      <c r="AA154" s="28"/>
      <c r="AMJ154" s="0"/>
    </row>
    <row r="155" s="2" customFormat="true" ht="12.75" hidden="false" customHeight="true" outlineLevel="0" collapsed="false">
      <c r="A155" s="27" t="s">
        <v>432</v>
      </c>
      <c r="B155" s="27" t="s">
        <v>217</v>
      </c>
      <c r="C155" s="28" t="s">
        <v>138</v>
      </c>
      <c r="D155" s="27" t="s">
        <v>357</v>
      </c>
      <c r="E155" s="27"/>
      <c r="F155" s="29" t="s">
        <v>433</v>
      </c>
      <c r="G155" s="30" t="n">
        <v>75008</v>
      </c>
      <c r="H155" s="31" t="s">
        <v>36</v>
      </c>
      <c r="I155" s="32"/>
      <c r="J155" s="33" t="n">
        <v>120</v>
      </c>
      <c r="K155" s="33" t="n">
        <v>6</v>
      </c>
      <c r="L155" s="34" t="n">
        <v>4</v>
      </c>
      <c r="M155" s="43" t="s">
        <v>155</v>
      </c>
      <c r="N155" s="36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39" t="n">
        <v>45106.5416666667</v>
      </c>
      <c r="Z155" s="39" t="n">
        <v>45204.4270833333</v>
      </c>
      <c r="AA155" s="28" t="n">
        <v>4</v>
      </c>
      <c r="AMJ155" s="0"/>
    </row>
    <row r="156" s="2" customFormat="true" ht="12.75" hidden="false" customHeight="true" outlineLevel="0" collapsed="false">
      <c r="A156" s="27" t="s">
        <v>434</v>
      </c>
      <c r="B156" s="27" t="s">
        <v>435</v>
      </c>
      <c r="C156" s="28" t="s">
        <v>138</v>
      </c>
      <c r="D156" s="27" t="s">
        <v>357</v>
      </c>
      <c r="E156" s="27"/>
      <c r="F156" s="29" t="s">
        <v>433</v>
      </c>
      <c r="G156" s="30" t="n">
        <v>75008</v>
      </c>
      <c r="H156" s="31" t="s">
        <v>36</v>
      </c>
      <c r="I156" s="32"/>
      <c r="J156" s="33" t="n">
        <v>120</v>
      </c>
      <c r="K156" s="33" t="n">
        <v>2</v>
      </c>
      <c r="L156" s="34" t="n">
        <v>1</v>
      </c>
      <c r="M156" s="35" t="s">
        <v>164</v>
      </c>
      <c r="N156" s="36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39"/>
      <c r="Z156" s="39"/>
      <c r="AA156" s="28" t="n">
        <v>3</v>
      </c>
      <c r="AMJ156" s="0"/>
    </row>
    <row r="157" s="2" customFormat="true" ht="12.75" hidden="false" customHeight="true" outlineLevel="0" collapsed="false">
      <c r="A157" s="27" t="s">
        <v>436</v>
      </c>
      <c r="B157" s="27" t="s">
        <v>61</v>
      </c>
      <c r="C157" s="28" t="s">
        <v>138</v>
      </c>
      <c r="D157" s="27" t="s">
        <v>357</v>
      </c>
      <c r="E157" s="27"/>
      <c r="F157" s="29" t="s">
        <v>433</v>
      </c>
      <c r="G157" s="30" t="n">
        <v>75008</v>
      </c>
      <c r="H157" s="31" t="s">
        <v>36</v>
      </c>
      <c r="I157" s="32"/>
      <c r="J157" s="33" t="n">
        <v>56</v>
      </c>
      <c r="K157" s="33" t="n">
        <v>12</v>
      </c>
      <c r="L157" s="34" t="n">
        <v>1</v>
      </c>
      <c r="M157" s="35" t="s">
        <v>164</v>
      </c>
      <c r="N157" s="36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39"/>
      <c r="Z157" s="39"/>
      <c r="AA157" s="28" t="n">
        <v>3</v>
      </c>
      <c r="AMJ157" s="0"/>
    </row>
    <row r="158" s="2" customFormat="true" ht="12.75" hidden="false" customHeight="true" outlineLevel="0" collapsed="false">
      <c r="A158" s="27" t="s">
        <v>437</v>
      </c>
      <c r="B158" s="27" t="s">
        <v>401</v>
      </c>
      <c r="C158" s="28" t="s">
        <v>41</v>
      </c>
      <c r="D158" s="27" t="s">
        <v>357</v>
      </c>
      <c r="E158" s="27"/>
      <c r="F158" s="29" t="s">
        <v>438</v>
      </c>
      <c r="G158" s="30" t="n">
        <v>75008</v>
      </c>
      <c r="H158" s="31" t="s">
        <v>36</v>
      </c>
      <c r="I158" s="32" t="n">
        <v>142608760</v>
      </c>
      <c r="J158" s="33" t="n">
        <v>330</v>
      </c>
      <c r="K158" s="33" t="n">
        <v>1</v>
      </c>
      <c r="L158" s="34"/>
      <c r="M158" s="35"/>
      <c r="N158" s="36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9"/>
      <c r="Z158" s="39"/>
      <c r="AA158" s="28"/>
      <c r="AMJ158" s="0"/>
    </row>
    <row r="159" s="2" customFormat="true" ht="12.75" hidden="false" customHeight="true" outlineLevel="0" collapsed="false">
      <c r="A159" s="27" t="s">
        <v>439</v>
      </c>
      <c r="B159" s="27" t="s">
        <v>440</v>
      </c>
      <c r="C159" s="28" t="s">
        <v>121</v>
      </c>
      <c r="D159" s="27" t="s">
        <v>357</v>
      </c>
      <c r="E159" s="27"/>
      <c r="F159" s="29" t="s">
        <v>441</v>
      </c>
      <c r="G159" s="30" t="n">
        <v>75008</v>
      </c>
      <c r="H159" s="31" t="s">
        <v>36</v>
      </c>
      <c r="I159" s="32" t="n">
        <v>144900376</v>
      </c>
      <c r="J159" s="33" t="n">
        <v>330</v>
      </c>
      <c r="K159" s="33" t="n">
        <v>3</v>
      </c>
      <c r="L159" s="34"/>
      <c r="M159" s="35"/>
      <c r="N159" s="36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9"/>
      <c r="Z159" s="39"/>
      <c r="AA159" s="28"/>
      <c r="AMJ159" s="0"/>
    </row>
    <row r="160" s="2" customFormat="true" ht="12.75" hidden="false" customHeight="true" outlineLevel="0" collapsed="false">
      <c r="A160" s="27" t="s">
        <v>442</v>
      </c>
      <c r="B160" s="27" t="s">
        <v>443</v>
      </c>
      <c r="C160" s="28" t="s">
        <v>33</v>
      </c>
      <c r="D160" s="27" t="s">
        <v>357</v>
      </c>
      <c r="E160" s="27"/>
      <c r="F160" s="29" t="s">
        <v>444</v>
      </c>
      <c r="G160" s="30" t="n">
        <v>75008</v>
      </c>
      <c r="H160" s="31" t="s">
        <v>36</v>
      </c>
      <c r="I160" s="32" t="n">
        <v>140179186</v>
      </c>
      <c r="J160" s="33" t="n">
        <v>55</v>
      </c>
      <c r="K160" s="33" t="n">
        <v>0</v>
      </c>
      <c r="L160" s="34"/>
      <c r="M160" s="35"/>
      <c r="N160" s="36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9"/>
      <c r="Z160" s="39"/>
      <c r="AA160" s="28"/>
      <c r="AC160" s="2" t="s">
        <v>38</v>
      </c>
      <c r="AMJ160" s="0"/>
    </row>
    <row r="161" s="2" customFormat="true" ht="12.75" hidden="false" customHeight="true" outlineLevel="0" collapsed="false">
      <c r="A161" s="27" t="s">
        <v>445</v>
      </c>
      <c r="B161" s="27" t="s">
        <v>446</v>
      </c>
      <c r="C161" s="28" t="s">
        <v>33</v>
      </c>
      <c r="D161" s="27" t="s">
        <v>357</v>
      </c>
      <c r="E161" s="27"/>
      <c r="F161" s="29" t="s">
        <v>447</v>
      </c>
      <c r="G161" s="30" t="n">
        <v>75008</v>
      </c>
      <c r="H161" s="31" t="s">
        <v>36</v>
      </c>
      <c r="I161" s="32"/>
      <c r="J161" s="33" t="n">
        <v>51</v>
      </c>
      <c r="K161" s="33" t="n">
        <v>1</v>
      </c>
      <c r="L161" s="34" t="n">
        <v>1</v>
      </c>
      <c r="M161" s="35"/>
      <c r="N161" s="36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39"/>
      <c r="Z161" s="39"/>
      <c r="AA161" s="28"/>
      <c r="AC161" s="2" t="s">
        <v>38</v>
      </c>
      <c r="AMJ161" s="0"/>
    </row>
    <row r="162" s="2" customFormat="true" ht="12.75" hidden="false" customHeight="true" outlineLevel="0" collapsed="false">
      <c r="A162" s="27" t="s">
        <v>448</v>
      </c>
      <c r="B162" s="27" t="s">
        <v>449</v>
      </c>
      <c r="C162" s="28" t="s">
        <v>41</v>
      </c>
      <c r="D162" s="27" t="s">
        <v>357</v>
      </c>
      <c r="E162" s="27"/>
      <c r="F162" s="29" t="s">
        <v>450</v>
      </c>
      <c r="G162" s="30" t="n">
        <v>75008</v>
      </c>
      <c r="H162" s="31" t="s">
        <v>36</v>
      </c>
      <c r="I162" s="32" t="n">
        <v>145635531</v>
      </c>
      <c r="J162" s="33" t="n">
        <v>162</v>
      </c>
      <c r="K162" s="33" t="n">
        <v>1</v>
      </c>
      <c r="L162" s="34"/>
      <c r="M162" s="35"/>
      <c r="N162" s="36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9"/>
      <c r="Z162" s="39"/>
      <c r="AA162" s="28"/>
      <c r="AMJ162" s="0"/>
    </row>
    <row r="163" s="2" customFormat="true" ht="12.75" hidden="false" customHeight="true" outlineLevel="0" collapsed="false">
      <c r="A163" s="27" t="s">
        <v>451</v>
      </c>
      <c r="B163" s="27" t="s">
        <v>452</v>
      </c>
      <c r="C163" s="28" t="s">
        <v>41</v>
      </c>
      <c r="D163" s="27" t="s">
        <v>357</v>
      </c>
      <c r="E163" s="27"/>
      <c r="F163" s="29" t="s">
        <v>453</v>
      </c>
      <c r="G163" s="30" t="n">
        <v>75008</v>
      </c>
      <c r="H163" s="31" t="s">
        <v>36</v>
      </c>
      <c r="I163" s="32"/>
      <c r="J163" s="33" t="n">
        <v>326</v>
      </c>
      <c r="K163" s="33"/>
      <c r="L163" s="34"/>
      <c r="M163" s="35"/>
      <c r="N163" s="36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9"/>
      <c r="Z163" s="39"/>
      <c r="AA163" s="28"/>
      <c r="AMJ163" s="0"/>
    </row>
    <row r="164" s="2" customFormat="true" ht="12.75" hidden="false" customHeight="true" outlineLevel="0" collapsed="false">
      <c r="A164" s="27" t="s">
        <v>454</v>
      </c>
      <c r="B164" s="27" t="s">
        <v>455</v>
      </c>
      <c r="C164" s="28" t="s">
        <v>41</v>
      </c>
      <c r="D164" s="27" t="s">
        <v>357</v>
      </c>
      <c r="E164" s="27"/>
      <c r="F164" s="29" t="s">
        <v>456</v>
      </c>
      <c r="G164" s="30" t="n">
        <v>75008</v>
      </c>
      <c r="H164" s="31" t="s">
        <v>36</v>
      </c>
      <c r="I164" s="32" t="n">
        <v>143123100</v>
      </c>
      <c r="J164" s="33" t="n">
        <v>156</v>
      </c>
      <c r="K164" s="33" t="n">
        <v>5</v>
      </c>
      <c r="L164" s="34"/>
      <c r="M164" s="35"/>
      <c r="N164" s="36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9"/>
      <c r="Z164" s="39"/>
      <c r="AA164" s="28"/>
      <c r="AMJ164" s="0"/>
    </row>
    <row r="165" s="2" customFormat="true" ht="12.75" hidden="false" customHeight="true" outlineLevel="0" collapsed="false">
      <c r="A165" s="27" t="s">
        <v>457</v>
      </c>
      <c r="B165" s="27" t="s">
        <v>458</v>
      </c>
      <c r="C165" s="28" t="s">
        <v>41</v>
      </c>
      <c r="D165" s="27" t="s">
        <v>357</v>
      </c>
      <c r="E165" s="27"/>
      <c r="F165" s="29" t="s">
        <v>456</v>
      </c>
      <c r="G165" s="30" t="n">
        <v>75008</v>
      </c>
      <c r="H165" s="31" t="s">
        <v>36</v>
      </c>
      <c r="I165" s="32" t="n">
        <v>145658220</v>
      </c>
      <c r="J165" s="33" t="n">
        <v>0</v>
      </c>
      <c r="K165" s="33" t="n">
        <v>4</v>
      </c>
      <c r="L165" s="34"/>
      <c r="M165" s="35"/>
      <c r="N165" s="36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9"/>
      <c r="Z165" s="39"/>
      <c r="AA165" s="28"/>
      <c r="AMJ165" s="0"/>
    </row>
    <row r="166" s="2" customFormat="true" ht="12.75" hidden="false" customHeight="true" outlineLevel="0" collapsed="false">
      <c r="A166" s="27" t="s">
        <v>459</v>
      </c>
      <c r="B166" s="27" t="s">
        <v>460</v>
      </c>
      <c r="C166" s="28" t="s">
        <v>41</v>
      </c>
      <c r="D166" s="27" t="s">
        <v>357</v>
      </c>
      <c r="E166" s="27"/>
      <c r="F166" s="29" t="s">
        <v>461</v>
      </c>
      <c r="G166" s="30" t="n">
        <v>75008</v>
      </c>
      <c r="H166" s="31" t="s">
        <v>36</v>
      </c>
      <c r="I166" s="32" t="n">
        <v>144178020</v>
      </c>
      <c r="J166" s="33" t="n">
        <v>64</v>
      </c>
      <c r="K166" s="33" t="n">
        <v>1</v>
      </c>
      <c r="L166" s="34"/>
      <c r="M166" s="35"/>
      <c r="N166" s="36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9"/>
      <c r="Z166" s="39"/>
      <c r="AA166" s="28"/>
      <c r="AMJ166" s="0"/>
    </row>
    <row r="167" s="2" customFormat="true" ht="12.75" hidden="false" customHeight="true" outlineLevel="0" collapsed="false">
      <c r="A167" s="27" t="s">
        <v>150</v>
      </c>
      <c r="B167" s="27" t="s">
        <v>462</v>
      </c>
      <c r="C167" s="28" t="s">
        <v>41</v>
      </c>
      <c r="D167" s="27" t="s">
        <v>357</v>
      </c>
      <c r="E167" s="27"/>
      <c r="F167" s="29" t="s">
        <v>463</v>
      </c>
      <c r="G167" s="30" t="n">
        <v>75008</v>
      </c>
      <c r="H167" s="31" t="s">
        <v>36</v>
      </c>
      <c r="I167" s="32" t="n">
        <v>143702828</v>
      </c>
      <c r="J167" s="33" t="n">
        <v>338</v>
      </c>
      <c r="K167" s="33" t="n">
        <v>1</v>
      </c>
      <c r="L167" s="34"/>
      <c r="M167" s="35"/>
      <c r="N167" s="36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9"/>
      <c r="Z167" s="39"/>
      <c r="AA167" s="28"/>
      <c r="AMJ167" s="0"/>
    </row>
    <row r="168" s="2" customFormat="true" ht="12.75" hidden="false" customHeight="true" outlineLevel="0" collapsed="false">
      <c r="A168" s="27" t="s">
        <v>464</v>
      </c>
      <c r="B168" s="27" t="s">
        <v>465</v>
      </c>
      <c r="C168" s="28" t="s">
        <v>41</v>
      </c>
      <c r="D168" s="27" t="s">
        <v>357</v>
      </c>
      <c r="E168" s="27"/>
      <c r="F168" s="29" t="s">
        <v>463</v>
      </c>
      <c r="G168" s="30" t="n">
        <v>75008</v>
      </c>
      <c r="H168" s="31" t="s">
        <v>36</v>
      </c>
      <c r="I168" s="32" t="n">
        <v>143702828</v>
      </c>
      <c r="J168" s="33" t="n">
        <v>296</v>
      </c>
      <c r="K168" s="33" t="n">
        <v>4</v>
      </c>
      <c r="L168" s="34"/>
      <c r="M168" s="35"/>
      <c r="N168" s="36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9"/>
      <c r="Z168" s="39"/>
      <c r="AA168" s="28"/>
      <c r="AMJ168" s="0"/>
    </row>
    <row r="169" s="2" customFormat="true" ht="12.75" hidden="false" customHeight="true" outlineLevel="0" collapsed="false">
      <c r="A169" s="27" t="s">
        <v>466</v>
      </c>
      <c r="B169" s="27" t="s">
        <v>398</v>
      </c>
      <c r="C169" s="28" t="s">
        <v>208</v>
      </c>
      <c r="D169" s="27" t="s">
        <v>357</v>
      </c>
      <c r="E169" s="27"/>
      <c r="F169" s="29" t="s">
        <v>467</v>
      </c>
      <c r="G169" s="30" t="n">
        <v>75008</v>
      </c>
      <c r="H169" s="31" t="s">
        <v>36</v>
      </c>
      <c r="I169" s="32" t="n">
        <v>143876033</v>
      </c>
      <c r="J169" s="33" t="n">
        <v>264</v>
      </c>
      <c r="K169" s="33" t="n">
        <v>1</v>
      </c>
      <c r="L169" s="34" t="n">
        <v>1</v>
      </c>
      <c r="M169" s="35" t="s">
        <v>164</v>
      </c>
      <c r="N169" s="36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39"/>
      <c r="Z169" s="39"/>
      <c r="AA169" s="28" t="n">
        <v>2</v>
      </c>
      <c r="AMJ169" s="0"/>
    </row>
    <row r="170" s="2" customFormat="true" ht="12.75" hidden="false" customHeight="true" outlineLevel="0" collapsed="false">
      <c r="A170" s="27" t="s">
        <v>468</v>
      </c>
      <c r="B170" s="27" t="s">
        <v>151</v>
      </c>
      <c r="C170" s="28" t="s">
        <v>33</v>
      </c>
      <c r="D170" s="27" t="s">
        <v>357</v>
      </c>
      <c r="E170" s="27"/>
      <c r="F170" s="29" t="s">
        <v>467</v>
      </c>
      <c r="G170" s="30" t="n">
        <v>75008</v>
      </c>
      <c r="H170" s="31" t="s">
        <v>36</v>
      </c>
      <c r="I170" s="32" t="n">
        <v>140161892</v>
      </c>
      <c r="J170" s="33" t="n">
        <v>59</v>
      </c>
      <c r="K170" s="33" t="n">
        <v>0</v>
      </c>
      <c r="L170" s="34"/>
      <c r="M170" s="35"/>
      <c r="N170" s="36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9"/>
      <c r="Z170" s="39"/>
      <c r="AA170" s="28"/>
      <c r="AC170" s="2" t="s">
        <v>38</v>
      </c>
      <c r="AMJ170" s="0"/>
    </row>
    <row r="171" s="2" customFormat="true" ht="12.75" hidden="false" customHeight="true" outlineLevel="0" collapsed="false">
      <c r="A171" s="27" t="s">
        <v>469</v>
      </c>
      <c r="B171" s="27" t="s">
        <v>470</v>
      </c>
      <c r="C171" s="28" t="s">
        <v>33</v>
      </c>
      <c r="D171" s="27" t="s">
        <v>357</v>
      </c>
      <c r="E171" s="27"/>
      <c r="F171" s="29" t="s">
        <v>467</v>
      </c>
      <c r="G171" s="30" t="n">
        <v>75008</v>
      </c>
      <c r="H171" s="31" t="s">
        <v>36</v>
      </c>
      <c r="I171" s="32" t="n">
        <v>144560065</v>
      </c>
      <c r="J171" s="33" t="n">
        <v>55</v>
      </c>
      <c r="K171" s="33" t="n">
        <v>0</v>
      </c>
      <c r="L171" s="34"/>
      <c r="M171" s="35"/>
      <c r="N171" s="36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9"/>
      <c r="Z171" s="39"/>
      <c r="AA171" s="28"/>
      <c r="AC171" s="2" t="s">
        <v>38</v>
      </c>
      <c r="AMJ171" s="0"/>
    </row>
    <row r="172" s="2" customFormat="true" ht="12.75" hidden="false" customHeight="true" outlineLevel="0" collapsed="false">
      <c r="A172" s="27" t="s">
        <v>471</v>
      </c>
      <c r="B172" s="27" t="s">
        <v>472</v>
      </c>
      <c r="C172" s="28" t="s">
        <v>41</v>
      </c>
      <c r="D172" s="27" t="s">
        <v>357</v>
      </c>
      <c r="E172" s="27"/>
      <c r="F172" s="29" t="s">
        <v>473</v>
      </c>
      <c r="G172" s="30" t="n">
        <v>75008</v>
      </c>
      <c r="H172" s="31" t="s">
        <v>36</v>
      </c>
      <c r="I172" s="32" t="n">
        <v>140055189</v>
      </c>
      <c r="J172" s="33" t="n">
        <v>312</v>
      </c>
      <c r="K172" s="33" t="n">
        <v>1</v>
      </c>
      <c r="L172" s="34"/>
      <c r="M172" s="35"/>
      <c r="N172" s="36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9"/>
      <c r="Z172" s="39"/>
      <c r="AA172" s="28"/>
      <c r="AMJ172" s="0"/>
    </row>
    <row r="173" s="2" customFormat="true" ht="12.75" hidden="false" customHeight="true" outlineLevel="0" collapsed="false">
      <c r="A173" s="27" t="s">
        <v>474</v>
      </c>
      <c r="B173" s="27" t="s">
        <v>475</v>
      </c>
      <c r="C173" s="28" t="s">
        <v>41</v>
      </c>
      <c r="D173" s="27" t="s">
        <v>357</v>
      </c>
      <c r="E173" s="27"/>
      <c r="F173" s="29" t="s">
        <v>476</v>
      </c>
      <c r="G173" s="30" t="n">
        <v>75008</v>
      </c>
      <c r="H173" s="31" t="s">
        <v>36</v>
      </c>
      <c r="I173" s="32" t="n">
        <v>145220701</v>
      </c>
      <c r="J173" s="33" t="n">
        <v>310</v>
      </c>
      <c r="K173" s="33" t="n">
        <v>0</v>
      </c>
      <c r="L173" s="34"/>
      <c r="M173" s="35"/>
      <c r="N173" s="36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9"/>
      <c r="Z173" s="39"/>
      <c r="AA173" s="28"/>
      <c r="AMJ173" s="0"/>
    </row>
    <row r="174" s="2" customFormat="true" ht="12.75" hidden="false" customHeight="true" outlineLevel="0" collapsed="false">
      <c r="A174" s="27" t="s">
        <v>477</v>
      </c>
      <c r="B174" s="27" t="s">
        <v>106</v>
      </c>
      <c r="C174" s="28" t="s">
        <v>121</v>
      </c>
      <c r="D174" s="27" t="s">
        <v>357</v>
      </c>
      <c r="E174" s="27"/>
      <c r="F174" s="29" t="s">
        <v>476</v>
      </c>
      <c r="G174" s="30" t="n">
        <v>75008</v>
      </c>
      <c r="H174" s="31" t="s">
        <v>36</v>
      </c>
      <c r="I174" s="32" t="n">
        <v>143872199</v>
      </c>
      <c r="J174" s="33" t="n">
        <v>106</v>
      </c>
      <c r="K174" s="33" t="n">
        <v>2</v>
      </c>
      <c r="L174" s="34" t="n">
        <v>2</v>
      </c>
      <c r="M174" s="35" t="s">
        <v>164</v>
      </c>
      <c r="N174" s="36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39"/>
      <c r="Z174" s="39"/>
      <c r="AA174" s="28" t="n">
        <v>3</v>
      </c>
      <c r="AMJ174" s="0"/>
    </row>
    <row r="175" s="2" customFormat="true" ht="12.75" hidden="false" customHeight="true" outlineLevel="0" collapsed="false">
      <c r="A175" s="27" t="s">
        <v>478</v>
      </c>
      <c r="B175" s="27" t="s">
        <v>237</v>
      </c>
      <c r="C175" s="28" t="s">
        <v>138</v>
      </c>
      <c r="D175" s="27" t="s">
        <v>357</v>
      </c>
      <c r="E175" s="27"/>
      <c r="F175" s="29" t="s">
        <v>479</v>
      </c>
      <c r="G175" s="30" t="n">
        <v>75008</v>
      </c>
      <c r="H175" s="31" t="s">
        <v>36</v>
      </c>
      <c r="I175" s="32" t="n">
        <v>142662937</v>
      </c>
      <c r="J175" s="33" t="n">
        <v>140</v>
      </c>
      <c r="K175" s="33" t="n">
        <v>10</v>
      </c>
      <c r="L175" s="34" t="n">
        <v>2</v>
      </c>
      <c r="M175" s="35" t="s">
        <v>164</v>
      </c>
      <c r="N175" s="36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39"/>
      <c r="Z175" s="39"/>
      <c r="AA175" s="28" t="n">
        <v>3</v>
      </c>
      <c r="AMJ175" s="0"/>
    </row>
    <row r="176" s="2" customFormat="true" ht="12.75" hidden="false" customHeight="true" outlineLevel="0" collapsed="false">
      <c r="A176" s="27" t="s">
        <v>480</v>
      </c>
      <c r="B176" s="27" t="s">
        <v>417</v>
      </c>
      <c r="C176" s="28" t="s">
        <v>138</v>
      </c>
      <c r="D176" s="27" t="s">
        <v>357</v>
      </c>
      <c r="E176" s="27"/>
      <c r="F176" s="29" t="s">
        <v>479</v>
      </c>
      <c r="G176" s="30" t="n">
        <v>75008</v>
      </c>
      <c r="H176" s="31" t="s">
        <v>36</v>
      </c>
      <c r="I176" s="32" t="n">
        <v>142662937</v>
      </c>
      <c r="J176" s="33" t="n">
        <v>140</v>
      </c>
      <c r="K176" s="33" t="n">
        <v>3</v>
      </c>
      <c r="L176" s="34"/>
      <c r="M176" s="35"/>
      <c r="N176" s="36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9"/>
      <c r="Z176" s="39"/>
      <c r="AA176" s="28"/>
      <c r="AMJ176" s="0"/>
    </row>
    <row r="177" s="2" customFormat="true" ht="12.75" hidden="false" customHeight="true" outlineLevel="0" collapsed="false">
      <c r="A177" s="27" t="s">
        <v>481</v>
      </c>
      <c r="B177" s="27" t="s">
        <v>482</v>
      </c>
      <c r="C177" s="28" t="s">
        <v>33</v>
      </c>
      <c r="D177" s="27" t="s">
        <v>357</v>
      </c>
      <c r="E177" s="27"/>
      <c r="F177" s="29" t="s">
        <v>483</v>
      </c>
      <c r="G177" s="30" t="n">
        <v>75008</v>
      </c>
      <c r="H177" s="31" t="s">
        <v>36</v>
      </c>
      <c r="I177" s="32" t="n">
        <v>144098803</v>
      </c>
      <c r="J177" s="33" t="n">
        <v>54</v>
      </c>
      <c r="K177" s="33" t="n">
        <v>1</v>
      </c>
      <c r="L177" s="34"/>
      <c r="M177" s="35"/>
      <c r="N177" s="36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9"/>
      <c r="Z177" s="39"/>
      <c r="AA177" s="28"/>
      <c r="AC177" s="2" t="s">
        <v>413</v>
      </c>
      <c r="AMJ177" s="0"/>
    </row>
    <row r="178" s="2" customFormat="true" ht="12.75" hidden="false" customHeight="true" outlineLevel="0" collapsed="false">
      <c r="A178" s="27" t="s">
        <v>484</v>
      </c>
      <c r="B178" s="27" t="s">
        <v>329</v>
      </c>
      <c r="C178" s="28" t="s">
        <v>33</v>
      </c>
      <c r="D178" s="27" t="s">
        <v>357</v>
      </c>
      <c r="E178" s="27"/>
      <c r="F178" s="29" t="s">
        <v>485</v>
      </c>
      <c r="G178" s="30" t="n">
        <v>75008</v>
      </c>
      <c r="H178" s="31" t="s">
        <v>36</v>
      </c>
      <c r="I178" s="32" t="n">
        <v>142650674</v>
      </c>
      <c r="J178" s="33" t="n">
        <v>55</v>
      </c>
      <c r="K178" s="33" t="n">
        <v>1</v>
      </c>
      <c r="L178" s="34"/>
      <c r="M178" s="35"/>
      <c r="N178" s="36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9"/>
      <c r="Z178" s="39"/>
      <c r="AA178" s="28"/>
      <c r="AC178" s="2" t="s">
        <v>416</v>
      </c>
      <c r="AE178" s="2" t="s">
        <v>486</v>
      </c>
      <c r="AMJ178" s="0"/>
    </row>
    <row r="179" s="2" customFormat="true" ht="12.75" hidden="false" customHeight="true" outlineLevel="0" collapsed="false">
      <c r="A179" s="27" t="s">
        <v>487</v>
      </c>
      <c r="B179" s="27" t="s">
        <v>65</v>
      </c>
      <c r="C179" s="28" t="s">
        <v>41</v>
      </c>
      <c r="D179" s="27" t="s">
        <v>357</v>
      </c>
      <c r="E179" s="27"/>
      <c r="F179" s="29" t="s">
        <v>488</v>
      </c>
      <c r="G179" s="30" t="n">
        <v>75008</v>
      </c>
      <c r="H179" s="31" t="s">
        <v>36</v>
      </c>
      <c r="I179" s="32"/>
      <c r="J179" s="33" t="n">
        <v>344</v>
      </c>
      <c r="K179" s="33" t="n">
        <v>1</v>
      </c>
      <c r="L179" s="34"/>
      <c r="M179" s="35"/>
      <c r="N179" s="36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9"/>
      <c r="Z179" s="39"/>
      <c r="AA179" s="28"/>
      <c r="AMJ179" s="0"/>
    </row>
    <row r="180" s="2" customFormat="true" ht="12.75" hidden="false" customHeight="true" outlineLevel="0" collapsed="false">
      <c r="A180" s="27" t="s">
        <v>489</v>
      </c>
      <c r="B180" s="27" t="s">
        <v>490</v>
      </c>
      <c r="C180" s="28" t="s">
        <v>41</v>
      </c>
      <c r="D180" s="27" t="s">
        <v>357</v>
      </c>
      <c r="E180" s="27"/>
      <c r="F180" s="29" t="s">
        <v>491</v>
      </c>
      <c r="G180" s="30" t="n">
        <v>75008</v>
      </c>
      <c r="H180" s="31" t="s">
        <v>36</v>
      </c>
      <c r="I180" s="32" t="n">
        <v>140740588</v>
      </c>
      <c r="J180" s="33" t="n">
        <v>244</v>
      </c>
      <c r="K180" s="33" t="n">
        <v>1</v>
      </c>
      <c r="L180" s="34"/>
      <c r="M180" s="35"/>
      <c r="N180" s="36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9"/>
      <c r="Z180" s="39"/>
      <c r="AA180" s="28"/>
      <c r="AMJ180" s="0"/>
    </row>
    <row r="181" s="2" customFormat="true" ht="12.75" hidden="false" customHeight="true" outlineLevel="0" collapsed="false">
      <c r="A181" s="27" t="s">
        <v>492</v>
      </c>
      <c r="B181" s="27" t="s">
        <v>493</v>
      </c>
      <c r="C181" s="28" t="s">
        <v>41</v>
      </c>
      <c r="D181" s="27" t="s">
        <v>357</v>
      </c>
      <c r="E181" s="27"/>
      <c r="F181" s="29" t="s">
        <v>494</v>
      </c>
      <c r="G181" s="30" t="n">
        <v>75008</v>
      </c>
      <c r="H181" s="31" t="s">
        <v>36</v>
      </c>
      <c r="I181" s="32" t="n">
        <v>145221043</v>
      </c>
      <c r="J181" s="33" t="n">
        <v>292</v>
      </c>
      <c r="K181" s="33" t="n">
        <v>1</v>
      </c>
      <c r="L181" s="34"/>
      <c r="M181" s="35"/>
      <c r="N181" s="36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9"/>
      <c r="Z181" s="39"/>
      <c r="AA181" s="28"/>
      <c r="AMJ181" s="0"/>
    </row>
    <row r="182" s="2" customFormat="true" ht="12.75" hidden="false" customHeight="true" outlineLevel="0" collapsed="false">
      <c r="A182" s="27" t="s">
        <v>495</v>
      </c>
      <c r="B182" s="27" t="s">
        <v>210</v>
      </c>
      <c r="C182" s="28" t="s">
        <v>33</v>
      </c>
      <c r="D182" s="27" t="s">
        <v>357</v>
      </c>
      <c r="E182" s="27"/>
      <c r="F182" s="29" t="s">
        <v>496</v>
      </c>
      <c r="G182" s="30" t="n">
        <v>75008</v>
      </c>
      <c r="H182" s="31" t="s">
        <v>36</v>
      </c>
      <c r="I182" s="32" t="n">
        <v>142893410</v>
      </c>
      <c r="J182" s="33" t="n">
        <v>51</v>
      </c>
      <c r="K182" s="33" t="n">
        <v>2</v>
      </c>
      <c r="L182" s="34"/>
      <c r="M182" s="35"/>
      <c r="N182" s="36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9"/>
      <c r="Z182" s="39"/>
      <c r="AA182" s="28"/>
      <c r="AC182" s="2" t="s">
        <v>197</v>
      </c>
      <c r="AMJ182" s="0"/>
    </row>
    <row r="183" s="2" customFormat="true" ht="12.75" hidden="false" customHeight="true" outlineLevel="0" collapsed="false">
      <c r="A183" s="27" t="s">
        <v>497</v>
      </c>
      <c r="B183" s="27" t="s">
        <v>498</v>
      </c>
      <c r="C183" s="28" t="s">
        <v>41</v>
      </c>
      <c r="D183" s="27" t="s">
        <v>357</v>
      </c>
      <c r="E183" s="27"/>
      <c r="F183" s="29" t="s">
        <v>499</v>
      </c>
      <c r="G183" s="30" t="n">
        <v>75008</v>
      </c>
      <c r="H183" s="31" t="s">
        <v>36</v>
      </c>
      <c r="I183" s="32" t="n">
        <v>143802490</v>
      </c>
      <c r="J183" s="33" t="n">
        <v>375</v>
      </c>
      <c r="K183" s="33" t="n">
        <v>2</v>
      </c>
      <c r="L183" s="34"/>
      <c r="M183" s="35"/>
      <c r="N183" s="36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9"/>
      <c r="Z183" s="39"/>
      <c r="AA183" s="28"/>
      <c r="AMJ183" s="0"/>
    </row>
    <row r="184" s="2" customFormat="true" ht="12.75" hidden="false" customHeight="true" outlineLevel="0" collapsed="false">
      <c r="A184" s="27" t="s">
        <v>500</v>
      </c>
      <c r="B184" s="27" t="s">
        <v>446</v>
      </c>
      <c r="C184" s="28" t="s">
        <v>41</v>
      </c>
      <c r="D184" s="27" t="s">
        <v>357</v>
      </c>
      <c r="E184" s="27"/>
      <c r="F184" s="29" t="s">
        <v>501</v>
      </c>
      <c r="G184" s="30" t="n">
        <v>75008</v>
      </c>
      <c r="H184" s="31" t="s">
        <v>36</v>
      </c>
      <c r="I184" s="32" t="n">
        <v>142931255</v>
      </c>
      <c r="J184" s="33" t="n">
        <v>271</v>
      </c>
      <c r="K184" s="33" t="n">
        <v>2</v>
      </c>
      <c r="L184" s="34"/>
      <c r="M184" s="35"/>
      <c r="N184" s="36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9"/>
      <c r="Z184" s="39"/>
      <c r="AA184" s="28"/>
      <c r="AMJ184" s="0"/>
    </row>
    <row r="185" s="2" customFormat="true" ht="12.75" hidden="false" customHeight="true" outlineLevel="0" collapsed="false">
      <c r="A185" s="27" t="s">
        <v>502</v>
      </c>
      <c r="B185" s="27" t="s">
        <v>106</v>
      </c>
      <c r="C185" s="28" t="s">
        <v>41</v>
      </c>
      <c r="D185" s="27" t="s">
        <v>357</v>
      </c>
      <c r="E185" s="27"/>
      <c r="F185" s="29" t="s">
        <v>503</v>
      </c>
      <c r="G185" s="30" t="n">
        <v>75008</v>
      </c>
      <c r="H185" s="31" t="s">
        <v>36</v>
      </c>
      <c r="I185" s="32" t="n">
        <v>145220520</v>
      </c>
      <c r="J185" s="33" t="n">
        <v>308</v>
      </c>
      <c r="K185" s="33" t="n">
        <v>1</v>
      </c>
      <c r="L185" s="34"/>
      <c r="M185" s="35"/>
      <c r="N185" s="36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9"/>
      <c r="Z185" s="39"/>
      <c r="AA185" s="28"/>
      <c r="AMJ185" s="0"/>
    </row>
    <row r="186" s="2" customFormat="true" ht="12.75" hidden="false" customHeight="true" outlineLevel="0" collapsed="false">
      <c r="A186" s="27" t="s">
        <v>504</v>
      </c>
      <c r="B186" s="27" t="s">
        <v>505</v>
      </c>
      <c r="C186" s="28" t="s">
        <v>41</v>
      </c>
      <c r="D186" s="27" t="s">
        <v>357</v>
      </c>
      <c r="E186" s="27"/>
      <c r="F186" s="29" t="s">
        <v>506</v>
      </c>
      <c r="G186" s="30" t="n">
        <v>75008</v>
      </c>
      <c r="H186" s="31" t="s">
        <v>36</v>
      </c>
      <c r="I186" s="32" t="n">
        <v>986449125</v>
      </c>
      <c r="J186" s="33" t="n">
        <v>81</v>
      </c>
      <c r="K186" s="33" t="n">
        <v>8</v>
      </c>
      <c r="L186" s="34"/>
      <c r="M186" s="35"/>
      <c r="N186" s="36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9"/>
      <c r="Z186" s="39"/>
      <c r="AA186" s="28"/>
      <c r="AMJ186" s="0"/>
    </row>
    <row r="187" s="2" customFormat="true" ht="12.75" hidden="false" customHeight="true" outlineLevel="0" collapsed="false">
      <c r="A187" s="27" t="s">
        <v>507</v>
      </c>
      <c r="B187" s="27" t="s">
        <v>149</v>
      </c>
      <c r="C187" s="28" t="s">
        <v>33</v>
      </c>
      <c r="D187" s="27" t="s">
        <v>357</v>
      </c>
      <c r="E187" s="27"/>
      <c r="F187" s="29" t="s">
        <v>506</v>
      </c>
      <c r="G187" s="30" t="n">
        <v>75008</v>
      </c>
      <c r="H187" s="31" t="s">
        <v>36</v>
      </c>
      <c r="I187" s="32" t="n">
        <v>140060962</v>
      </c>
      <c r="J187" s="33" t="n">
        <v>51</v>
      </c>
      <c r="K187" s="33" t="n">
        <v>0</v>
      </c>
      <c r="L187" s="34"/>
      <c r="M187" s="35"/>
      <c r="N187" s="36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9"/>
      <c r="Z187" s="39"/>
      <c r="AA187" s="28"/>
      <c r="AC187" s="2" t="s">
        <v>413</v>
      </c>
      <c r="AMJ187" s="0"/>
    </row>
    <row r="188" s="2" customFormat="true" ht="12.75" hidden="false" customHeight="true" outlineLevel="0" collapsed="false">
      <c r="A188" s="27" t="s">
        <v>508</v>
      </c>
      <c r="B188" s="27" t="s">
        <v>344</v>
      </c>
      <c r="C188" s="28" t="s">
        <v>138</v>
      </c>
      <c r="D188" s="27" t="s">
        <v>357</v>
      </c>
      <c r="E188" s="27"/>
      <c r="F188" s="29" t="s">
        <v>509</v>
      </c>
      <c r="G188" s="30" t="n">
        <v>75008</v>
      </c>
      <c r="H188" s="31" t="s">
        <v>36</v>
      </c>
      <c r="I188" s="32" t="n">
        <v>145081555</v>
      </c>
      <c r="J188" s="33" t="n">
        <v>118</v>
      </c>
      <c r="K188" s="33" t="n">
        <v>1</v>
      </c>
      <c r="L188" s="34" t="n">
        <v>2</v>
      </c>
      <c r="M188" s="35" t="s">
        <v>164</v>
      </c>
      <c r="N188" s="36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39"/>
      <c r="Z188" s="39"/>
      <c r="AA188" s="28" t="n">
        <v>2</v>
      </c>
      <c r="AMJ188" s="0"/>
    </row>
    <row r="189" s="2" customFormat="true" ht="12.75" hidden="false" customHeight="true" outlineLevel="0" collapsed="false">
      <c r="A189" s="27" t="s">
        <v>510</v>
      </c>
      <c r="B189" s="27" t="s">
        <v>511</v>
      </c>
      <c r="C189" s="28" t="s">
        <v>77</v>
      </c>
      <c r="D189" s="27" t="s">
        <v>357</v>
      </c>
      <c r="E189" s="27"/>
      <c r="F189" s="29" t="s">
        <v>509</v>
      </c>
      <c r="G189" s="30" t="n">
        <v>75008</v>
      </c>
      <c r="H189" s="31" t="s">
        <v>36</v>
      </c>
      <c r="I189" s="32" t="n">
        <v>145081555</v>
      </c>
      <c r="J189" s="33" t="n">
        <v>206</v>
      </c>
      <c r="K189" s="33" t="n">
        <v>1</v>
      </c>
      <c r="L189" s="34"/>
      <c r="M189" s="35"/>
      <c r="N189" s="36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9"/>
      <c r="Z189" s="39"/>
      <c r="AA189" s="28"/>
      <c r="AMJ189" s="0"/>
    </row>
    <row r="190" s="2" customFormat="true" ht="12.75" hidden="false" customHeight="true" outlineLevel="0" collapsed="false">
      <c r="A190" s="27" t="s">
        <v>512</v>
      </c>
      <c r="B190" s="27" t="s">
        <v>266</v>
      </c>
      <c r="C190" s="28" t="s">
        <v>178</v>
      </c>
      <c r="D190" s="27" t="s">
        <v>357</v>
      </c>
      <c r="E190" s="27" t="s">
        <v>513</v>
      </c>
      <c r="F190" s="29" t="s">
        <v>514</v>
      </c>
      <c r="G190" s="30" t="n">
        <v>75008</v>
      </c>
      <c r="H190" s="31" t="s">
        <v>36</v>
      </c>
      <c r="I190" s="32" t="n">
        <v>155566251</v>
      </c>
      <c r="J190" s="33" t="n">
        <v>242</v>
      </c>
      <c r="K190" s="33" t="n">
        <v>1</v>
      </c>
      <c r="L190" s="34"/>
      <c r="M190" s="35"/>
      <c r="N190" s="36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9"/>
      <c r="Z190" s="39"/>
      <c r="AA190" s="28"/>
      <c r="AMJ190" s="0"/>
    </row>
    <row r="191" s="2" customFormat="true" ht="12.75" hidden="false" customHeight="true" outlineLevel="0" collapsed="false">
      <c r="A191" s="27" t="s">
        <v>515</v>
      </c>
      <c r="B191" s="27" t="s">
        <v>516</v>
      </c>
      <c r="C191" s="28" t="s">
        <v>178</v>
      </c>
      <c r="D191" s="27" t="s">
        <v>357</v>
      </c>
      <c r="E191" s="27" t="s">
        <v>513</v>
      </c>
      <c r="F191" s="29" t="s">
        <v>514</v>
      </c>
      <c r="G191" s="30" t="n">
        <v>75008</v>
      </c>
      <c r="H191" s="31" t="s">
        <v>36</v>
      </c>
      <c r="I191" s="32" t="n">
        <v>155566252</v>
      </c>
      <c r="J191" s="33" t="n">
        <v>153</v>
      </c>
      <c r="K191" s="33" t="n">
        <v>2</v>
      </c>
      <c r="L191" s="34"/>
      <c r="M191" s="35"/>
      <c r="N191" s="36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9"/>
      <c r="Z191" s="39"/>
      <c r="AA191" s="28"/>
      <c r="AMJ191" s="0"/>
    </row>
    <row r="192" s="2" customFormat="true" ht="12.75" hidden="false" customHeight="true" outlineLevel="0" collapsed="false">
      <c r="A192" s="27" t="s">
        <v>510</v>
      </c>
      <c r="B192" s="27" t="s">
        <v>517</v>
      </c>
      <c r="C192" s="28" t="s">
        <v>178</v>
      </c>
      <c r="D192" s="27" t="s">
        <v>357</v>
      </c>
      <c r="E192" s="27" t="s">
        <v>513</v>
      </c>
      <c r="F192" s="29" t="s">
        <v>514</v>
      </c>
      <c r="G192" s="30" t="n">
        <v>75008</v>
      </c>
      <c r="H192" s="31" t="s">
        <v>36</v>
      </c>
      <c r="I192" s="32" t="n">
        <v>155566250</v>
      </c>
      <c r="J192" s="33" t="n">
        <v>99</v>
      </c>
      <c r="K192" s="33" t="n">
        <v>3</v>
      </c>
      <c r="L192" s="34"/>
      <c r="M192" s="35"/>
      <c r="N192" s="36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9"/>
      <c r="Z192" s="39"/>
      <c r="AA192" s="28"/>
      <c r="AMJ192" s="0"/>
    </row>
    <row r="193" s="2" customFormat="true" ht="12.75" hidden="false" customHeight="true" outlineLevel="0" collapsed="false">
      <c r="A193" s="27" t="s">
        <v>518</v>
      </c>
      <c r="B193" s="27" t="s">
        <v>519</v>
      </c>
      <c r="C193" s="28" t="s">
        <v>138</v>
      </c>
      <c r="D193" s="27" t="s">
        <v>357</v>
      </c>
      <c r="E193" s="27" t="s">
        <v>513</v>
      </c>
      <c r="F193" s="29" t="s">
        <v>514</v>
      </c>
      <c r="G193" s="30" t="n">
        <v>75008</v>
      </c>
      <c r="H193" s="31" t="s">
        <v>36</v>
      </c>
      <c r="I193" s="32" t="n">
        <v>177707410</v>
      </c>
      <c r="J193" s="33" t="n">
        <v>265</v>
      </c>
      <c r="K193" s="33" t="n">
        <v>3</v>
      </c>
      <c r="L193" s="34"/>
      <c r="M193" s="35"/>
      <c r="N193" s="36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9"/>
      <c r="Z193" s="39"/>
      <c r="AA193" s="28"/>
      <c r="AMJ193" s="0"/>
    </row>
    <row r="194" s="2" customFormat="true" ht="12.75" hidden="false" customHeight="true" outlineLevel="0" collapsed="false">
      <c r="A194" s="27" t="s">
        <v>520</v>
      </c>
      <c r="B194" s="27" t="s">
        <v>521</v>
      </c>
      <c r="C194" s="28" t="s">
        <v>138</v>
      </c>
      <c r="D194" s="27" t="s">
        <v>357</v>
      </c>
      <c r="E194" s="27" t="s">
        <v>513</v>
      </c>
      <c r="F194" s="29" t="s">
        <v>514</v>
      </c>
      <c r="G194" s="30" t="n">
        <v>75008</v>
      </c>
      <c r="H194" s="31" t="s">
        <v>36</v>
      </c>
      <c r="I194" s="32" t="n">
        <v>155566250</v>
      </c>
      <c r="J194" s="33" t="n">
        <v>171</v>
      </c>
      <c r="K194" s="33" t="n">
        <v>1</v>
      </c>
      <c r="L194" s="34"/>
      <c r="M194" s="35"/>
      <c r="N194" s="36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9" t="n">
        <v>45123.5</v>
      </c>
      <c r="Z194" s="39"/>
      <c r="AA194" s="28"/>
      <c r="AMJ194" s="0"/>
    </row>
    <row r="195" s="2" customFormat="true" ht="12.75" hidden="false" customHeight="true" outlineLevel="0" collapsed="false">
      <c r="A195" s="27" t="s">
        <v>522</v>
      </c>
      <c r="B195" s="27" t="s">
        <v>363</v>
      </c>
      <c r="C195" s="28" t="s">
        <v>138</v>
      </c>
      <c r="D195" s="27" t="s">
        <v>357</v>
      </c>
      <c r="E195" s="27" t="s">
        <v>513</v>
      </c>
      <c r="F195" s="29" t="s">
        <v>514</v>
      </c>
      <c r="G195" s="30" t="n">
        <v>75008</v>
      </c>
      <c r="H195" s="31" t="s">
        <v>36</v>
      </c>
      <c r="I195" s="32" t="n">
        <v>155566250</v>
      </c>
      <c r="J195" s="33" t="n">
        <v>166</v>
      </c>
      <c r="K195" s="33" t="n">
        <v>8</v>
      </c>
      <c r="L195" s="34"/>
      <c r="M195" s="35"/>
      <c r="N195" s="36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9" t="n">
        <v>45133.4583333333</v>
      </c>
      <c r="Z195" s="39"/>
      <c r="AA195" s="28"/>
      <c r="AMJ195" s="0"/>
    </row>
    <row r="196" s="2" customFormat="true" ht="12.75" hidden="false" customHeight="true" outlineLevel="0" collapsed="false">
      <c r="A196" s="27" t="s">
        <v>316</v>
      </c>
      <c r="B196" s="27" t="s">
        <v>187</v>
      </c>
      <c r="C196" s="28" t="s">
        <v>138</v>
      </c>
      <c r="D196" s="27" t="s">
        <v>357</v>
      </c>
      <c r="E196" s="27" t="s">
        <v>513</v>
      </c>
      <c r="F196" s="29" t="s">
        <v>514</v>
      </c>
      <c r="G196" s="30" t="n">
        <v>75008</v>
      </c>
      <c r="H196" s="31" t="s">
        <v>36</v>
      </c>
      <c r="I196" s="32" t="n">
        <v>155566250</v>
      </c>
      <c r="J196" s="33" t="n">
        <v>162</v>
      </c>
      <c r="K196" s="33" t="n">
        <v>21</v>
      </c>
      <c r="L196" s="34" t="n">
        <v>1</v>
      </c>
      <c r="M196" s="44" t="s">
        <v>321</v>
      </c>
      <c r="N196" s="36" t="s">
        <v>523</v>
      </c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39"/>
      <c r="Z196" s="39"/>
      <c r="AA196" s="28" t="n">
        <v>4</v>
      </c>
      <c r="AMJ196" s="0"/>
    </row>
    <row r="197" s="2" customFormat="true" ht="12.75" hidden="false" customHeight="true" outlineLevel="0" collapsed="false">
      <c r="A197" s="27" t="s">
        <v>524</v>
      </c>
      <c r="B197" s="27" t="s">
        <v>525</v>
      </c>
      <c r="C197" s="28" t="s">
        <v>138</v>
      </c>
      <c r="D197" s="27" t="s">
        <v>357</v>
      </c>
      <c r="E197" s="27" t="s">
        <v>513</v>
      </c>
      <c r="F197" s="29" t="s">
        <v>514</v>
      </c>
      <c r="G197" s="30" t="n">
        <v>75008</v>
      </c>
      <c r="H197" s="31" t="s">
        <v>36</v>
      </c>
      <c r="I197" s="32" t="n">
        <v>155566250</v>
      </c>
      <c r="J197" s="33" t="n">
        <v>158</v>
      </c>
      <c r="K197" s="33" t="n">
        <v>11</v>
      </c>
      <c r="L197" s="34"/>
      <c r="M197" s="35" t="s">
        <v>164</v>
      </c>
      <c r="N197" s="36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9" t="n">
        <v>45133.5416666667</v>
      </c>
      <c r="Z197" s="39"/>
      <c r="AA197" s="28" t="n">
        <v>3</v>
      </c>
      <c r="AMJ197" s="0"/>
    </row>
    <row r="198" s="2" customFormat="true" ht="12.75" hidden="false" customHeight="true" outlineLevel="0" collapsed="false">
      <c r="A198" s="27" t="s">
        <v>526</v>
      </c>
      <c r="B198" s="27" t="s">
        <v>527</v>
      </c>
      <c r="C198" s="28" t="s">
        <v>138</v>
      </c>
      <c r="D198" s="27" t="s">
        <v>357</v>
      </c>
      <c r="E198" s="27" t="s">
        <v>513</v>
      </c>
      <c r="F198" s="29" t="s">
        <v>514</v>
      </c>
      <c r="G198" s="30" t="n">
        <v>75008</v>
      </c>
      <c r="H198" s="31" t="s">
        <v>36</v>
      </c>
      <c r="I198" s="32" t="n">
        <v>155566250</v>
      </c>
      <c r="J198" s="33" t="n">
        <v>141</v>
      </c>
      <c r="K198" s="33" t="n">
        <v>8</v>
      </c>
      <c r="L198" s="34"/>
      <c r="M198" s="35"/>
      <c r="N198" s="36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9"/>
      <c r="Z198" s="39"/>
      <c r="AA198" s="28"/>
      <c r="AMJ198" s="0"/>
    </row>
    <row r="199" s="2" customFormat="true" ht="12.75" hidden="false" customHeight="true" outlineLevel="0" collapsed="false">
      <c r="A199" s="27" t="s">
        <v>528</v>
      </c>
      <c r="B199" s="27" t="s">
        <v>452</v>
      </c>
      <c r="C199" s="28" t="s">
        <v>138</v>
      </c>
      <c r="D199" s="27" t="s">
        <v>357</v>
      </c>
      <c r="E199" s="27" t="s">
        <v>513</v>
      </c>
      <c r="F199" s="29" t="s">
        <v>514</v>
      </c>
      <c r="G199" s="30" t="n">
        <v>75008</v>
      </c>
      <c r="H199" s="31" t="s">
        <v>36</v>
      </c>
      <c r="I199" s="32" t="n">
        <v>155566250</v>
      </c>
      <c r="J199" s="33" t="n">
        <v>133</v>
      </c>
      <c r="K199" s="33" t="n">
        <v>13</v>
      </c>
      <c r="L199" s="34" t="n">
        <v>2</v>
      </c>
      <c r="M199" s="35" t="s">
        <v>164</v>
      </c>
      <c r="N199" s="36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39"/>
      <c r="Z199" s="39"/>
      <c r="AA199" s="28" t="n">
        <v>3</v>
      </c>
      <c r="AMJ199" s="0"/>
    </row>
    <row r="200" s="2" customFormat="true" ht="12.75" hidden="false" customHeight="true" outlineLevel="0" collapsed="false">
      <c r="A200" s="27" t="s">
        <v>529</v>
      </c>
      <c r="B200" s="27" t="s">
        <v>127</v>
      </c>
      <c r="C200" s="28" t="s">
        <v>138</v>
      </c>
      <c r="D200" s="27" t="s">
        <v>357</v>
      </c>
      <c r="E200" s="27" t="s">
        <v>513</v>
      </c>
      <c r="F200" s="29" t="s">
        <v>514</v>
      </c>
      <c r="G200" s="30" t="n">
        <v>75008</v>
      </c>
      <c r="H200" s="31" t="s">
        <v>36</v>
      </c>
      <c r="I200" s="32" t="n">
        <v>155566250</v>
      </c>
      <c r="J200" s="33" t="n">
        <v>128</v>
      </c>
      <c r="K200" s="33" t="n">
        <v>10</v>
      </c>
      <c r="L200" s="34" t="n">
        <v>1</v>
      </c>
      <c r="M200" s="35" t="s">
        <v>164</v>
      </c>
      <c r="N200" s="36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39"/>
      <c r="Z200" s="39"/>
      <c r="AA200" s="28" t="n">
        <v>3</v>
      </c>
      <c r="AMJ200" s="0"/>
    </row>
    <row r="201" s="2" customFormat="true" ht="12.75" hidden="false" customHeight="true" outlineLevel="0" collapsed="false">
      <c r="A201" s="27" t="s">
        <v>530</v>
      </c>
      <c r="B201" s="27" t="s">
        <v>151</v>
      </c>
      <c r="C201" s="28" t="s">
        <v>138</v>
      </c>
      <c r="D201" s="27" t="s">
        <v>357</v>
      </c>
      <c r="E201" s="27" t="s">
        <v>513</v>
      </c>
      <c r="F201" s="29" t="s">
        <v>514</v>
      </c>
      <c r="G201" s="30" t="n">
        <v>75008</v>
      </c>
      <c r="H201" s="31" t="s">
        <v>36</v>
      </c>
      <c r="I201" s="32" t="n">
        <v>155566251</v>
      </c>
      <c r="J201" s="33" t="n">
        <v>128</v>
      </c>
      <c r="K201" s="33" t="n">
        <v>9</v>
      </c>
      <c r="L201" s="34" t="n">
        <v>1</v>
      </c>
      <c r="M201" s="35" t="s">
        <v>164</v>
      </c>
      <c r="N201" s="36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39"/>
      <c r="Z201" s="39"/>
      <c r="AA201" s="28" t="n">
        <v>3</v>
      </c>
      <c r="AMJ201" s="0"/>
    </row>
    <row r="202" s="2" customFormat="true" ht="12.75" hidden="false" customHeight="true" outlineLevel="0" collapsed="false">
      <c r="A202" s="27" t="s">
        <v>531</v>
      </c>
      <c r="B202" s="27" t="s">
        <v>532</v>
      </c>
      <c r="C202" s="28" t="s">
        <v>138</v>
      </c>
      <c r="D202" s="27" t="s">
        <v>357</v>
      </c>
      <c r="E202" s="27" t="s">
        <v>513</v>
      </c>
      <c r="F202" s="29" t="s">
        <v>514</v>
      </c>
      <c r="G202" s="30" t="n">
        <v>75008</v>
      </c>
      <c r="H202" s="31" t="s">
        <v>36</v>
      </c>
      <c r="I202" s="32" t="n">
        <v>155566250</v>
      </c>
      <c r="J202" s="33" t="n">
        <v>127</v>
      </c>
      <c r="K202" s="33" t="n">
        <v>1</v>
      </c>
      <c r="L202" s="34"/>
      <c r="M202" s="35"/>
      <c r="N202" s="36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9"/>
      <c r="Z202" s="39"/>
      <c r="AA202" s="28"/>
      <c r="AMJ202" s="0"/>
    </row>
    <row r="203" s="2" customFormat="true" ht="12.75" hidden="false" customHeight="true" outlineLevel="0" collapsed="false">
      <c r="A203" s="27" t="s">
        <v>533</v>
      </c>
      <c r="B203" s="27" t="s">
        <v>534</v>
      </c>
      <c r="C203" s="28" t="s">
        <v>138</v>
      </c>
      <c r="D203" s="27" t="s">
        <v>357</v>
      </c>
      <c r="E203" s="27" t="s">
        <v>513</v>
      </c>
      <c r="F203" s="29" t="s">
        <v>514</v>
      </c>
      <c r="G203" s="30" t="n">
        <v>75008</v>
      </c>
      <c r="H203" s="31" t="s">
        <v>36</v>
      </c>
      <c r="I203" s="32" t="n">
        <v>147696637</v>
      </c>
      <c r="J203" s="33" t="n">
        <v>125</v>
      </c>
      <c r="K203" s="33" t="n">
        <v>7</v>
      </c>
      <c r="L203" s="34" t="n">
        <v>1</v>
      </c>
      <c r="M203" s="35" t="s">
        <v>164</v>
      </c>
      <c r="N203" s="36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39"/>
      <c r="Z203" s="39"/>
      <c r="AA203" s="28" t="n">
        <v>3</v>
      </c>
      <c r="AMJ203" s="0"/>
    </row>
    <row r="204" s="2" customFormat="true" ht="12.75" hidden="false" customHeight="true" outlineLevel="0" collapsed="false">
      <c r="A204" s="27" t="s">
        <v>535</v>
      </c>
      <c r="B204" s="27" t="s">
        <v>536</v>
      </c>
      <c r="C204" s="28" t="s">
        <v>138</v>
      </c>
      <c r="D204" s="27" t="s">
        <v>357</v>
      </c>
      <c r="E204" s="27" t="s">
        <v>513</v>
      </c>
      <c r="F204" s="29" t="s">
        <v>514</v>
      </c>
      <c r="G204" s="30" t="n">
        <v>75008</v>
      </c>
      <c r="H204" s="31" t="s">
        <v>36</v>
      </c>
      <c r="I204" s="32"/>
      <c r="J204" s="33" t="n">
        <v>122</v>
      </c>
      <c r="K204" s="33" t="n">
        <v>5</v>
      </c>
      <c r="L204" s="34"/>
      <c r="M204" s="35"/>
      <c r="N204" s="36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9"/>
      <c r="Z204" s="39"/>
      <c r="AA204" s="28"/>
      <c r="AMJ204" s="0"/>
    </row>
    <row r="205" s="2" customFormat="true" ht="12.75" hidden="false" customHeight="true" outlineLevel="0" collapsed="false">
      <c r="A205" s="27" t="s">
        <v>134</v>
      </c>
      <c r="B205" s="27" t="s">
        <v>537</v>
      </c>
      <c r="C205" s="28" t="s">
        <v>41</v>
      </c>
      <c r="D205" s="27" t="s">
        <v>357</v>
      </c>
      <c r="E205" s="27" t="s">
        <v>513</v>
      </c>
      <c r="F205" s="29" t="s">
        <v>514</v>
      </c>
      <c r="G205" s="30" t="n">
        <v>75008</v>
      </c>
      <c r="H205" s="31" t="s">
        <v>36</v>
      </c>
      <c r="I205" s="32" t="n">
        <v>155566251</v>
      </c>
      <c r="J205" s="33" t="n">
        <v>593</v>
      </c>
      <c r="K205" s="33" t="n">
        <v>9</v>
      </c>
      <c r="L205" s="34"/>
      <c r="M205" s="35"/>
      <c r="N205" s="36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9"/>
      <c r="Z205" s="39"/>
      <c r="AA205" s="28"/>
      <c r="AMJ205" s="0"/>
    </row>
    <row r="206" s="2" customFormat="true" ht="12.75" hidden="false" customHeight="true" outlineLevel="0" collapsed="false">
      <c r="A206" s="27" t="s">
        <v>538</v>
      </c>
      <c r="B206" s="27" t="s">
        <v>539</v>
      </c>
      <c r="C206" s="28" t="s">
        <v>41</v>
      </c>
      <c r="D206" s="27" t="s">
        <v>357</v>
      </c>
      <c r="E206" s="27" t="s">
        <v>513</v>
      </c>
      <c r="F206" s="29" t="s">
        <v>514</v>
      </c>
      <c r="G206" s="30" t="n">
        <v>75008</v>
      </c>
      <c r="H206" s="31" t="s">
        <v>36</v>
      </c>
      <c r="I206" s="32" t="n">
        <v>155566250</v>
      </c>
      <c r="J206" s="33" t="n">
        <v>314</v>
      </c>
      <c r="K206" s="33" t="n">
        <v>1</v>
      </c>
      <c r="L206" s="34"/>
      <c r="M206" s="35"/>
      <c r="N206" s="36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9"/>
      <c r="Z206" s="39"/>
      <c r="AA206" s="28"/>
      <c r="AMJ206" s="0"/>
    </row>
    <row r="207" s="2" customFormat="true" ht="12.75" hidden="false" customHeight="true" outlineLevel="0" collapsed="false">
      <c r="A207" s="27" t="s">
        <v>540</v>
      </c>
      <c r="B207" s="27" t="s">
        <v>151</v>
      </c>
      <c r="C207" s="28" t="s">
        <v>41</v>
      </c>
      <c r="D207" s="27" t="s">
        <v>357</v>
      </c>
      <c r="E207" s="27" t="s">
        <v>513</v>
      </c>
      <c r="F207" s="29" t="s">
        <v>514</v>
      </c>
      <c r="G207" s="30" t="n">
        <v>75008</v>
      </c>
      <c r="H207" s="31" t="s">
        <v>36</v>
      </c>
      <c r="I207" s="32" t="n">
        <v>155566250</v>
      </c>
      <c r="J207" s="33" t="n">
        <v>279</v>
      </c>
      <c r="K207" s="33" t="n">
        <v>5</v>
      </c>
      <c r="L207" s="34"/>
      <c r="M207" s="35"/>
      <c r="N207" s="36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9"/>
      <c r="Z207" s="39"/>
      <c r="AA207" s="28"/>
      <c r="AMJ207" s="0"/>
    </row>
    <row r="208" s="2" customFormat="true" ht="12.75" hidden="false" customHeight="true" outlineLevel="0" collapsed="false">
      <c r="A208" s="27" t="s">
        <v>541</v>
      </c>
      <c r="B208" s="27" t="s">
        <v>542</v>
      </c>
      <c r="C208" s="28" t="s">
        <v>41</v>
      </c>
      <c r="D208" s="27" t="s">
        <v>357</v>
      </c>
      <c r="E208" s="27" t="s">
        <v>513</v>
      </c>
      <c r="F208" s="29" t="s">
        <v>514</v>
      </c>
      <c r="G208" s="30" t="n">
        <v>75008</v>
      </c>
      <c r="H208" s="31" t="s">
        <v>36</v>
      </c>
      <c r="I208" s="32" t="n">
        <v>155566250</v>
      </c>
      <c r="J208" s="33" t="n">
        <v>275</v>
      </c>
      <c r="K208" s="33" t="n">
        <v>4</v>
      </c>
      <c r="L208" s="34"/>
      <c r="M208" s="35"/>
      <c r="N208" s="36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9"/>
      <c r="Z208" s="39"/>
      <c r="AA208" s="28"/>
      <c r="AMJ208" s="0"/>
    </row>
    <row r="209" s="2" customFormat="true" ht="12.75" hidden="false" customHeight="true" outlineLevel="0" collapsed="false">
      <c r="A209" s="27" t="s">
        <v>543</v>
      </c>
      <c r="B209" s="27" t="s">
        <v>544</v>
      </c>
      <c r="C209" s="28" t="s">
        <v>41</v>
      </c>
      <c r="D209" s="27" t="s">
        <v>357</v>
      </c>
      <c r="E209" s="27" t="s">
        <v>513</v>
      </c>
      <c r="F209" s="29" t="s">
        <v>514</v>
      </c>
      <c r="G209" s="30" t="n">
        <v>75008</v>
      </c>
      <c r="H209" s="31" t="s">
        <v>36</v>
      </c>
      <c r="I209" s="32" t="n">
        <v>155566250</v>
      </c>
      <c r="J209" s="33" t="n">
        <v>160</v>
      </c>
      <c r="K209" s="33" t="n">
        <v>1</v>
      </c>
      <c r="L209" s="34"/>
      <c r="M209" s="35"/>
      <c r="N209" s="36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9"/>
      <c r="Z209" s="39"/>
      <c r="AA209" s="28"/>
      <c r="AMJ209" s="0"/>
    </row>
    <row r="210" s="2" customFormat="true" ht="12.75" hidden="false" customHeight="true" outlineLevel="0" collapsed="false">
      <c r="A210" s="27" t="s">
        <v>545</v>
      </c>
      <c r="B210" s="27" t="s">
        <v>546</v>
      </c>
      <c r="C210" s="28" t="s">
        <v>41</v>
      </c>
      <c r="D210" s="27" t="s">
        <v>357</v>
      </c>
      <c r="E210" s="27" t="s">
        <v>513</v>
      </c>
      <c r="F210" s="29" t="s">
        <v>514</v>
      </c>
      <c r="G210" s="30" t="n">
        <v>75008</v>
      </c>
      <c r="H210" s="31" t="s">
        <v>36</v>
      </c>
      <c r="I210" s="32" t="n">
        <v>155566250</v>
      </c>
      <c r="J210" s="33" t="n">
        <v>150</v>
      </c>
      <c r="K210" s="33" t="n">
        <v>2</v>
      </c>
      <c r="L210" s="34"/>
      <c r="M210" s="35"/>
      <c r="N210" s="36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9" t="n">
        <v>45191.5833333333</v>
      </c>
      <c r="Z210" s="39"/>
      <c r="AA210" s="28"/>
      <c r="AMJ210" s="0"/>
    </row>
    <row r="211" s="2" customFormat="true" ht="12.75" hidden="false" customHeight="true" outlineLevel="0" collapsed="false">
      <c r="A211" s="27" t="s">
        <v>547</v>
      </c>
      <c r="B211" s="27" t="s">
        <v>548</v>
      </c>
      <c r="C211" s="28" t="s">
        <v>41</v>
      </c>
      <c r="D211" s="27" t="s">
        <v>357</v>
      </c>
      <c r="E211" s="27" t="s">
        <v>513</v>
      </c>
      <c r="F211" s="29" t="s">
        <v>514</v>
      </c>
      <c r="G211" s="30" t="n">
        <v>75008</v>
      </c>
      <c r="H211" s="31" t="s">
        <v>36</v>
      </c>
      <c r="I211" s="32" t="n">
        <v>155566250</v>
      </c>
      <c r="J211" s="33" t="n">
        <v>150</v>
      </c>
      <c r="K211" s="33" t="n">
        <v>1</v>
      </c>
      <c r="L211" s="34"/>
      <c r="M211" s="35"/>
      <c r="N211" s="36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9"/>
      <c r="Z211" s="39"/>
      <c r="AA211" s="28"/>
      <c r="AMJ211" s="0"/>
    </row>
    <row r="212" s="2" customFormat="true" ht="12.75" hidden="false" customHeight="true" outlineLevel="0" collapsed="false">
      <c r="A212" s="27" t="s">
        <v>549</v>
      </c>
      <c r="B212" s="27" t="s">
        <v>151</v>
      </c>
      <c r="C212" s="28" t="s">
        <v>41</v>
      </c>
      <c r="D212" s="27" t="s">
        <v>357</v>
      </c>
      <c r="E212" s="27" t="s">
        <v>513</v>
      </c>
      <c r="F212" s="29" t="s">
        <v>514</v>
      </c>
      <c r="G212" s="30" t="n">
        <v>75008</v>
      </c>
      <c r="H212" s="31" t="s">
        <v>36</v>
      </c>
      <c r="I212" s="32" t="n">
        <v>155566250</v>
      </c>
      <c r="J212" s="33" t="n">
        <v>150</v>
      </c>
      <c r="K212" s="33" t="n">
        <v>9</v>
      </c>
      <c r="L212" s="34" t="n">
        <v>1</v>
      </c>
      <c r="M212" s="35" t="s">
        <v>164</v>
      </c>
      <c r="N212" s="36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39"/>
      <c r="Z212" s="39"/>
      <c r="AA212" s="28" t="n">
        <v>3</v>
      </c>
      <c r="AMJ212" s="0"/>
    </row>
    <row r="213" s="2" customFormat="true" ht="12.75" hidden="false" customHeight="true" outlineLevel="0" collapsed="false">
      <c r="A213" s="27" t="s">
        <v>550</v>
      </c>
      <c r="B213" s="27" t="s">
        <v>551</v>
      </c>
      <c r="C213" s="28" t="s">
        <v>41</v>
      </c>
      <c r="D213" s="27" t="s">
        <v>357</v>
      </c>
      <c r="E213" s="27" t="s">
        <v>513</v>
      </c>
      <c r="F213" s="29" t="s">
        <v>514</v>
      </c>
      <c r="G213" s="30" t="n">
        <v>75008</v>
      </c>
      <c r="H213" s="31" t="s">
        <v>36</v>
      </c>
      <c r="I213" s="32" t="n">
        <v>155566250</v>
      </c>
      <c r="J213" s="33" t="n">
        <v>150</v>
      </c>
      <c r="K213" s="33" t="n">
        <v>1</v>
      </c>
      <c r="L213" s="34"/>
      <c r="M213" s="35"/>
      <c r="N213" s="36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9"/>
      <c r="Z213" s="39"/>
      <c r="AA213" s="28"/>
      <c r="AMJ213" s="0"/>
    </row>
    <row r="214" s="2" customFormat="true" ht="12.75" hidden="false" customHeight="true" outlineLevel="0" collapsed="false">
      <c r="A214" s="27" t="s">
        <v>552</v>
      </c>
      <c r="B214" s="27" t="s">
        <v>329</v>
      </c>
      <c r="C214" s="28" t="s">
        <v>41</v>
      </c>
      <c r="D214" s="27" t="s">
        <v>357</v>
      </c>
      <c r="E214" s="27" t="s">
        <v>513</v>
      </c>
      <c r="F214" s="29" t="s">
        <v>514</v>
      </c>
      <c r="G214" s="30" t="n">
        <v>75008</v>
      </c>
      <c r="H214" s="31" t="s">
        <v>36</v>
      </c>
      <c r="I214" s="32" t="n">
        <v>155566250</v>
      </c>
      <c r="J214" s="33" t="n">
        <v>150</v>
      </c>
      <c r="K214" s="33" t="n">
        <v>2</v>
      </c>
      <c r="L214" s="34"/>
      <c r="M214" s="35"/>
      <c r="N214" s="36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9" t="n">
        <v>45191.4652777778</v>
      </c>
      <c r="Z214" s="39"/>
      <c r="AA214" s="28"/>
      <c r="AMJ214" s="0"/>
    </row>
    <row r="215" s="2" customFormat="true" ht="12.75" hidden="false" customHeight="true" outlineLevel="0" collapsed="false">
      <c r="A215" s="27" t="s">
        <v>553</v>
      </c>
      <c r="B215" s="27" t="s">
        <v>277</v>
      </c>
      <c r="C215" s="28" t="s">
        <v>41</v>
      </c>
      <c r="D215" s="27" t="s">
        <v>357</v>
      </c>
      <c r="E215" s="27" t="s">
        <v>513</v>
      </c>
      <c r="F215" s="29" t="s">
        <v>514</v>
      </c>
      <c r="G215" s="30" t="n">
        <v>75008</v>
      </c>
      <c r="H215" s="31" t="s">
        <v>36</v>
      </c>
      <c r="I215" s="32" t="n">
        <v>155566250</v>
      </c>
      <c r="J215" s="33" t="n">
        <v>150</v>
      </c>
      <c r="K215" s="33" t="n">
        <v>1</v>
      </c>
      <c r="L215" s="34"/>
      <c r="M215" s="35"/>
      <c r="N215" s="36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9"/>
      <c r="Z215" s="39"/>
      <c r="AA215" s="28"/>
      <c r="AMJ215" s="0"/>
    </row>
    <row r="216" s="2" customFormat="true" ht="12.75" hidden="false" customHeight="true" outlineLevel="0" collapsed="false">
      <c r="A216" s="27" t="s">
        <v>554</v>
      </c>
      <c r="B216" s="27" t="s">
        <v>84</v>
      </c>
      <c r="C216" s="28" t="s">
        <v>41</v>
      </c>
      <c r="D216" s="27" t="s">
        <v>357</v>
      </c>
      <c r="E216" s="27" t="s">
        <v>513</v>
      </c>
      <c r="F216" s="29" t="s">
        <v>514</v>
      </c>
      <c r="G216" s="30" t="n">
        <v>75008</v>
      </c>
      <c r="H216" s="31" t="s">
        <v>36</v>
      </c>
      <c r="I216" s="32" t="n">
        <v>155566250</v>
      </c>
      <c r="J216" s="33" t="n">
        <v>150</v>
      </c>
      <c r="K216" s="33" t="n">
        <v>6</v>
      </c>
      <c r="L216" s="34"/>
      <c r="M216" s="35"/>
      <c r="N216" s="36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9"/>
      <c r="Z216" s="39"/>
      <c r="AA216" s="28"/>
      <c r="AMJ216" s="0"/>
    </row>
    <row r="217" s="2" customFormat="true" ht="12.75" hidden="false" customHeight="true" outlineLevel="0" collapsed="false">
      <c r="A217" s="27" t="s">
        <v>555</v>
      </c>
      <c r="B217" s="27" t="s">
        <v>147</v>
      </c>
      <c r="C217" s="28" t="s">
        <v>41</v>
      </c>
      <c r="D217" s="27" t="s">
        <v>357</v>
      </c>
      <c r="E217" s="27" t="s">
        <v>513</v>
      </c>
      <c r="F217" s="29" t="s">
        <v>514</v>
      </c>
      <c r="G217" s="30" t="n">
        <v>75008</v>
      </c>
      <c r="H217" s="31" t="s">
        <v>36</v>
      </c>
      <c r="I217" s="32" t="n">
        <v>155566250</v>
      </c>
      <c r="J217" s="33" t="n">
        <v>150</v>
      </c>
      <c r="K217" s="33" t="n">
        <v>10</v>
      </c>
      <c r="L217" s="34" t="n">
        <v>1</v>
      </c>
      <c r="M217" s="35" t="s">
        <v>164</v>
      </c>
      <c r="N217" s="36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39"/>
      <c r="Z217" s="39"/>
      <c r="AA217" s="28" t="n">
        <v>3</v>
      </c>
      <c r="AMJ217" s="0"/>
    </row>
    <row r="218" s="2" customFormat="true" ht="12.75" hidden="false" customHeight="true" outlineLevel="0" collapsed="false">
      <c r="A218" s="27" t="s">
        <v>556</v>
      </c>
      <c r="B218" s="27" t="s">
        <v>127</v>
      </c>
      <c r="C218" s="28" t="s">
        <v>41</v>
      </c>
      <c r="D218" s="27" t="s">
        <v>357</v>
      </c>
      <c r="E218" s="27" t="s">
        <v>513</v>
      </c>
      <c r="F218" s="29" t="s">
        <v>514</v>
      </c>
      <c r="G218" s="30" t="n">
        <v>75008</v>
      </c>
      <c r="H218" s="31" t="s">
        <v>36</v>
      </c>
      <c r="I218" s="32" t="n">
        <v>155566251</v>
      </c>
      <c r="J218" s="33" t="n">
        <v>150</v>
      </c>
      <c r="K218" s="33" t="n">
        <v>2</v>
      </c>
      <c r="L218" s="34"/>
      <c r="M218" s="35"/>
      <c r="N218" s="36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9"/>
      <c r="Z218" s="39"/>
      <c r="AA218" s="28"/>
      <c r="AMJ218" s="0"/>
    </row>
    <row r="219" s="2" customFormat="true" ht="12.75" hidden="false" customHeight="true" outlineLevel="0" collapsed="false">
      <c r="A219" s="27" t="s">
        <v>557</v>
      </c>
      <c r="B219" s="27" t="s">
        <v>558</v>
      </c>
      <c r="C219" s="28" t="s">
        <v>41</v>
      </c>
      <c r="D219" s="27" t="s">
        <v>357</v>
      </c>
      <c r="E219" s="27" t="s">
        <v>513</v>
      </c>
      <c r="F219" s="29" t="s">
        <v>514</v>
      </c>
      <c r="G219" s="30" t="n">
        <v>75008</v>
      </c>
      <c r="H219" s="31" t="s">
        <v>36</v>
      </c>
      <c r="I219" s="32" t="n">
        <v>155566250</v>
      </c>
      <c r="J219" s="33" t="n">
        <v>150</v>
      </c>
      <c r="K219" s="33" t="n">
        <v>8</v>
      </c>
      <c r="L219" s="34"/>
      <c r="M219" s="35"/>
      <c r="N219" s="36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9"/>
      <c r="Z219" s="39"/>
      <c r="AA219" s="28"/>
      <c r="AMJ219" s="0"/>
    </row>
    <row r="220" s="2" customFormat="true" ht="12.75" hidden="false" customHeight="true" outlineLevel="0" collapsed="false">
      <c r="A220" s="27" t="s">
        <v>323</v>
      </c>
      <c r="B220" s="27" t="s">
        <v>559</v>
      </c>
      <c r="C220" s="28" t="s">
        <v>41</v>
      </c>
      <c r="D220" s="27" t="s">
        <v>357</v>
      </c>
      <c r="E220" s="27" t="s">
        <v>513</v>
      </c>
      <c r="F220" s="29" t="s">
        <v>514</v>
      </c>
      <c r="G220" s="30" t="n">
        <v>75008</v>
      </c>
      <c r="H220" s="31" t="s">
        <v>36</v>
      </c>
      <c r="I220" s="32" t="n">
        <v>155566250</v>
      </c>
      <c r="J220" s="33" t="n">
        <v>150</v>
      </c>
      <c r="K220" s="33" t="n">
        <v>9</v>
      </c>
      <c r="L220" s="34"/>
      <c r="M220" s="35"/>
      <c r="N220" s="36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9"/>
      <c r="Z220" s="39"/>
      <c r="AA220" s="28"/>
      <c r="AMJ220" s="0"/>
    </row>
    <row r="221" s="2" customFormat="true" ht="12.75" hidden="false" customHeight="true" outlineLevel="0" collapsed="false">
      <c r="A221" s="27" t="s">
        <v>560</v>
      </c>
      <c r="B221" s="27" t="s">
        <v>561</v>
      </c>
      <c r="C221" s="28" t="s">
        <v>41</v>
      </c>
      <c r="D221" s="27" t="s">
        <v>357</v>
      </c>
      <c r="E221" s="27" t="s">
        <v>513</v>
      </c>
      <c r="F221" s="29" t="s">
        <v>514</v>
      </c>
      <c r="G221" s="30" t="n">
        <v>75008</v>
      </c>
      <c r="H221" s="31" t="s">
        <v>36</v>
      </c>
      <c r="I221" s="32" t="n">
        <v>155566250</v>
      </c>
      <c r="J221" s="33" t="n">
        <v>150</v>
      </c>
      <c r="K221" s="33" t="n">
        <v>4</v>
      </c>
      <c r="L221" s="34"/>
      <c r="M221" s="35"/>
      <c r="N221" s="36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9" t="n">
        <v>45191.3888888889</v>
      </c>
      <c r="Z221" s="39"/>
      <c r="AA221" s="28"/>
      <c r="AMJ221" s="0"/>
    </row>
    <row r="222" s="2" customFormat="true" ht="12.75" hidden="false" customHeight="true" outlineLevel="0" collapsed="false">
      <c r="A222" s="27" t="s">
        <v>562</v>
      </c>
      <c r="B222" s="27" t="s">
        <v>563</v>
      </c>
      <c r="C222" s="28" t="s">
        <v>41</v>
      </c>
      <c r="D222" s="27" t="s">
        <v>357</v>
      </c>
      <c r="E222" s="27" t="s">
        <v>513</v>
      </c>
      <c r="F222" s="29" t="s">
        <v>514</v>
      </c>
      <c r="G222" s="30" t="n">
        <v>75008</v>
      </c>
      <c r="H222" s="31" t="s">
        <v>36</v>
      </c>
      <c r="I222" s="32" t="n">
        <v>155566250</v>
      </c>
      <c r="J222" s="33" t="n">
        <v>150</v>
      </c>
      <c r="K222" s="33" t="n">
        <v>1</v>
      </c>
      <c r="L222" s="34"/>
      <c r="M222" s="35"/>
      <c r="N222" s="36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9"/>
      <c r="Z222" s="39"/>
      <c r="AA222" s="28"/>
      <c r="AMJ222" s="0"/>
    </row>
    <row r="223" s="2" customFormat="true" ht="12.75" hidden="false" customHeight="true" outlineLevel="0" collapsed="false">
      <c r="A223" s="27" t="s">
        <v>564</v>
      </c>
      <c r="B223" s="27" t="s">
        <v>565</v>
      </c>
      <c r="C223" s="28" t="s">
        <v>41</v>
      </c>
      <c r="D223" s="27" t="s">
        <v>357</v>
      </c>
      <c r="E223" s="27" t="s">
        <v>513</v>
      </c>
      <c r="F223" s="29" t="s">
        <v>514</v>
      </c>
      <c r="G223" s="30" t="n">
        <v>75008</v>
      </c>
      <c r="H223" s="31" t="s">
        <v>36</v>
      </c>
      <c r="I223" s="32" t="n">
        <v>155566250</v>
      </c>
      <c r="J223" s="33" t="n">
        <v>150</v>
      </c>
      <c r="K223" s="33" t="n">
        <v>9</v>
      </c>
      <c r="L223" s="34"/>
      <c r="M223" s="35"/>
      <c r="N223" s="36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9"/>
      <c r="Z223" s="39"/>
      <c r="AA223" s="28"/>
      <c r="AMJ223" s="0"/>
    </row>
    <row r="224" s="2" customFormat="true" ht="12.75" hidden="false" customHeight="true" outlineLevel="0" collapsed="false">
      <c r="A224" s="27" t="s">
        <v>566</v>
      </c>
      <c r="B224" s="27" t="s">
        <v>567</v>
      </c>
      <c r="C224" s="28" t="s">
        <v>41</v>
      </c>
      <c r="D224" s="27" t="s">
        <v>357</v>
      </c>
      <c r="E224" s="27" t="s">
        <v>513</v>
      </c>
      <c r="F224" s="29" t="s">
        <v>514</v>
      </c>
      <c r="G224" s="30" t="n">
        <v>75008</v>
      </c>
      <c r="H224" s="31" t="s">
        <v>36</v>
      </c>
      <c r="I224" s="32" t="n">
        <v>155566250</v>
      </c>
      <c r="J224" s="33" t="n">
        <v>150</v>
      </c>
      <c r="K224" s="33" t="n">
        <v>2</v>
      </c>
      <c r="L224" s="34"/>
      <c r="M224" s="35"/>
      <c r="N224" s="36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9" t="n">
        <v>45191.6597222222</v>
      </c>
      <c r="Z224" s="39"/>
      <c r="AA224" s="28"/>
      <c r="AMJ224" s="0"/>
    </row>
    <row r="225" s="2" customFormat="true" ht="12.75" hidden="false" customHeight="true" outlineLevel="0" collapsed="false">
      <c r="A225" s="27" t="s">
        <v>568</v>
      </c>
      <c r="B225" s="27" t="s">
        <v>329</v>
      </c>
      <c r="C225" s="28" t="s">
        <v>41</v>
      </c>
      <c r="D225" s="27" t="s">
        <v>357</v>
      </c>
      <c r="E225" s="27" t="s">
        <v>513</v>
      </c>
      <c r="F225" s="29" t="s">
        <v>514</v>
      </c>
      <c r="G225" s="30" t="n">
        <v>75008</v>
      </c>
      <c r="H225" s="31" t="s">
        <v>36</v>
      </c>
      <c r="I225" s="32" t="n">
        <v>155566250</v>
      </c>
      <c r="J225" s="33" t="n">
        <v>150</v>
      </c>
      <c r="K225" s="33" t="n">
        <v>1</v>
      </c>
      <c r="L225" s="34"/>
      <c r="M225" s="35"/>
      <c r="N225" s="36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9"/>
      <c r="Z225" s="39"/>
      <c r="AA225" s="28"/>
      <c r="AMJ225" s="0"/>
    </row>
    <row r="226" s="2" customFormat="true" ht="12.75" hidden="false" customHeight="true" outlineLevel="0" collapsed="false">
      <c r="A226" s="27" t="s">
        <v>569</v>
      </c>
      <c r="B226" s="27" t="s">
        <v>570</v>
      </c>
      <c r="C226" s="28" t="s">
        <v>41</v>
      </c>
      <c r="D226" s="27" t="s">
        <v>357</v>
      </c>
      <c r="E226" s="27" t="s">
        <v>513</v>
      </c>
      <c r="F226" s="29" t="s">
        <v>514</v>
      </c>
      <c r="G226" s="30" t="n">
        <v>75008</v>
      </c>
      <c r="H226" s="31" t="s">
        <v>36</v>
      </c>
      <c r="I226" s="32" t="n">
        <v>142819333</v>
      </c>
      <c r="J226" s="33" t="n">
        <v>150</v>
      </c>
      <c r="K226" s="33" t="n">
        <v>13</v>
      </c>
      <c r="L226" s="34"/>
      <c r="M226" s="35" t="s">
        <v>164</v>
      </c>
      <c r="N226" s="36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9"/>
      <c r="Z226" s="39"/>
      <c r="AA226" s="28"/>
      <c r="AMJ226" s="0"/>
    </row>
    <row r="227" s="2" customFormat="true" ht="12.75" hidden="false" customHeight="true" outlineLevel="0" collapsed="false">
      <c r="A227" s="27" t="s">
        <v>571</v>
      </c>
      <c r="B227" s="27" t="s">
        <v>572</v>
      </c>
      <c r="C227" s="28" t="s">
        <v>41</v>
      </c>
      <c r="D227" s="27" t="s">
        <v>357</v>
      </c>
      <c r="E227" s="27" t="s">
        <v>513</v>
      </c>
      <c r="F227" s="29" t="s">
        <v>514</v>
      </c>
      <c r="G227" s="30" t="n">
        <v>75008</v>
      </c>
      <c r="H227" s="31" t="s">
        <v>36</v>
      </c>
      <c r="I227" s="32" t="n">
        <v>155566250</v>
      </c>
      <c r="J227" s="33" t="n">
        <v>11</v>
      </c>
      <c r="K227" s="33" t="n">
        <v>1</v>
      </c>
      <c r="L227" s="34"/>
      <c r="M227" s="35"/>
      <c r="N227" s="36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9"/>
      <c r="Z227" s="39"/>
      <c r="AA227" s="28"/>
      <c r="AMJ227" s="0"/>
    </row>
    <row r="228" s="2" customFormat="true" ht="12.75" hidden="false" customHeight="true" outlineLevel="0" collapsed="false">
      <c r="A228" s="27" t="s">
        <v>573</v>
      </c>
      <c r="B228" s="27" t="s">
        <v>574</v>
      </c>
      <c r="C228" s="28" t="s">
        <v>41</v>
      </c>
      <c r="D228" s="27" t="s">
        <v>357</v>
      </c>
      <c r="E228" s="27" t="s">
        <v>513</v>
      </c>
      <c r="F228" s="29" t="s">
        <v>514</v>
      </c>
      <c r="G228" s="30" t="n">
        <v>75008</v>
      </c>
      <c r="H228" s="31" t="s">
        <v>36</v>
      </c>
      <c r="I228" s="32" t="n">
        <v>155566250</v>
      </c>
      <c r="J228" s="33" t="n">
        <v>0</v>
      </c>
      <c r="K228" s="33" t="n">
        <v>4</v>
      </c>
      <c r="L228" s="34"/>
      <c r="M228" s="35"/>
      <c r="N228" s="36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9"/>
      <c r="Z228" s="39"/>
      <c r="AA228" s="28"/>
      <c r="AMJ228" s="0"/>
    </row>
    <row r="229" s="2" customFormat="true" ht="12.75" hidden="false" customHeight="true" outlineLevel="0" collapsed="false">
      <c r="A229" s="27" t="s">
        <v>575</v>
      </c>
      <c r="B229" s="27" t="s">
        <v>133</v>
      </c>
      <c r="C229" s="28" t="s">
        <v>208</v>
      </c>
      <c r="D229" s="27" t="s">
        <v>357</v>
      </c>
      <c r="E229" s="27" t="s">
        <v>513</v>
      </c>
      <c r="F229" s="29" t="s">
        <v>514</v>
      </c>
      <c r="G229" s="30" t="n">
        <v>75008</v>
      </c>
      <c r="H229" s="31" t="s">
        <v>36</v>
      </c>
      <c r="I229" s="32" t="n">
        <v>155566250</v>
      </c>
      <c r="J229" s="33" t="n">
        <v>237</v>
      </c>
      <c r="K229" s="33" t="n">
        <v>7</v>
      </c>
      <c r="L229" s="34" t="n">
        <v>2</v>
      </c>
      <c r="M229" s="35" t="s">
        <v>164</v>
      </c>
      <c r="N229" s="36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39"/>
      <c r="Z229" s="39"/>
      <c r="AA229" s="28" t="n">
        <v>2</v>
      </c>
      <c r="AMJ229" s="0"/>
    </row>
    <row r="230" s="2" customFormat="true" ht="12.75" hidden="false" customHeight="true" outlineLevel="0" collapsed="false">
      <c r="A230" s="27" t="s">
        <v>576</v>
      </c>
      <c r="B230" s="27" t="s">
        <v>47</v>
      </c>
      <c r="C230" s="28" t="s">
        <v>208</v>
      </c>
      <c r="D230" s="27" t="s">
        <v>357</v>
      </c>
      <c r="E230" s="27" t="s">
        <v>513</v>
      </c>
      <c r="F230" s="29" t="s">
        <v>514</v>
      </c>
      <c r="G230" s="30" t="n">
        <v>75008</v>
      </c>
      <c r="H230" s="31" t="s">
        <v>36</v>
      </c>
      <c r="I230" s="32" t="n">
        <v>155566250</v>
      </c>
      <c r="J230" s="33" t="n">
        <v>150</v>
      </c>
      <c r="K230" s="33" t="n">
        <v>9</v>
      </c>
      <c r="L230" s="34"/>
      <c r="M230" s="35" t="s">
        <v>164</v>
      </c>
      <c r="N230" s="36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9"/>
      <c r="Z230" s="39"/>
      <c r="AA230" s="28" t="n">
        <v>3</v>
      </c>
      <c r="AMJ230" s="0"/>
    </row>
    <row r="231" s="2" customFormat="true" ht="12.75" hidden="false" customHeight="true" outlineLevel="0" collapsed="false">
      <c r="A231" s="27" t="s">
        <v>577</v>
      </c>
      <c r="B231" s="27" t="s">
        <v>79</v>
      </c>
      <c r="C231" s="28" t="s">
        <v>208</v>
      </c>
      <c r="D231" s="27" t="s">
        <v>357</v>
      </c>
      <c r="E231" s="27" t="s">
        <v>513</v>
      </c>
      <c r="F231" s="29" t="s">
        <v>514</v>
      </c>
      <c r="G231" s="30" t="n">
        <v>75008</v>
      </c>
      <c r="H231" s="31" t="s">
        <v>36</v>
      </c>
      <c r="I231" s="32" t="n">
        <v>155566250</v>
      </c>
      <c r="J231" s="33" t="n">
        <v>150</v>
      </c>
      <c r="K231" s="33" t="n">
        <v>6</v>
      </c>
      <c r="L231" s="34" t="n">
        <v>1</v>
      </c>
      <c r="M231" s="35" t="s">
        <v>164</v>
      </c>
      <c r="N231" s="36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39"/>
      <c r="Z231" s="39"/>
      <c r="AA231" s="28" t="n">
        <v>2</v>
      </c>
      <c r="AMJ231" s="0"/>
    </row>
    <row r="232" s="2" customFormat="true" ht="12.75" hidden="false" customHeight="true" outlineLevel="0" collapsed="false">
      <c r="A232" s="27" t="s">
        <v>578</v>
      </c>
      <c r="B232" s="27" t="s">
        <v>579</v>
      </c>
      <c r="C232" s="28" t="s">
        <v>208</v>
      </c>
      <c r="D232" s="27" t="s">
        <v>357</v>
      </c>
      <c r="E232" s="27" t="s">
        <v>513</v>
      </c>
      <c r="F232" s="29" t="s">
        <v>514</v>
      </c>
      <c r="G232" s="30" t="n">
        <v>75008</v>
      </c>
      <c r="H232" s="31" t="s">
        <v>36</v>
      </c>
      <c r="I232" s="32" t="n">
        <v>155566250</v>
      </c>
      <c r="J232" s="33" t="n">
        <v>150</v>
      </c>
      <c r="K232" s="33" t="n">
        <v>1</v>
      </c>
      <c r="L232" s="34"/>
      <c r="M232" s="35"/>
      <c r="N232" s="36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9"/>
      <c r="Z232" s="39"/>
      <c r="AA232" s="28"/>
      <c r="AMJ232" s="0"/>
    </row>
    <row r="233" s="2" customFormat="true" ht="12.75" hidden="false" customHeight="true" outlineLevel="0" collapsed="false">
      <c r="A233" s="27" t="s">
        <v>580</v>
      </c>
      <c r="B233" s="27" t="s">
        <v>581</v>
      </c>
      <c r="C233" s="28" t="s">
        <v>138</v>
      </c>
      <c r="D233" s="27" t="s">
        <v>357</v>
      </c>
      <c r="E233" s="27"/>
      <c r="F233" s="29" t="s">
        <v>582</v>
      </c>
      <c r="G233" s="30" t="n">
        <v>75008</v>
      </c>
      <c r="H233" s="31" t="s">
        <v>36</v>
      </c>
      <c r="I233" s="32" t="n">
        <v>142607259</v>
      </c>
      <c r="J233" s="33" t="n">
        <v>124</v>
      </c>
      <c r="K233" s="33" t="n">
        <v>1</v>
      </c>
      <c r="L233" s="34"/>
      <c r="M233" s="35"/>
      <c r="N233" s="36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9"/>
      <c r="Z233" s="39"/>
      <c r="AA233" s="28"/>
      <c r="AMJ233" s="0"/>
    </row>
    <row r="234" s="2" customFormat="true" ht="12.75" hidden="false" customHeight="true" outlineLevel="0" collapsed="false">
      <c r="A234" s="27" t="s">
        <v>583</v>
      </c>
      <c r="B234" s="27" t="s">
        <v>584</v>
      </c>
      <c r="C234" s="28" t="s">
        <v>33</v>
      </c>
      <c r="D234" s="27" t="s">
        <v>357</v>
      </c>
      <c r="E234" s="27"/>
      <c r="F234" s="29" t="s">
        <v>585</v>
      </c>
      <c r="G234" s="30" t="n">
        <v>75008</v>
      </c>
      <c r="H234" s="31" t="s">
        <v>36</v>
      </c>
      <c r="I234" s="32" t="n">
        <v>153049844</v>
      </c>
      <c r="J234" s="33" t="n">
        <v>56</v>
      </c>
      <c r="K234" s="33" t="n">
        <v>1</v>
      </c>
      <c r="L234" s="34"/>
      <c r="M234" s="35"/>
      <c r="N234" s="36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9"/>
      <c r="Z234" s="39"/>
      <c r="AA234" s="28"/>
      <c r="AC234" s="2" t="s">
        <v>38</v>
      </c>
      <c r="AMJ234" s="0"/>
    </row>
    <row r="235" s="2" customFormat="true" ht="12.75" hidden="false" customHeight="true" outlineLevel="0" collapsed="false">
      <c r="A235" s="27" t="s">
        <v>586</v>
      </c>
      <c r="B235" s="27" t="s">
        <v>587</v>
      </c>
      <c r="C235" s="28" t="s">
        <v>138</v>
      </c>
      <c r="D235" s="27" t="s">
        <v>357</v>
      </c>
      <c r="E235" s="27"/>
      <c r="F235" s="29" t="s">
        <v>588</v>
      </c>
      <c r="G235" s="30" t="n">
        <v>75008</v>
      </c>
      <c r="H235" s="31" t="s">
        <v>36</v>
      </c>
      <c r="I235" s="32" t="n">
        <v>142681175</v>
      </c>
      <c r="J235" s="33" t="n">
        <v>205</v>
      </c>
      <c r="K235" s="33" t="n">
        <v>4</v>
      </c>
      <c r="L235" s="34"/>
      <c r="M235" s="35"/>
      <c r="N235" s="36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9"/>
      <c r="Z235" s="39"/>
      <c r="AA235" s="28"/>
      <c r="AMJ235" s="0"/>
    </row>
    <row r="236" s="2" customFormat="true" ht="12.75" hidden="false" customHeight="true" outlineLevel="0" collapsed="false">
      <c r="A236" s="27" t="s">
        <v>589</v>
      </c>
      <c r="B236" s="27" t="s">
        <v>590</v>
      </c>
      <c r="C236" s="28" t="s">
        <v>41</v>
      </c>
      <c r="D236" s="27" t="s">
        <v>357</v>
      </c>
      <c r="E236" s="27"/>
      <c r="F236" s="29" t="s">
        <v>591</v>
      </c>
      <c r="G236" s="30" t="n">
        <v>75008</v>
      </c>
      <c r="H236" s="31" t="s">
        <v>36</v>
      </c>
      <c r="I236" s="32"/>
      <c r="J236" s="33" t="n">
        <v>0</v>
      </c>
      <c r="K236" s="33" t="n">
        <v>2</v>
      </c>
      <c r="L236" s="34"/>
      <c r="M236" s="35"/>
      <c r="N236" s="36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9"/>
      <c r="Z236" s="39"/>
      <c r="AA236" s="28"/>
      <c r="AMJ236" s="0"/>
    </row>
    <row r="237" s="2" customFormat="true" ht="12.75" hidden="false" customHeight="true" outlineLevel="0" collapsed="false">
      <c r="A237" s="27" t="s">
        <v>592</v>
      </c>
      <c r="B237" s="27" t="s">
        <v>593</v>
      </c>
      <c r="C237" s="28" t="s">
        <v>41</v>
      </c>
      <c r="D237" s="27" t="s">
        <v>357</v>
      </c>
      <c r="E237" s="27"/>
      <c r="F237" s="29" t="s">
        <v>594</v>
      </c>
      <c r="G237" s="30" t="n">
        <v>75008</v>
      </c>
      <c r="H237" s="31" t="s">
        <v>36</v>
      </c>
      <c r="I237" s="32" t="n">
        <v>140060202</v>
      </c>
      <c r="J237" s="33" t="n">
        <v>400</v>
      </c>
      <c r="K237" s="33"/>
      <c r="L237" s="34"/>
      <c r="M237" s="35"/>
      <c r="N237" s="36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9"/>
      <c r="Z237" s="39"/>
      <c r="AA237" s="28"/>
      <c r="AMJ237" s="0"/>
    </row>
    <row r="238" s="2" customFormat="true" ht="12.75" hidden="false" customHeight="true" outlineLevel="0" collapsed="false">
      <c r="A238" s="27" t="s">
        <v>595</v>
      </c>
      <c r="B238" s="27" t="s">
        <v>596</v>
      </c>
      <c r="C238" s="28" t="s">
        <v>41</v>
      </c>
      <c r="D238" s="27" t="s">
        <v>357</v>
      </c>
      <c r="E238" s="27"/>
      <c r="F238" s="29" t="s">
        <v>594</v>
      </c>
      <c r="G238" s="30" t="n">
        <v>75008</v>
      </c>
      <c r="H238" s="31" t="s">
        <v>36</v>
      </c>
      <c r="I238" s="32" t="n">
        <v>140060202</v>
      </c>
      <c r="J238" s="33" t="n">
        <v>172</v>
      </c>
      <c r="K238" s="33" t="n">
        <v>1</v>
      </c>
      <c r="L238" s="34"/>
      <c r="M238" s="35"/>
      <c r="N238" s="36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9"/>
      <c r="Z238" s="39"/>
      <c r="AA238" s="28"/>
      <c r="AMJ238" s="0"/>
    </row>
    <row r="239" s="2" customFormat="true" ht="12.75" hidden="false" customHeight="true" outlineLevel="0" collapsed="false">
      <c r="A239" s="27" t="s">
        <v>597</v>
      </c>
      <c r="B239" s="27" t="s">
        <v>598</v>
      </c>
      <c r="C239" s="28" t="s">
        <v>41</v>
      </c>
      <c r="D239" s="27" t="s">
        <v>357</v>
      </c>
      <c r="E239" s="27"/>
      <c r="F239" s="29" t="s">
        <v>599</v>
      </c>
      <c r="G239" s="30" t="n">
        <v>75008</v>
      </c>
      <c r="H239" s="31" t="s">
        <v>36</v>
      </c>
      <c r="I239" s="32" t="n">
        <v>140170911</v>
      </c>
      <c r="J239" s="33" t="n">
        <v>236</v>
      </c>
      <c r="K239" s="33" t="n">
        <v>0</v>
      </c>
      <c r="L239" s="34"/>
      <c r="M239" s="35"/>
      <c r="N239" s="36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9"/>
      <c r="Z239" s="39"/>
      <c r="AA239" s="28"/>
      <c r="AMJ239" s="0"/>
    </row>
    <row r="240" s="2" customFormat="true" ht="12.75" hidden="false" customHeight="true" outlineLevel="0" collapsed="false">
      <c r="A240" s="27" t="s">
        <v>600</v>
      </c>
      <c r="B240" s="27" t="s">
        <v>601</v>
      </c>
      <c r="C240" s="28" t="s">
        <v>41</v>
      </c>
      <c r="D240" s="27" t="s">
        <v>357</v>
      </c>
      <c r="E240" s="27"/>
      <c r="F240" s="29" t="s">
        <v>602</v>
      </c>
      <c r="G240" s="30" t="n">
        <v>75008</v>
      </c>
      <c r="H240" s="31" t="s">
        <v>36</v>
      </c>
      <c r="I240" s="32" t="n">
        <v>142670222</v>
      </c>
      <c r="J240" s="33" t="n">
        <v>254</v>
      </c>
      <c r="K240" s="33" t="n">
        <v>1</v>
      </c>
      <c r="L240" s="34"/>
      <c r="M240" s="35"/>
      <c r="N240" s="36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9"/>
      <c r="Z240" s="39"/>
      <c r="AA240" s="28"/>
      <c r="AMJ240" s="0"/>
    </row>
    <row r="241" s="2" customFormat="true" ht="12.75" hidden="false" customHeight="true" outlineLevel="0" collapsed="false">
      <c r="A241" s="27" t="s">
        <v>603</v>
      </c>
      <c r="B241" s="27" t="s">
        <v>604</v>
      </c>
      <c r="C241" s="28" t="s">
        <v>41</v>
      </c>
      <c r="D241" s="27" t="s">
        <v>357</v>
      </c>
      <c r="E241" s="27"/>
      <c r="F241" s="29" t="s">
        <v>605</v>
      </c>
      <c r="G241" s="30" t="n">
        <v>75008</v>
      </c>
      <c r="H241" s="31" t="s">
        <v>36</v>
      </c>
      <c r="I241" s="32" t="n">
        <v>145740742</v>
      </c>
      <c r="J241" s="33" t="n">
        <v>382</v>
      </c>
      <c r="K241" s="33" t="n">
        <v>1</v>
      </c>
      <c r="L241" s="34"/>
      <c r="M241" s="35"/>
      <c r="N241" s="36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9"/>
      <c r="Z241" s="39"/>
      <c r="AA241" s="28"/>
      <c r="AMJ241" s="0"/>
    </row>
    <row r="242" s="2" customFormat="true" ht="12.75" hidden="false" customHeight="true" outlineLevel="0" collapsed="false">
      <c r="A242" s="27" t="s">
        <v>606</v>
      </c>
      <c r="B242" s="27" t="s">
        <v>596</v>
      </c>
      <c r="C242" s="28" t="s">
        <v>41</v>
      </c>
      <c r="D242" s="27" t="s">
        <v>357</v>
      </c>
      <c r="E242" s="27"/>
      <c r="F242" s="29" t="s">
        <v>605</v>
      </c>
      <c r="G242" s="30" t="n">
        <v>75008</v>
      </c>
      <c r="H242" s="31" t="s">
        <v>36</v>
      </c>
      <c r="I242" s="32"/>
      <c r="J242" s="33" t="n">
        <v>327</v>
      </c>
      <c r="K242" s="33" t="n">
        <v>1</v>
      </c>
      <c r="L242" s="34"/>
      <c r="M242" s="35"/>
      <c r="N242" s="36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9"/>
      <c r="Z242" s="39"/>
      <c r="AA242" s="28"/>
      <c r="AMJ242" s="0"/>
    </row>
    <row r="243" s="2" customFormat="true" ht="12.75" hidden="false" customHeight="true" outlineLevel="0" collapsed="false">
      <c r="A243" s="27" t="s">
        <v>607</v>
      </c>
      <c r="B243" s="27" t="s">
        <v>608</v>
      </c>
      <c r="C243" s="28" t="s">
        <v>41</v>
      </c>
      <c r="D243" s="27" t="s">
        <v>357</v>
      </c>
      <c r="E243" s="27"/>
      <c r="F243" s="29" t="s">
        <v>609</v>
      </c>
      <c r="G243" s="30" t="n">
        <v>75008</v>
      </c>
      <c r="H243" s="31" t="s">
        <v>36</v>
      </c>
      <c r="I243" s="32" t="n">
        <v>145620730</v>
      </c>
      <c r="J243" s="33" t="n">
        <v>293</v>
      </c>
      <c r="K243" s="33" t="n">
        <v>1</v>
      </c>
      <c r="L243" s="34"/>
      <c r="M243" s="35"/>
      <c r="N243" s="36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9"/>
      <c r="Z243" s="39"/>
      <c r="AA243" s="28"/>
      <c r="AMJ243" s="0"/>
    </row>
    <row r="244" s="2" customFormat="true" ht="12.75" hidden="false" customHeight="true" outlineLevel="0" collapsed="false">
      <c r="A244" s="27" t="s">
        <v>610</v>
      </c>
      <c r="B244" s="27" t="s">
        <v>428</v>
      </c>
      <c r="C244" s="28" t="s">
        <v>41</v>
      </c>
      <c r="D244" s="27" t="s">
        <v>357</v>
      </c>
      <c r="E244" s="27"/>
      <c r="F244" s="29" t="s">
        <v>611</v>
      </c>
      <c r="G244" s="30" t="n">
        <v>75008</v>
      </c>
      <c r="H244" s="31" t="s">
        <v>36</v>
      </c>
      <c r="I244" s="32" t="n">
        <v>145561000</v>
      </c>
      <c r="J244" s="33" t="n">
        <v>325</v>
      </c>
      <c r="K244" s="33" t="n">
        <v>1</v>
      </c>
      <c r="L244" s="34"/>
      <c r="M244" s="35"/>
      <c r="N244" s="36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9"/>
      <c r="Z244" s="39"/>
      <c r="AA244" s="28"/>
      <c r="AMJ244" s="0"/>
    </row>
    <row r="245" s="2" customFormat="true" ht="12.75" hidden="false" customHeight="true" outlineLevel="0" collapsed="false">
      <c r="A245" s="27" t="s">
        <v>612</v>
      </c>
      <c r="B245" s="27" t="s">
        <v>613</v>
      </c>
      <c r="C245" s="28" t="s">
        <v>113</v>
      </c>
      <c r="D245" s="27" t="s">
        <v>357</v>
      </c>
      <c r="E245" s="27"/>
      <c r="F245" s="29" t="s">
        <v>614</v>
      </c>
      <c r="G245" s="30" t="n">
        <v>75008</v>
      </c>
      <c r="H245" s="31" t="s">
        <v>36</v>
      </c>
      <c r="I245" s="32" t="n">
        <v>147235804</v>
      </c>
      <c r="J245" s="33" t="n">
        <v>51</v>
      </c>
      <c r="K245" s="33" t="n">
        <v>1</v>
      </c>
      <c r="L245" s="34"/>
      <c r="M245" s="35"/>
      <c r="N245" s="36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9"/>
      <c r="Z245" s="39"/>
      <c r="AA245" s="28"/>
      <c r="AMJ245" s="0"/>
    </row>
    <row r="246" s="2" customFormat="true" ht="12.75" hidden="false" customHeight="true" outlineLevel="0" collapsed="false">
      <c r="A246" s="27" t="s">
        <v>615</v>
      </c>
      <c r="B246" s="27" t="s">
        <v>332</v>
      </c>
      <c r="C246" s="28" t="s">
        <v>41</v>
      </c>
      <c r="D246" s="27" t="s">
        <v>357</v>
      </c>
      <c r="E246" s="27"/>
      <c r="F246" s="29" t="s">
        <v>616</v>
      </c>
      <c r="G246" s="30" t="n">
        <v>75008</v>
      </c>
      <c r="H246" s="31" t="s">
        <v>36</v>
      </c>
      <c r="I246" s="32" t="n">
        <v>145220110</v>
      </c>
      <c r="J246" s="33" t="n">
        <v>243</v>
      </c>
      <c r="K246" s="33" t="n">
        <v>1</v>
      </c>
      <c r="L246" s="34"/>
      <c r="M246" s="35"/>
      <c r="N246" s="36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9"/>
      <c r="Z246" s="39"/>
      <c r="AA246" s="28"/>
      <c r="AMJ246" s="0"/>
    </row>
    <row r="247" s="2" customFormat="true" ht="12.75" hidden="false" customHeight="true" outlineLevel="0" collapsed="false">
      <c r="A247" s="27" t="s">
        <v>617</v>
      </c>
      <c r="B247" s="27" t="s">
        <v>618</v>
      </c>
      <c r="C247" s="28" t="s">
        <v>208</v>
      </c>
      <c r="D247" s="27" t="s">
        <v>357</v>
      </c>
      <c r="E247" s="27"/>
      <c r="F247" s="29" t="s">
        <v>616</v>
      </c>
      <c r="G247" s="30" t="n">
        <v>75008</v>
      </c>
      <c r="H247" s="31" t="s">
        <v>36</v>
      </c>
      <c r="I247" s="32" t="n">
        <v>145220110</v>
      </c>
      <c r="J247" s="33" t="n">
        <v>353</v>
      </c>
      <c r="K247" s="33" t="n">
        <v>7</v>
      </c>
      <c r="L247" s="34"/>
      <c r="M247" s="35"/>
      <c r="N247" s="36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9"/>
      <c r="Z247" s="39"/>
      <c r="AA247" s="28"/>
      <c r="AMJ247" s="0"/>
    </row>
    <row r="248" s="2" customFormat="true" ht="12.75" hidden="false" customHeight="true" outlineLevel="0" collapsed="false">
      <c r="A248" s="27" t="s">
        <v>619</v>
      </c>
      <c r="B248" s="27" t="s">
        <v>620</v>
      </c>
      <c r="C248" s="28" t="s">
        <v>33</v>
      </c>
      <c r="D248" s="27" t="s">
        <v>357</v>
      </c>
      <c r="E248" s="27"/>
      <c r="F248" s="29" t="s">
        <v>621</v>
      </c>
      <c r="G248" s="30" t="n">
        <v>75008</v>
      </c>
      <c r="H248" s="31" t="s">
        <v>36</v>
      </c>
      <c r="I248" s="32"/>
      <c r="J248" s="33" t="n">
        <v>51</v>
      </c>
      <c r="K248" s="33" t="n">
        <v>1</v>
      </c>
      <c r="L248" s="34"/>
      <c r="M248" s="35"/>
      <c r="N248" s="36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9"/>
      <c r="Z248" s="39"/>
      <c r="AA248" s="28"/>
      <c r="AC248" s="2" t="s">
        <v>218</v>
      </c>
      <c r="AMJ248" s="0"/>
    </row>
    <row r="249" s="2" customFormat="true" ht="12.75" hidden="false" customHeight="true" outlineLevel="0" collapsed="false">
      <c r="A249" s="27" t="s">
        <v>622</v>
      </c>
      <c r="B249" s="27" t="s">
        <v>324</v>
      </c>
      <c r="C249" s="28" t="s">
        <v>33</v>
      </c>
      <c r="D249" s="27" t="s">
        <v>357</v>
      </c>
      <c r="E249" s="27"/>
      <c r="F249" s="29" t="s">
        <v>621</v>
      </c>
      <c r="G249" s="30" t="n">
        <v>75008</v>
      </c>
      <c r="H249" s="31" t="s">
        <v>36</v>
      </c>
      <c r="I249" s="32"/>
      <c r="J249" s="33" t="n">
        <v>36</v>
      </c>
      <c r="K249" s="33" t="n">
        <v>1</v>
      </c>
      <c r="L249" s="34"/>
      <c r="M249" s="35"/>
      <c r="N249" s="36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9"/>
      <c r="Z249" s="39"/>
      <c r="AA249" s="28"/>
      <c r="AC249" s="2" t="s">
        <v>108</v>
      </c>
      <c r="AE249" s="2" t="s">
        <v>623</v>
      </c>
      <c r="AMJ249" s="0"/>
    </row>
    <row r="250" s="2" customFormat="true" ht="12.75" hidden="false" customHeight="true" outlineLevel="0" collapsed="false">
      <c r="A250" s="27" t="s">
        <v>624</v>
      </c>
      <c r="B250" s="27" t="s">
        <v>517</v>
      </c>
      <c r="C250" s="28" t="s">
        <v>33</v>
      </c>
      <c r="D250" s="27" t="s">
        <v>357</v>
      </c>
      <c r="E250" s="27"/>
      <c r="F250" s="29" t="s">
        <v>625</v>
      </c>
      <c r="G250" s="30" t="n">
        <v>75008</v>
      </c>
      <c r="H250" s="31" t="s">
        <v>36</v>
      </c>
      <c r="I250" s="32" t="n">
        <v>156542727</v>
      </c>
      <c r="J250" s="33" t="n">
        <v>55</v>
      </c>
      <c r="K250" s="33" t="n">
        <v>0</v>
      </c>
      <c r="L250" s="34"/>
      <c r="M250" s="35"/>
      <c r="N250" s="36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9"/>
      <c r="Z250" s="39"/>
      <c r="AA250" s="28"/>
      <c r="AC250" s="2" t="s">
        <v>38</v>
      </c>
      <c r="AMJ250" s="0"/>
    </row>
    <row r="251" s="2" customFormat="true" ht="12.75" hidden="false" customHeight="true" outlineLevel="0" collapsed="false">
      <c r="A251" s="27" t="s">
        <v>626</v>
      </c>
      <c r="B251" s="27" t="s">
        <v>157</v>
      </c>
      <c r="C251" s="28" t="s">
        <v>41</v>
      </c>
      <c r="D251" s="27" t="s">
        <v>357</v>
      </c>
      <c r="E251" s="27"/>
      <c r="F251" s="29" t="s">
        <v>627</v>
      </c>
      <c r="G251" s="30" t="n">
        <v>75008</v>
      </c>
      <c r="H251" s="31" t="s">
        <v>36</v>
      </c>
      <c r="I251" s="32" t="n">
        <v>155300749</v>
      </c>
      <c r="J251" s="33" t="n">
        <v>343</v>
      </c>
      <c r="K251" s="33" t="n">
        <v>1</v>
      </c>
      <c r="L251" s="34"/>
      <c r="M251" s="35"/>
      <c r="N251" s="36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9"/>
      <c r="Z251" s="39"/>
      <c r="AA251" s="28"/>
      <c r="AMJ251" s="0"/>
    </row>
    <row r="252" s="2" customFormat="true" ht="12.75" hidden="false" customHeight="true" outlineLevel="0" collapsed="false">
      <c r="A252" s="27" t="s">
        <v>628</v>
      </c>
      <c r="B252" s="27" t="s">
        <v>172</v>
      </c>
      <c r="C252" s="28" t="s">
        <v>33</v>
      </c>
      <c r="D252" s="27" t="s">
        <v>357</v>
      </c>
      <c r="E252" s="27"/>
      <c r="F252" s="29" t="s">
        <v>629</v>
      </c>
      <c r="G252" s="30" t="n">
        <v>75008</v>
      </c>
      <c r="H252" s="31" t="s">
        <v>36</v>
      </c>
      <c r="I252" s="32" t="n">
        <v>145221820</v>
      </c>
      <c r="J252" s="33" t="n">
        <v>58</v>
      </c>
      <c r="K252" s="33" t="n">
        <v>1</v>
      </c>
      <c r="L252" s="34"/>
      <c r="M252" s="35"/>
      <c r="N252" s="36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9"/>
      <c r="Z252" s="39"/>
      <c r="AA252" s="28"/>
      <c r="AC252" s="2" t="s">
        <v>38</v>
      </c>
      <c r="AMJ252" s="0"/>
    </row>
    <row r="253" s="2" customFormat="true" ht="12.75" hidden="false" customHeight="true" outlineLevel="0" collapsed="false">
      <c r="A253" s="27" t="s">
        <v>630</v>
      </c>
      <c r="B253" s="27" t="s">
        <v>222</v>
      </c>
      <c r="C253" s="28" t="s">
        <v>41</v>
      </c>
      <c r="D253" s="27" t="s">
        <v>357</v>
      </c>
      <c r="E253" s="27"/>
      <c r="F253" s="29" t="s">
        <v>631</v>
      </c>
      <c r="G253" s="30" t="n">
        <v>75008</v>
      </c>
      <c r="H253" s="31" t="s">
        <v>36</v>
      </c>
      <c r="I253" s="32" t="n">
        <v>145628067</v>
      </c>
      <c r="J253" s="33" t="n">
        <v>319</v>
      </c>
      <c r="K253" s="33" t="n">
        <v>11</v>
      </c>
      <c r="L253" s="34"/>
      <c r="M253" s="35" t="s">
        <v>164</v>
      </c>
      <c r="N253" s="36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9"/>
      <c r="Z253" s="39"/>
      <c r="AA253" s="28"/>
      <c r="AMJ253" s="0"/>
    </row>
    <row r="254" s="2" customFormat="true" ht="12.75" hidden="false" customHeight="true" outlineLevel="0" collapsed="false">
      <c r="A254" s="27" t="s">
        <v>296</v>
      </c>
      <c r="B254" s="27" t="s">
        <v>106</v>
      </c>
      <c r="C254" s="28" t="s">
        <v>41</v>
      </c>
      <c r="D254" s="27" t="s">
        <v>357</v>
      </c>
      <c r="E254" s="27"/>
      <c r="F254" s="29" t="s">
        <v>631</v>
      </c>
      <c r="G254" s="30" t="n">
        <v>75008</v>
      </c>
      <c r="H254" s="31" t="s">
        <v>36</v>
      </c>
      <c r="I254" s="32" t="n">
        <v>142252561</v>
      </c>
      <c r="J254" s="33" t="n">
        <v>319</v>
      </c>
      <c r="K254" s="33" t="n">
        <v>3</v>
      </c>
      <c r="L254" s="34"/>
      <c r="M254" s="35"/>
      <c r="N254" s="36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9"/>
      <c r="Z254" s="39"/>
      <c r="AA254" s="28"/>
      <c r="AMJ254" s="0"/>
    </row>
    <row r="255" s="2" customFormat="true" ht="12.75" hidden="false" customHeight="true" outlineLevel="0" collapsed="false">
      <c r="A255" s="27" t="s">
        <v>632</v>
      </c>
      <c r="B255" s="27" t="s">
        <v>633</v>
      </c>
      <c r="C255" s="28" t="s">
        <v>41</v>
      </c>
      <c r="D255" s="27" t="s">
        <v>357</v>
      </c>
      <c r="E255" s="27"/>
      <c r="F255" s="29" t="s">
        <v>631</v>
      </c>
      <c r="G255" s="30" t="n">
        <v>75008</v>
      </c>
      <c r="H255" s="31" t="s">
        <v>36</v>
      </c>
      <c r="I255" s="32" t="n">
        <v>142895449</v>
      </c>
      <c r="J255" s="33" t="n">
        <v>318</v>
      </c>
      <c r="K255" s="33" t="n">
        <v>1</v>
      </c>
      <c r="L255" s="34"/>
      <c r="M255" s="35"/>
      <c r="N255" s="36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9"/>
      <c r="Z255" s="39"/>
      <c r="AA255" s="28"/>
      <c r="AMJ255" s="0"/>
    </row>
    <row r="256" s="2" customFormat="true" ht="12.75" hidden="false" customHeight="true" outlineLevel="0" collapsed="false">
      <c r="A256" s="27" t="s">
        <v>634</v>
      </c>
      <c r="B256" s="27" t="s">
        <v>635</v>
      </c>
      <c r="C256" s="28" t="s">
        <v>208</v>
      </c>
      <c r="D256" s="27" t="s">
        <v>357</v>
      </c>
      <c r="E256" s="27"/>
      <c r="F256" s="29" t="s">
        <v>631</v>
      </c>
      <c r="G256" s="30" t="n">
        <v>75008</v>
      </c>
      <c r="H256" s="31" t="s">
        <v>36</v>
      </c>
      <c r="I256" s="32" t="n">
        <v>145628067</v>
      </c>
      <c r="J256" s="33" t="n">
        <v>322</v>
      </c>
      <c r="K256" s="33" t="n">
        <v>1</v>
      </c>
      <c r="L256" s="34" t="n">
        <v>2</v>
      </c>
      <c r="M256" s="35" t="s">
        <v>164</v>
      </c>
      <c r="N256" s="36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39"/>
      <c r="Z256" s="39"/>
      <c r="AA256" s="28" t="n">
        <v>2</v>
      </c>
      <c r="AMJ256" s="0"/>
    </row>
    <row r="257" s="2" customFormat="true" ht="12.75" hidden="false" customHeight="true" outlineLevel="0" collapsed="false">
      <c r="A257" s="27" t="s">
        <v>636</v>
      </c>
      <c r="B257" s="27" t="s">
        <v>151</v>
      </c>
      <c r="C257" s="28" t="s">
        <v>41</v>
      </c>
      <c r="D257" s="27" t="s">
        <v>357</v>
      </c>
      <c r="E257" s="27"/>
      <c r="F257" s="29" t="s">
        <v>637</v>
      </c>
      <c r="G257" s="30" t="n">
        <v>75008</v>
      </c>
      <c r="H257" s="31" t="s">
        <v>36</v>
      </c>
      <c r="I257" s="32" t="n">
        <v>145226749</v>
      </c>
      <c r="J257" s="33" t="n">
        <v>354</v>
      </c>
      <c r="K257" s="33" t="n">
        <v>1</v>
      </c>
      <c r="L257" s="34"/>
      <c r="M257" s="35"/>
      <c r="N257" s="36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9"/>
      <c r="Z257" s="39"/>
      <c r="AA257" s="28"/>
      <c r="AMJ257" s="0"/>
    </row>
    <row r="258" s="2" customFormat="true" ht="12.75" hidden="false" customHeight="true" outlineLevel="0" collapsed="false">
      <c r="A258" s="27" t="s">
        <v>638</v>
      </c>
      <c r="B258" s="27" t="s">
        <v>639</v>
      </c>
      <c r="C258" s="28" t="s">
        <v>41</v>
      </c>
      <c r="D258" s="27" t="s">
        <v>357</v>
      </c>
      <c r="E258" s="27"/>
      <c r="F258" s="29" t="s">
        <v>640</v>
      </c>
      <c r="G258" s="30" t="n">
        <v>75008</v>
      </c>
      <c r="H258" s="31" t="s">
        <v>36</v>
      </c>
      <c r="I258" s="32" t="n">
        <v>145639165</v>
      </c>
      <c r="J258" s="33" t="n">
        <v>362</v>
      </c>
      <c r="K258" s="33" t="n">
        <v>3</v>
      </c>
      <c r="L258" s="34"/>
      <c r="M258" s="35"/>
      <c r="N258" s="36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9"/>
      <c r="Z258" s="39"/>
      <c r="AA258" s="28"/>
      <c r="AMJ258" s="0"/>
    </row>
    <row r="259" s="2" customFormat="true" ht="12.75" hidden="false" customHeight="true" outlineLevel="0" collapsed="false">
      <c r="A259" s="27" t="s">
        <v>641</v>
      </c>
      <c r="B259" s="27" t="s">
        <v>642</v>
      </c>
      <c r="C259" s="28" t="s">
        <v>33</v>
      </c>
      <c r="D259" s="27" t="s">
        <v>357</v>
      </c>
      <c r="E259" s="27"/>
      <c r="F259" s="29" t="s">
        <v>643</v>
      </c>
      <c r="G259" s="30" t="n">
        <v>75008</v>
      </c>
      <c r="H259" s="31" t="s">
        <v>36</v>
      </c>
      <c r="I259" s="32" t="n">
        <v>153210027</v>
      </c>
      <c r="J259" s="33" t="n">
        <v>60</v>
      </c>
      <c r="K259" s="33" t="n">
        <v>0</v>
      </c>
      <c r="L259" s="34"/>
      <c r="M259" s="35"/>
      <c r="N259" s="36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9"/>
      <c r="Z259" s="39"/>
      <c r="AA259" s="28"/>
      <c r="AC259" s="2" t="s">
        <v>197</v>
      </c>
      <c r="AMJ259" s="0"/>
    </row>
    <row r="260" s="2" customFormat="true" ht="12.75" hidden="false" customHeight="true" outlineLevel="0" collapsed="false">
      <c r="A260" s="27" t="s">
        <v>644</v>
      </c>
      <c r="B260" s="27" t="s">
        <v>177</v>
      </c>
      <c r="C260" s="28" t="s">
        <v>41</v>
      </c>
      <c r="D260" s="27" t="s">
        <v>645</v>
      </c>
      <c r="E260" s="27"/>
      <c r="F260" s="29" t="s">
        <v>646</v>
      </c>
      <c r="G260" s="30" t="n">
        <v>75015</v>
      </c>
      <c r="H260" s="31" t="s">
        <v>36</v>
      </c>
      <c r="I260" s="32" t="n">
        <v>143315724</v>
      </c>
      <c r="J260" s="33" t="n">
        <v>178</v>
      </c>
      <c r="K260" s="33" t="n">
        <v>10</v>
      </c>
      <c r="L260" s="34"/>
      <c r="M260" s="35" t="s">
        <v>164</v>
      </c>
      <c r="N260" s="36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9"/>
      <c r="Z260" s="39"/>
      <c r="AA260" s="28"/>
      <c r="AMJ260" s="0"/>
    </row>
    <row r="261" s="2" customFormat="true" ht="12.75" hidden="false" customHeight="true" outlineLevel="0" collapsed="false">
      <c r="A261" s="27" t="s">
        <v>647</v>
      </c>
      <c r="B261" s="27" t="s">
        <v>648</v>
      </c>
      <c r="C261" s="28" t="s">
        <v>41</v>
      </c>
      <c r="D261" s="27" t="s">
        <v>645</v>
      </c>
      <c r="E261" s="27"/>
      <c r="F261" s="29" t="s">
        <v>646</v>
      </c>
      <c r="G261" s="30" t="n">
        <v>75015</v>
      </c>
      <c r="H261" s="31" t="s">
        <v>36</v>
      </c>
      <c r="I261" s="32" t="n">
        <v>143315724</v>
      </c>
      <c r="J261" s="33" t="n">
        <v>93</v>
      </c>
      <c r="K261" s="33" t="n">
        <v>1</v>
      </c>
      <c r="L261" s="34"/>
      <c r="M261" s="35"/>
      <c r="N261" s="36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9"/>
      <c r="Z261" s="39"/>
      <c r="AA261" s="28"/>
      <c r="AMJ261" s="0"/>
    </row>
    <row r="262" s="2" customFormat="true" ht="12.75" hidden="false" customHeight="true" outlineLevel="0" collapsed="false">
      <c r="A262" s="27" t="s">
        <v>649</v>
      </c>
      <c r="B262" s="27" t="s">
        <v>650</v>
      </c>
      <c r="C262" s="28" t="s">
        <v>41</v>
      </c>
      <c r="D262" s="27" t="s">
        <v>645</v>
      </c>
      <c r="E262" s="27"/>
      <c r="F262" s="29" t="s">
        <v>646</v>
      </c>
      <c r="G262" s="30" t="n">
        <v>75015</v>
      </c>
      <c r="H262" s="31" t="s">
        <v>36</v>
      </c>
      <c r="I262" s="32" t="n">
        <v>143315724</v>
      </c>
      <c r="J262" s="33" t="n">
        <v>0</v>
      </c>
      <c r="K262" s="33" t="n">
        <v>1</v>
      </c>
      <c r="L262" s="34"/>
      <c r="M262" s="35"/>
      <c r="N262" s="36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9"/>
      <c r="Z262" s="39"/>
      <c r="AA262" s="28"/>
      <c r="AMJ262" s="0"/>
    </row>
    <row r="263" s="2" customFormat="true" ht="12.75" hidden="false" customHeight="true" outlineLevel="0" collapsed="false">
      <c r="A263" s="27" t="s">
        <v>651</v>
      </c>
      <c r="B263" s="27" t="s">
        <v>652</v>
      </c>
      <c r="C263" s="28" t="s">
        <v>41</v>
      </c>
      <c r="D263" s="27" t="s">
        <v>645</v>
      </c>
      <c r="E263" s="27"/>
      <c r="F263" s="29" t="s">
        <v>646</v>
      </c>
      <c r="G263" s="30" t="n">
        <v>75015</v>
      </c>
      <c r="H263" s="31" t="s">
        <v>36</v>
      </c>
      <c r="I263" s="32" t="n">
        <v>143315724</v>
      </c>
      <c r="J263" s="33" t="n">
        <v>0</v>
      </c>
      <c r="K263" s="33" t="n">
        <v>9</v>
      </c>
      <c r="L263" s="34"/>
      <c r="M263" s="35"/>
      <c r="N263" s="36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9"/>
      <c r="Z263" s="39"/>
      <c r="AA263" s="28"/>
      <c r="AMJ263" s="0"/>
    </row>
    <row r="264" s="2" customFormat="true" ht="12.75" hidden="false" customHeight="true" outlineLevel="0" collapsed="false">
      <c r="A264" s="27" t="s">
        <v>653</v>
      </c>
      <c r="B264" s="27" t="s">
        <v>654</v>
      </c>
      <c r="C264" s="28" t="s">
        <v>41</v>
      </c>
      <c r="D264" s="27" t="s">
        <v>645</v>
      </c>
      <c r="E264" s="27"/>
      <c r="F264" s="29" t="s">
        <v>655</v>
      </c>
      <c r="G264" s="30" t="n">
        <v>75015</v>
      </c>
      <c r="H264" s="31" t="s">
        <v>36</v>
      </c>
      <c r="I264" s="32" t="n">
        <v>145774686</v>
      </c>
      <c r="J264" s="33" t="n">
        <v>196</v>
      </c>
      <c r="K264" s="33" t="n">
        <v>1</v>
      </c>
      <c r="L264" s="34"/>
      <c r="M264" s="35"/>
      <c r="N264" s="36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9"/>
      <c r="Z264" s="39"/>
      <c r="AA264" s="28"/>
      <c r="AMJ264" s="0"/>
    </row>
    <row r="265" s="2" customFormat="true" ht="12.75" hidden="false" customHeight="true" outlineLevel="0" collapsed="false">
      <c r="A265" s="27" t="s">
        <v>656</v>
      </c>
      <c r="B265" s="27" t="s">
        <v>329</v>
      </c>
      <c r="C265" s="28" t="s">
        <v>33</v>
      </c>
      <c r="D265" s="27" t="s">
        <v>645</v>
      </c>
      <c r="E265" s="27"/>
      <c r="F265" s="29" t="s">
        <v>657</v>
      </c>
      <c r="G265" s="30" t="n">
        <v>75015</v>
      </c>
      <c r="H265" s="31" t="s">
        <v>36</v>
      </c>
      <c r="I265" s="32"/>
      <c r="J265" s="33" t="n">
        <v>68</v>
      </c>
      <c r="K265" s="33" t="n">
        <v>1</v>
      </c>
      <c r="L265" s="34"/>
      <c r="M265" s="35"/>
      <c r="N265" s="36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9"/>
      <c r="Z265" s="39"/>
      <c r="AA265" s="28"/>
      <c r="AC265" s="2" t="s">
        <v>108</v>
      </c>
      <c r="AD265" s="2" t="s">
        <v>369</v>
      </c>
      <c r="AE265" s="2" t="s">
        <v>658</v>
      </c>
      <c r="AMJ265" s="0"/>
    </row>
    <row r="266" s="2" customFormat="true" ht="12.75" hidden="false" customHeight="true" outlineLevel="0" collapsed="false">
      <c r="A266" s="27" t="s">
        <v>659</v>
      </c>
      <c r="B266" s="27" t="s">
        <v>660</v>
      </c>
      <c r="C266" s="28" t="s">
        <v>41</v>
      </c>
      <c r="D266" s="27" t="s">
        <v>645</v>
      </c>
      <c r="E266" s="27" t="s">
        <v>661</v>
      </c>
      <c r="F266" s="29" t="s">
        <v>662</v>
      </c>
      <c r="G266" s="30" t="n">
        <v>75015</v>
      </c>
      <c r="H266" s="31" t="s">
        <v>36</v>
      </c>
      <c r="I266" s="32" t="n">
        <v>143922100</v>
      </c>
      <c r="J266" s="33" t="n">
        <v>400</v>
      </c>
      <c r="K266" s="33"/>
      <c r="L266" s="34"/>
      <c r="M266" s="35"/>
      <c r="N266" s="36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9"/>
      <c r="Z266" s="39"/>
      <c r="AA266" s="28"/>
      <c r="AMJ266" s="0"/>
    </row>
    <row r="267" s="2" customFormat="true" ht="12.75" hidden="false" customHeight="true" outlineLevel="0" collapsed="false">
      <c r="A267" s="27" t="s">
        <v>663</v>
      </c>
      <c r="B267" s="27" t="s">
        <v>664</v>
      </c>
      <c r="C267" s="28" t="s">
        <v>41</v>
      </c>
      <c r="D267" s="27" t="s">
        <v>645</v>
      </c>
      <c r="E267" s="27" t="s">
        <v>661</v>
      </c>
      <c r="F267" s="29" t="s">
        <v>662</v>
      </c>
      <c r="G267" s="30" t="n">
        <v>75015</v>
      </c>
      <c r="H267" s="31" t="s">
        <v>36</v>
      </c>
      <c r="I267" s="32" t="n">
        <v>143922121</v>
      </c>
      <c r="J267" s="33" t="n">
        <v>361</v>
      </c>
      <c r="K267" s="33" t="n">
        <v>1</v>
      </c>
      <c r="L267" s="34"/>
      <c r="M267" s="35"/>
      <c r="N267" s="36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9" t="n">
        <v>45181.6041666667</v>
      </c>
      <c r="Z267" s="39"/>
      <c r="AA267" s="28"/>
      <c r="AMJ267" s="0"/>
    </row>
    <row r="268" s="2" customFormat="true" ht="12.75" hidden="false" customHeight="true" outlineLevel="0" collapsed="false">
      <c r="A268" s="27" t="s">
        <v>665</v>
      </c>
      <c r="B268" s="27" t="s">
        <v>266</v>
      </c>
      <c r="C268" s="28" t="s">
        <v>41</v>
      </c>
      <c r="D268" s="27" t="s">
        <v>645</v>
      </c>
      <c r="E268" s="27" t="s">
        <v>661</v>
      </c>
      <c r="F268" s="29" t="s">
        <v>662</v>
      </c>
      <c r="G268" s="30" t="n">
        <v>75015</v>
      </c>
      <c r="H268" s="31" t="s">
        <v>36</v>
      </c>
      <c r="I268" s="32" t="n">
        <v>143922124</v>
      </c>
      <c r="J268" s="33" t="n">
        <v>360</v>
      </c>
      <c r="K268" s="33" t="n">
        <v>1</v>
      </c>
      <c r="L268" s="34"/>
      <c r="M268" s="35"/>
      <c r="N268" s="36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9" t="n">
        <v>45181.6631944444</v>
      </c>
      <c r="Z268" s="39"/>
      <c r="AA268" s="28"/>
      <c r="AMJ268" s="0"/>
    </row>
    <row r="269" s="2" customFormat="true" ht="12.75" hidden="false" customHeight="true" outlineLevel="0" collapsed="false">
      <c r="A269" s="27" t="s">
        <v>666</v>
      </c>
      <c r="B269" s="27" t="s">
        <v>532</v>
      </c>
      <c r="C269" s="28" t="s">
        <v>41</v>
      </c>
      <c r="D269" s="27" t="s">
        <v>645</v>
      </c>
      <c r="E269" s="27" t="s">
        <v>661</v>
      </c>
      <c r="F269" s="29" t="s">
        <v>662</v>
      </c>
      <c r="G269" s="30" t="n">
        <v>75015</v>
      </c>
      <c r="H269" s="31" t="s">
        <v>36</v>
      </c>
      <c r="I269" s="32" t="n">
        <v>143922123</v>
      </c>
      <c r="J269" s="33" t="n">
        <v>244</v>
      </c>
      <c r="K269" s="33" t="n">
        <v>1</v>
      </c>
      <c r="L269" s="34"/>
      <c r="M269" s="35"/>
      <c r="N269" s="36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9"/>
      <c r="Z269" s="39"/>
      <c r="AA269" s="28"/>
      <c r="AMJ269" s="0"/>
    </row>
    <row r="270" s="2" customFormat="true" ht="12.75" hidden="false" customHeight="true" outlineLevel="0" collapsed="false">
      <c r="A270" s="27" t="s">
        <v>665</v>
      </c>
      <c r="B270" s="27" t="s">
        <v>667</v>
      </c>
      <c r="C270" s="28" t="s">
        <v>41</v>
      </c>
      <c r="D270" s="27" t="s">
        <v>645</v>
      </c>
      <c r="E270" s="27" t="s">
        <v>661</v>
      </c>
      <c r="F270" s="29" t="s">
        <v>662</v>
      </c>
      <c r="G270" s="30" t="n">
        <v>75015</v>
      </c>
      <c r="H270" s="31" t="s">
        <v>36</v>
      </c>
      <c r="I270" s="32" t="n">
        <v>143922122</v>
      </c>
      <c r="J270" s="33" t="n">
        <v>240</v>
      </c>
      <c r="K270" s="33" t="n">
        <v>1</v>
      </c>
      <c r="L270" s="34"/>
      <c r="M270" s="35"/>
      <c r="N270" s="36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9"/>
      <c r="Z270" s="39"/>
      <c r="AA270" s="28"/>
      <c r="AMJ270" s="0"/>
    </row>
    <row r="271" s="2" customFormat="true" ht="12.75" hidden="false" customHeight="true" outlineLevel="0" collapsed="false">
      <c r="A271" s="27" t="s">
        <v>668</v>
      </c>
      <c r="B271" s="27" t="s">
        <v>669</v>
      </c>
      <c r="C271" s="28" t="s">
        <v>41</v>
      </c>
      <c r="D271" s="27" t="s">
        <v>645</v>
      </c>
      <c r="E271" s="27"/>
      <c r="F271" s="29" t="s">
        <v>670</v>
      </c>
      <c r="G271" s="30" t="n">
        <v>75015</v>
      </c>
      <c r="H271" s="31" t="s">
        <v>36</v>
      </c>
      <c r="I271" s="32" t="n">
        <v>145796287</v>
      </c>
      <c r="J271" s="33" t="n">
        <v>390</v>
      </c>
      <c r="K271" s="33" t="n">
        <v>2</v>
      </c>
      <c r="L271" s="34"/>
      <c r="M271" s="35"/>
      <c r="N271" s="36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9"/>
      <c r="Z271" s="39"/>
      <c r="AA271" s="28"/>
      <c r="AMJ271" s="0"/>
    </row>
    <row r="272" s="2" customFormat="true" ht="12.75" hidden="false" customHeight="true" outlineLevel="0" collapsed="false">
      <c r="A272" s="27" t="s">
        <v>671</v>
      </c>
      <c r="B272" s="27" t="s">
        <v>672</v>
      </c>
      <c r="C272" s="28" t="s">
        <v>41</v>
      </c>
      <c r="D272" s="27" t="s">
        <v>645</v>
      </c>
      <c r="E272" s="27"/>
      <c r="F272" s="29" t="s">
        <v>673</v>
      </c>
      <c r="G272" s="30" t="n">
        <v>75015</v>
      </c>
      <c r="H272" s="31" t="s">
        <v>36</v>
      </c>
      <c r="I272" s="32" t="n">
        <v>145778197</v>
      </c>
      <c r="J272" s="33" t="n">
        <v>269</v>
      </c>
      <c r="K272" s="33" t="n">
        <v>1</v>
      </c>
      <c r="L272" s="34"/>
      <c r="M272" s="35"/>
      <c r="N272" s="36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9"/>
      <c r="Z272" s="39"/>
      <c r="AA272" s="28"/>
      <c r="AMJ272" s="0"/>
    </row>
    <row r="273" s="2" customFormat="true" ht="12.75" hidden="false" customHeight="true" outlineLevel="0" collapsed="false">
      <c r="A273" s="27" t="s">
        <v>674</v>
      </c>
      <c r="B273" s="27" t="s">
        <v>415</v>
      </c>
      <c r="C273" s="28" t="s">
        <v>41</v>
      </c>
      <c r="D273" s="27" t="s">
        <v>645</v>
      </c>
      <c r="E273" s="27"/>
      <c r="F273" s="29" t="s">
        <v>675</v>
      </c>
      <c r="G273" s="30" t="n">
        <v>75015</v>
      </c>
      <c r="H273" s="31" t="s">
        <v>36</v>
      </c>
      <c r="I273" s="32" t="n">
        <v>145756970</v>
      </c>
      <c r="J273" s="33" t="n">
        <v>353</v>
      </c>
      <c r="K273" s="33" t="n">
        <v>9</v>
      </c>
      <c r="L273" s="34"/>
      <c r="M273" s="35"/>
      <c r="N273" s="36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9"/>
      <c r="Z273" s="39"/>
      <c r="AA273" s="28"/>
      <c r="AMJ273" s="0"/>
    </row>
    <row r="274" s="2" customFormat="true" ht="12.75" hidden="false" customHeight="true" outlineLevel="0" collapsed="false">
      <c r="A274" s="27" t="s">
        <v>244</v>
      </c>
      <c r="B274" s="27" t="s">
        <v>266</v>
      </c>
      <c r="C274" s="28" t="s">
        <v>33</v>
      </c>
      <c r="D274" s="27" t="s">
        <v>645</v>
      </c>
      <c r="E274" s="27"/>
      <c r="F274" s="29" t="s">
        <v>676</v>
      </c>
      <c r="G274" s="30" t="n">
        <v>75015</v>
      </c>
      <c r="H274" s="31" t="s">
        <v>36</v>
      </c>
      <c r="I274" s="32" t="n">
        <v>145679876</v>
      </c>
      <c r="J274" s="33" t="n">
        <v>78</v>
      </c>
      <c r="K274" s="33" t="n">
        <v>1</v>
      </c>
      <c r="L274" s="34"/>
      <c r="M274" s="35"/>
      <c r="N274" s="36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9"/>
      <c r="Z274" s="39"/>
      <c r="AA274" s="28"/>
      <c r="AC274" s="2" t="s">
        <v>108</v>
      </c>
      <c r="AD274" s="2" t="s">
        <v>369</v>
      </c>
      <c r="AE274" s="2" t="s">
        <v>677</v>
      </c>
      <c r="AMJ274" s="0"/>
    </row>
    <row r="275" s="2" customFormat="true" ht="12.75" hidden="false" customHeight="true" outlineLevel="0" collapsed="false">
      <c r="A275" s="27" t="s">
        <v>678</v>
      </c>
      <c r="B275" s="27" t="s">
        <v>195</v>
      </c>
      <c r="C275" s="28" t="s">
        <v>41</v>
      </c>
      <c r="D275" s="27" t="s">
        <v>645</v>
      </c>
      <c r="E275" s="27"/>
      <c r="F275" s="29" t="s">
        <v>679</v>
      </c>
      <c r="G275" s="30" t="n">
        <v>75015</v>
      </c>
      <c r="H275" s="31" t="s">
        <v>36</v>
      </c>
      <c r="I275" s="32" t="n">
        <v>145751188</v>
      </c>
      <c r="J275" s="33" t="n">
        <v>468</v>
      </c>
      <c r="K275" s="33" t="n">
        <v>30</v>
      </c>
      <c r="L275" s="34" t="n">
        <v>3</v>
      </c>
      <c r="M275" s="35" t="s">
        <v>110</v>
      </c>
      <c r="N275" s="36" t="s">
        <v>118</v>
      </c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39" t="n">
        <v>45125.4791666667</v>
      </c>
      <c r="Z275" s="39"/>
      <c r="AA275" s="28"/>
      <c r="AMJ275" s="0"/>
    </row>
    <row r="276" s="2" customFormat="true" ht="12.75" hidden="false" customHeight="true" outlineLevel="0" collapsed="false">
      <c r="A276" s="27" t="s">
        <v>680</v>
      </c>
      <c r="B276" s="27" t="s">
        <v>273</v>
      </c>
      <c r="C276" s="28" t="s">
        <v>121</v>
      </c>
      <c r="D276" s="27" t="s">
        <v>645</v>
      </c>
      <c r="E276" s="27"/>
      <c r="F276" s="29" t="s">
        <v>681</v>
      </c>
      <c r="G276" s="30" t="n">
        <v>75015</v>
      </c>
      <c r="H276" s="31" t="s">
        <v>36</v>
      </c>
      <c r="I276" s="32" t="n">
        <v>952955895</v>
      </c>
      <c r="J276" s="33" t="n">
        <v>400</v>
      </c>
      <c r="K276" s="33" t="n">
        <v>3</v>
      </c>
      <c r="L276" s="34"/>
      <c r="M276" s="35"/>
      <c r="N276" s="36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9"/>
      <c r="Z276" s="39"/>
      <c r="AA276" s="28"/>
      <c r="AMJ276" s="0"/>
    </row>
    <row r="277" s="2" customFormat="true" ht="12.75" hidden="false" customHeight="true" outlineLevel="0" collapsed="false">
      <c r="A277" s="27" t="s">
        <v>682</v>
      </c>
      <c r="B277" s="27" t="s">
        <v>683</v>
      </c>
      <c r="C277" s="28" t="s">
        <v>41</v>
      </c>
      <c r="D277" s="27" t="s">
        <v>645</v>
      </c>
      <c r="E277" s="27"/>
      <c r="F277" s="29" t="s">
        <v>684</v>
      </c>
      <c r="G277" s="30" t="n">
        <v>75015</v>
      </c>
      <c r="H277" s="31" t="s">
        <v>36</v>
      </c>
      <c r="I277" s="32" t="n">
        <v>145798725</v>
      </c>
      <c r="J277" s="33" t="n">
        <v>288</v>
      </c>
      <c r="K277" s="33" t="n">
        <v>26</v>
      </c>
      <c r="L277" s="34" t="n">
        <v>3</v>
      </c>
      <c r="M277" s="35" t="s">
        <v>321</v>
      </c>
      <c r="N277" s="36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39" t="n">
        <v>45126.6875</v>
      </c>
      <c r="Z277" s="39"/>
      <c r="AA277" s="28" t="n">
        <v>3</v>
      </c>
      <c r="AMJ277" s="0"/>
    </row>
    <row r="278" s="2" customFormat="true" ht="12.75" hidden="false" customHeight="true" outlineLevel="0" collapsed="false">
      <c r="A278" s="27" t="s">
        <v>685</v>
      </c>
      <c r="B278" s="27" t="s">
        <v>633</v>
      </c>
      <c r="C278" s="28" t="s">
        <v>41</v>
      </c>
      <c r="D278" s="27" t="s">
        <v>645</v>
      </c>
      <c r="E278" s="27"/>
      <c r="F278" s="29" t="s">
        <v>686</v>
      </c>
      <c r="G278" s="30" t="n">
        <v>75015</v>
      </c>
      <c r="H278" s="31" t="s">
        <v>36</v>
      </c>
      <c r="I278" s="32" t="n">
        <v>145776879</v>
      </c>
      <c r="J278" s="33" t="n">
        <v>383</v>
      </c>
      <c r="K278" s="33" t="n">
        <v>3</v>
      </c>
      <c r="L278" s="34"/>
      <c r="M278" s="35"/>
      <c r="N278" s="36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9"/>
      <c r="Z278" s="39"/>
      <c r="AA278" s="28"/>
      <c r="AMJ278" s="0"/>
    </row>
    <row r="279" s="2" customFormat="true" ht="12.75" hidden="false" customHeight="true" outlineLevel="0" collapsed="false">
      <c r="A279" s="27" t="s">
        <v>687</v>
      </c>
      <c r="B279" s="27" t="s">
        <v>688</v>
      </c>
      <c r="C279" s="28" t="s">
        <v>138</v>
      </c>
      <c r="D279" s="27" t="s">
        <v>645</v>
      </c>
      <c r="E279" s="27"/>
      <c r="F279" s="29" t="s">
        <v>689</v>
      </c>
      <c r="G279" s="30" t="n">
        <v>75015</v>
      </c>
      <c r="H279" s="31" t="s">
        <v>36</v>
      </c>
      <c r="I279" s="32" t="n">
        <v>145502614</v>
      </c>
      <c r="J279" s="33" t="n">
        <v>83</v>
      </c>
      <c r="K279" s="33" t="n">
        <v>6</v>
      </c>
      <c r="L279" s="34" t="n">
        <v>3</v>
      </c>
      <c r="M279" s="43" t="s">
        <v>155</v>
      </c>
      <c r="N279" s="36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39" t="n">
        <v>45182.5</v>
      </c>
      <c r="Z279" s="0"/>
      <c r="AA279" s="28" t="n">
        <v>3</v>
      </c>
      <c r="AMJ279" s="0"/>
    </row>
    <row r="280" s="2" customFormat="true" ht="12.75" hidden="false" customHeight="true" outlineLevel="0" collapsed="false">
      <c r="A280" s="27" t="s">
        <v>690</v>
      </c>
      <c r="B280" s="27" t="s">
        <v>691</v>
      </c>
      <c r="C280" s="28" t="s">
        <v>41</v>
      </c>
      <c r="D280" s="27" t="s">
        <v>645</v>
      </c>
      <c r="E280" s="27"/>
      <c r="F280" s="29" t="s">
        <v>692</v>
      </c>
      <c r="G280" s="30" t="n">
        <v>75015</v>
      </c>
      <c r="H280" s="31" t="s">
        <v>36</v>
      </c>
      <c r="I280" s="32" t="n">
        <v>140601076</v>
      </c>
      <c r="J280" s="33" t="n">
        <v>335</v>
      </c>
      <c r="K280" s="33" t="n">
        <v>1</v>
      </c>
      <c r="L280" s="34"/>
      <c r="M280" s="35"/>
      <c r="N280" s="36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9"/>
      <c r="Z280" s="39"/>
      <c r="AA280" s="28"/>
      <c r="AMJ280" s="0"/>
    </row>
    <row r="281" s="2" customFormat="true" ht="12.75" hidden="false" customHeight="true" outlineLevel="0" collapsed="false">
      <c r="A281" s="27" t="s">
        <v>693</v>
      </c>
      <c r="B281" s="27" t="s">
        <v>694</v>
      </c>
      <c r="C281" s="28" t="s">
        <v>41</v>
      </c>
      <c r="D281" s="27" t="s">
        <v>645</v>
      </c>
      <c r="E281" s="27"/>
      <c r="F281" s="29" t="s">
        <v>695</v>
      </c>
      <c r="G281" s="30" t="n">
        <v>75015</v>
      </c>
      <c r="H281" s="31" t="s">
        <v>36</v>
      </c>
      <c r="I281" s="32" t="n">
        <v>145332050</v>
      </c>
      <c r="J281" s="33" t="n">
        <v>316</v>
      </c>
      <c r="K281" s="33" t="n">
        <v>10</v>
      </c>
      <c r="L281" s="34"/>
      <c r="M281" s="35" t="s">
        <v>164</v>
      </c>
      <c r="N281" s="36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9"/>
      <c r="Z281" s="39"/>
      <c r="AA281" s="28"/>
      <c r="AMJ281" s="0"/>
    </row>
    <row r="282" s="2" customFormat="true" ht="12.75" hidden="false" customHeight="true" outlineLevel="0" collapsed="false">
      <c r="A282" s="45" t="s">
        <v>696</v>
      </c>
      <c r="B282" s="0"/>
      <c r="C282" s="0"/>
      <c r="D282" s="0" t="s">
        <v>645</v>
      </c>
      <c r="E282" s="0"/>
      <c r="F282" s="0" t="s">
        <v>697</v>
      </c>
      <c r="G282" s="46" t="n">
        <v>75015</v>
      </c>
      <c r="H282" s="0" t="s">
        <v>36</v>
      </c>
      <c r="I282" s="0"/>
      <c r="J282" s="47"/>
      <c r="K282" s="47"/>
      <c r="L282" s="47"/>
      <c r="M282" s="48"/>
      <c r="N282" s="48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49" t="n">
        <v>45170.6354166667</v>
      </c>
      <c r="Z282" s="49"/>
      <c r="AA282" s="0"/>
      <c r="AMJ282" s="0"/>
    </row>
    <row r="283" s="2" customFormat="true" ht="12.75" hidden="false" customHeight="true" outlineLevel="0" collapsed="false">
      <c r="A283" s="27" t="s">
        <v>698</v>
      </c>
      <c r="B283" s="27" t="s">
        <v>669</v>
      </c>
      <c r="C283" s="28" t="s">
        <v>41</v>
      </c>
      <c r="D283" s="27" t="s">
        <v>645</v>
      </c>
      <c r="E283" s="27"/>
      <c r="F283" s="29" t="s">
        <v>699</v>
      </c>
      <c r="G283" s="30" t="n">
        <v>75015</v>
      </c>
      <c r="H283" s="31" t="s">
        <v>36</v>
      </c>
      <c r="I283" s="32" t="n">
        <v>145678987</v>
      </c>
      <c r="J283" s="33" t="n">
        <v>400</v>
      </c>
      <c r="K283" s="33" t="n">
        <v>17</v>
      </c>
      <c r="L283" s="34" t="n">
        <v>1</v>
      </c>
      <c r="M283" s="35" t="s">
        <v>700</v>
      </c>
      <c r="N283" s="36" t="s">
        <v>110</v>
      </c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39" t="n">
        <v>45125.6041666667</v>
      </c>
      <c r="Z283" s="39"/>
      <c r="AA283" s="28"/>
      <c r="AMJ283" s="0"/>
    </row>
    <row r="284" s="2" customFormat="true" ht="12.75" hidden="false" customHeight="true" outlineLevel="0" collapsed="false">
      <c r="A284" s="27" t="s">
        <v>701</v>
      </c>
      <c r="B284" s="27" t="s">
        <v>71</v>
      </c>
      <c r="C284" s="28" t="s">
        <v>41</v>
      </c>
      <c r="D284" s="27" t="s">
        <v>645</v>
      </c>
      <c r="E284" s="27"/>
      <c r="F284" s="29" t="s">
        <v>699</v>
      </c>
      <c r="G284" s="30" t="n">
        <v>75015</v>
      </c>
      <c r="H284" s="31" t="s">
        <v>36</v>
      </c>
      <c r="I284" s="32" t="n">
        <v>145678987</v>
      </c>
      <c r="J284" s="33" t="n">
        <v>81</v>
      </c>
      <c r="K284" s="33" t="n">
        <v>1</v>
      </c>
      <c r="L284" s="34"/>
      <c r="M284" s="35"/>
      <c r="N284" s="36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9"/>
      <c r="Z284" s="39"/>
      <c r="AA284" s="28"/>
      <c r="AMJ284" s="0"/>
    </row>
    <row r="285" s="2" customFormat="true" ht="12.75" hidden="false" customHeight="true" outlineLevel="0" collapsed="false">
      <c r="A285" s="27" t="s">
        <v>702</v>
      </c>
      <c r="B285" s="27" t="s">
        <v>703</v>
      </c>
      <c r="C285" s="28" t="s">
        <v>138</v>
      </c>
      <c r="D285" s="27" t="s">
        <v>645</v>
      </c>
      <c r="E285" s="27"/>
      <c r="F285" s="29" t="s">
        <v>704</v>
      </c>
      <c r="G285" s="30" t="n">
        <v>75015</v>
      </c>
      <c r="H285" s="31" t="s">
        <v>36</v>
      </c>
      <c r="I285" s="32" t="n">
        <v>145581000</v>
      </c>
      <c r="J285" s="33" t="n">
        <v>127</v>
      </c>
      <c r="K285" s="33" t="n">
        <v>2</v>
      </c>
      <c r="L285" s="34" t="n">
        <v>1</v>
      </c>
      <c r="M285" s="35" t="s">
        <v>164</v>
      </c>
      <c r="N285" s="36" t="s">
        <v>165</v>
      </c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39" t="n">
        <v>45119.5833333333</v>
      </c>
      <c r="Z285" s="39"/>
      <c r="AA285" s="28" t="n">
        <v>3</v>
      </c>
      <c r="AMJ285" s="0"/>
    </row>
    <row r="286" s="2" customFormat="true" ht="12.75" hidden="false" customHeight="true" outlineLevel="0" collapsed="false">
      <c r="A286" s="27" t="s">
        <v>705</v>
      </c>
      <c r="B286" s="27" t="s">
        <v>344</v>
      </c>
      <c r="C286" s="28" t="s">
        <v>33</v>
      </c>
      <c r="D286" s="27" t="s">
        <v>645</v>
      </c>
      <c r="E286" s="27"/>
      <c r="F286" s="29" t="s">
        <v>706</v>
      </c>
      <c r="G286" s="30" t="n">
        <v>75015</v>
      </c>
      <c r="H286" s="31" t="s">
        <v>36</v>
      </c>
      <c r="I286" s="32" t="n">
        <v>145772775</v>
      </c>
      <c r="J286" s="33" t="n">
        <v>51</v>
      </c>
      <c r="K286" s="33" t="n">
        <v>1</v>
      </c>
      <c r="L286" s="34"/>
      <c r="M286" s="35"/>
      <c r="N286" s="36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9"/>
      <c r="Z286" s="39"/>
      <c r="AA286" s="28"/>
      <c r="AC286" s="2" t="s">
        <v>416</v>
      </c>
      <c r="AD286" s="2" t="s">
        <v>369</v>
      </c>
      <c r="AE286" s="2" t="s">
        <v>707</v>
      </c>
      <c r="AMJ286" s="0"/>
    </row>
    <row r="287" s="2" customFormat="true" ht="12.75" hidden="false" customHeight="true" outlineLevel="0" collapsed="false">
      <c r="A287" s="27" t="s">
        <v>708</v>
      </c>
      <c r="B287" s="27" t="s">
        <v>377</v>
      </c>
      <c r="C287" s="28" t="s">
        <v>41</v>
      </c>
      <c r="D287" s="27" t="s">
        <v>645</v>
      </c>
      <c r="E287" s="27"/>
      <c r="F287" s="29" t="s">
        <v>709</v>
      </c>
      <c r="G287" s="30" t="n">
        <v>75015</v>
      </c>
      <c r="H287" s="31" t="s">
        <v>36</v>
      </c>
      <c r="I287" s="32"/>
      <c r="J287" s="33" t="n">
        <v>365</v>
      </c>
      <c r="K287" s="33" t="n">
        <v>1</v>
      </c>
      <c r="L287" s="34"/>
      <c r="M287" s="35"/>
      <c r="N287" s="36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9"/>
      <c r="Z287" s="39"/>
      <c r="AA287" s="28"/>
      <c r="AMJ287" s="0"/>
    </row>
    <row r="288" s="2" customFormat="true" ht="12.75" hidden="false" customHeight="true" outlineLevel="0" collapsed="false">
      <c r="A288" s="27" t="s">
        <v>710</v>
      </c>
      <c r="B288" s="27" t="s">
        <v>711</v>
      </c>
      <c r="C288" s="28" t="s">
        <v>41</v>
      </c>
      <c r="D288" s="27" t="s">
        <v>645</v>
      </c>
      <c r="E288" s="27"/>
      <c r="F288" s="29" t="s">
        <v>712</v>
      </c>
      <c r="G288" s="30" t="n">
        <v>75015</v>
      </c>
      <c r="H288" s="31" t="s">
        <v>36</v>
      </c>
      <c r="I288" s="32" t="n">
        <v>140600093</v>
      </c>
      <c r="J288" s="33" t="n">
        <v>260</v>
      </c>
      <c r="K288" s="33" t="n">
        <v>6</v>
      </c>
      <c r="L288" s="34"/>
      <c r="M288" s="35"/>
      <c r="N288" s="36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9"/>
      <c r="Z288" s="39"/>
      <c r="AA288" s="28"/>
      <c r="AMJ288" s="0"/>
    </row>
    <row r="289" s="2" customFormat="true" ht="12.75" hidden="false" customHeight="true" outlineLevel="0" collapsed="false">
      <c r="A289" s="27" t="s">
        <v>713</v>
      </c>
      <c r="B289" s="27" t="s">
        <v>714</v>
      </c>
      <c r="C289" s="28" t="s">
        <v>41</v>
      </c>
      <c r="D289" s="27" t="s">
        <v>645</v>
      </c>
      <c r="E289" s="27"/>
      <c r="F289" s="29" t="s">
        <v>715</v>
      </c>
      <c r="G289" s="30" t="n">
        <v>75015</v>
      </c>
      <c r="H289" s="31" t="s">
        <v>36</v>
      </c>
      <c r="I289" s="32" t="n">
        <v>153666127</v>
      </c>
      <c r="J289" s="33" t="n">
        <v>456</v>
      </c>
      <c r="K289" s="33" t="n">
        <v>38</v>
      </c>
      <c r="L289" s="34" t="n">
        <v>4</v>
      </c>
      <c r="M289" s="35" t="s">
        <v>716</v>
      </c>
      <c r="N289" s="36"/>
      <c r="O289" s="41" t="n">
        <v>0.520833333333333</v>
      </c>
      <c r="P289" s="41"/>
      <c r="Q289" s="41" t="n">
        <v>0.520833333333333</v>
      </c>
      <c r="R289" s="41"/>
      <c r="S289" s="41" t="n">
        <v>0.520833333333333</v>
      </c>
      <c r="T289" s="41"/>
      <c r="U289" s="41" t="n">
        <v>0.520833333333333</v>
      </c>
      <c r="V289" s="41"/>
      <c r="W289" s="41" t="n">
        <v>0.520833333333333</v>
      </c>
      <c r="X289" s="41"/>
      <c r="Y289" s="39" t="n">
        <v>45181.4375</v>
      </c>
      <c r="Z289" s="39"/>
      <c r="AA289" s="28" t="n">
        <v>3</v>
      </c>
      <c r="AMJ289" s="0"/>
    </row>
    <row r="290" s="2" customFormat="true" ht="12.75" hidden="false" customHeight="true" outlineLevel="0" collapsed="false">
      <c r="A290" s="27" t="s">
        <v>717</v>
      </c>
      <c r="B290" s="27" t="s">
        <v>718</v>
      </c>
      <c r="C290" s="28" t="s">
        <v>41</v>
      </c>
      <c r="D290" s="27" t="s">
        <v>645</v>
      </c>
      <c r="E290" s="27"/>
      <c r="F290" s="29" t="s">
        <v>715</v>
      </c>
      <c r="G290" s="30" t="n">
        <v>75015</v>
      </c>
      <c r="H290" s="31" t="s">
        <v>36</v>
      </c>
      <c r="I290" s="32" t="n">
        <v>145543358</v>
      </c>
      <c r="J290" s="33" t="n">
        <v>354</v>
      </c>
      <c r="K290" s="33" t="n">
        <v>44</v>
      </c>
      <c r="L290" s="34" t="n">
        <v>4</v>
      </c>
      <c r="M290" s="35" t="s">
        <v>321</v>
      </c>
      <c r="N290" s="36" t="s">
        <v>118</v>
      </c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39" t="n">
        <v>45181.3958333333</v>
      </c>
      <c r="Z290" s="39"/>
      <c r="AA290" s="28"/>
      <c r="AMJ290" s="0"/>
    </row>
    <row r="291" s="2" customFormat="true" ht="12.75" hidden="false" customHeight="true" outlineLevel="0" collapsed="false">
      <c r="A291" s="27" t="s">
        <v>719</v>
      </c>
      <c r="B291" s="27" t="s">
        <v>177</v>
      </c>
      <c r="C291" s="28" t="s">
        <v>41</v>
      </c>
      <c r="D291" s="27" t="s">
        <v>645</v>
      </c>
      <c r="E291" s="27"/>
      <c r="F291" s="29" t="s">
        <v>720</v>
      </c>
      <c r="G291" s="30" t="n">
        <v>75015</v>
      </c>
      <c r="H291" s="31" t="s">
        <v>36</v>
      </c>
      <c r="I291" s="32" t="n">
        <v>145330742</v>
      </c>
      <c r="J291" s="33" t="n">
        <v>210</v>
      </c>
      <c r="K291" s="33" t="n">
        <v>4</v>
      </c>
      <c r="L291" s="34" t="n">
        <v>1</v>
      </c>
      <c r="M291" s="35" t="s">
        <v>321</v>
      </c>
      <c r="N291" s="36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39"/>
      <c r="Z291" s="39"/>
      <c r="AA291" s="28"/>
      <c r="AMJ291" s="0"/>
    </row>
    <row r="292" s="2" customFormat="true" ht="12.75" hidden="false" customHeight="true" outlineLevel="0" collapsed="false">
      <c r="A292" s="27" t="s">
        <v>721</v>
      </c>
      <c r="B292" s="27" t="s">
        <v>722</v>
      </c>
      <c r="C292" s="28" t="s">
        <v>41</v>
      </c>
      <c r="D292" s="27" t="s">
        <v>645</v>
      </c>
      <c r="E292" s="27"/>
      <c r="F292" s="29" t="s">
        <v>723</v>
      </c>
      <c r="G292" s="30" t="n">
        <v>75015</v>
      </c>
      <c r="H292" s="31" t="s">
        <v>36</v>
      </c>
      <c r="I292" s="32" t="n">
        <v>147341149</v>
      </c>
      <c r="J292" s="33" t="n">
        <v>441</v>
      </c>
      <c r="K292" s="33" t="n">
        <v>43</v>
      </c>
      <c r="L292" s="34" t="n">
        <v>4</v>
      </c>
      <c r="M292" s="35" t="s">
        <v>716</v>
      </c>
      <c r="N292" s="36"/>
      <c r="O292" s="41" t="s">
        <v>724</v>
      </c>
      <c r="P292" s="41"/>
      <c r="Q292" s="41" t="s">
        <v>724</v>
      </c>
      <c r="R292" s="41"/>
      <c r="S292" s="41" t="s">
        <v>724</v>
      </c>
      <c r="T292" s="41"/>
      <c r="U292" s="41" t="s">
        <v>724</v>
      </c>
      <c r="V292" s="41"/>
      <c r="W292" s="41" t="s">
        <v>724</v>
      </c>
      <c r="X292" s="41"/>
      <c r="Y292" s="39" t="n">
        <v>45180.5208333333</v>
      </c>
      <c r="Z292" s="39"/>
      <c r="AA292" s="28" t="n">
        <v>3</v>
      </c>
      <c r="AMJ292" s="0"/>
    </row>
    <row r="293" s="2" customFormat="true" ht="12.75" hidden="false" customHeight="true" outlineLevel="0" collapsed="false">
      <c r="A293" s="27" t="s">
        <v>725</v>
      </c>
      <c r="B293" s="27" t="s">
        <v>157</v>
      </c>
      <c r="C293" s="28" t="s">
        <v>41</v>
      </c>
      <c r="D293" s="27" t="s">
        <v>645</v>
      </c>
      <c r="E293" s="27"/>
      <c r="F293" s="29" t="s">
        <v>723</v>
      </c>
      <c r="G293" s="30" t="n">
        <v>75015</v>
      </c>
      <c r="H293" s="31" t="s">
        <v>36</v>
      </c>
      <c r="I293" s="32" t="n">
        <v>145752088</v>
      </c>
      <c r="J293" s="33" t="n">
        <v>204</v>
      </c>
      <c r="K293" s="33" t="n">
        <v>34</v>
      </c>
      <c r="L293" s="34" t="n">
        <v>2</v>
      </c>
      <c r="M293" s="35" t="s">
        <v>321</v>
      </c>
      <c r="N293" s="36"/>
      <c r="O293" s="41" t="s">
        <v>726</v>
      </c>
      <c r="P293" s="41"/>
      <c r="Q293" s="41" t="s">
        <v>726</v>
      </c>
      <c r="R293" s="41"/>
      <c r="S293" s="41" t="s">
        <v>726</v>
      </c>
      <c r="T293" s="41"/>
      <c r="U293" s="41" t="s">
        <v>726</v>
      </c>
      <c r="V293" s="41"/>
      <c r="W293" s="41" t="s">
        <v>726</v>
      </c>
      <c r="X293" s="41"/>
      <c r="Y293" s="39" t="n">
        <v>45180.4583333333</v>
      </c>
      <c r="Z293" s="39"/>
      <c r="AA293" s="28" t="n">
        <v>3</v>
      </c>
      <c r="AMJ293" s="0"/>
    </row>
    <row r="294" s="2" customFormat="true" ht="12.75" hidden="false" customHeight="true" outlineLevel="0" collapsed="false">
      <c r="A294" s="27" t="s">
        <v>727</v>
      </c>
      <c r="B294" s="27" t="s">
        <v>395</v>
      </c>
      <c r="C294" s="28" t="s">
        <v>33</v>
      </c>
      <c r="D294" s="27" t="s">
        <v>645</v>
      </c>
      <c r="E294" s="27"/>
      <c r="F294" s="29" t="s">
        <v>728</v>
      </c>
      <c r="G294" s="30" t="n">
        <v>75015</v>
      </c>
      <c r="H294" s="31" t="s">
        <v>36</v>
      </c>
      <c r="I294" s="32" t="n">
        <v>986525917</v>
      </c>
      <c r="J294" s="33" t="n">
        <v>41</v>
      </c>
      <c r="K294" s="33" t="n">
        <v>1</v>
      </c>
      <c r="L294" s="34"/>
      <c r="M294" s="35"/>
      <c r="N294" s="36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9"/>
      <c r="Z294" s="39"/>
      <c r="AA294" s="28"/>
      <c r="AC294" s="2" t="s">
        <v>38</v>
      </c>
      <c r="AMJ294" s="0"/>
    </row>
    <row r="295" s="2" customFormat="true" ht="12.75" hidden="false" customHeight="true" outlineLevel="0" collapsed="false">
      <c r="A295" s="27" t="s">
        <v>729</v>
      </c>
      <c r="B295" s="27" t="s">
        <v>527</v>
      </c>
      <c r="C295" s="28" t="s">
        <v>41</v>
      </c>
      <c r="D295" s="27" t="s">
        <v>645</v>
      </c>
      <c r="E295" s="27"/>
      <c r="F295" s="29" t="s">
        <v>730</v>
      </c>
      <c r="G295" s="30" t="n">
        <v>75015</v>
      </c>
      <c r="H295" s="31" t="s">
        <v>36</v>
      </c>
      <c r="I295" s="32" t="n">
        <v>145541818</v>
      </c>
      <c r="J295" s="33" t="n">
        <v>301</v>
      </c>
      <c r="K295" s="33" t="n">
        <v>1</v>
      </c>
      <c r="L295" s="34" t="n">
        <v>1</v>
      </c>
      <c r="M295" s="35" t="s">
        <v>164</v>
      </c>
      <c r="N295" s="36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39"/>
      <c r="Z295" s="39"/>
      <c r="AA295" s="28"/>
      <c r="AMJ295" s="0"/>
    </row>
    <row r="296" s="2" customFormat="true" ht="12.75" hidden="false" customHeight="true" outlineLevel="0" collapsed="false">
      <c r="A296" s="27" t="s">
        <v>731</v>
      </c>
      <c r="B296" s="27" t="s">
        <v>732</v>
      </c>
      <c r="C296" s="28" t="s">
        <v>41</v>
      </c>
      <c r="D296" s="27" t="s">
        <v>645</v>
      </c>
      <c r="E296" s="27"/>
      <c r="F296" s="29" t="s">
        <v>733</v>
      </c>
      <c r="G296" s="30" t="n">
        <v>75015</v>
      </c>
      <c r="H296" s="31" t="s">
        <v>36</v>
      </c>
      <c r="I296" s="32" t="n">
        <v>140601639</v>
      </c>
      <c r="J296" s="33" t="n">
        <v>380</v>
      </c>
      <c r="K296" s="33" t="n">
        <v>1</v>
      </c>
      <c r="L296" s="34"/>
      <c r="M296" s="35"/>
      <c r="N296" s="36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9"/>
      <c r="Z296" s="39"/>
      <c r="AA296" s="28"/>
      <c r="AMJ296" s="0"/>
    </row>
    <row r="297" s="2" customFormat="true" ht="12.75" hidden="false" customHeight="true" outlineLevel="0" collapsed="false">
      <c r="A297" s="27" t="s">
        <v>734</v>
      </c>
      <c r="B297" s="27" t="s">
        <v>735</v>
      </c>
      <c r="C297" s="28" t="s">
        <v>33</v>
      </c>
      <c r="D297" s="27" t="s">
        <v>645</v>
      </c>
      <c r="E297" s="27"/>
      <c r="F297" s="29" t="s">
        <v>736</v>
      </c>
      <c r="G297" s="30" t="n">
        <v>75015</v>
      </c>
      <c r="H297" s="31" t="s">
        <v>36</v>
      </c>
      <c r="I297" s="32" t="n">
        <v>174642995</v>
      </c>
      <c r="J297" s="33" t="n">
        <v>55</v>
      </c>
      <c r="K297" s="33" t="n">
        <v>1</v>
      </c>
      <c r="L297" s="34"/>
      <c r="M297" s="35"/>
      <c r="N297" s="36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9"/>
      <c r="Z297" s="39"/>
      <c r="AA297" s="28"/>
      <c r="AC297" s="2" t="s">
        <v>413</v>
      </c>
      <c r="AMJ297" s="0"/>
    </row>
    <row r="298" s="2" customFormat="true" ht="12.75" hidden="false" customHeight="true" outlineLevel="0" collapsed="false">
      <c r="A298" s="27" t="s">
        <v>737</v>
      </c>
      <c r="B298" s="27" t="s">
        <v>639</v>
      </c>
      <c r="C298" s="28" t="s">
        <v>41</v>
      </c>
      <c r="D298" s="27" t="s">
        <v>645</v>
      </c>
      <c r="E298" s="27"/>
      <c r="F298" s="29" t="s">
        <v>738</v>
      </c>
      <c r="G298" s="30" t="n">
        <v>75015</v>
      </c>
      <c r="H298" s="31" t="s">
        <v>36</v>
      </c>
      <c r="I298" s="32" t="n">
        <v>144494848</v>
      </c>
      <c r="J298" s="33" t="n">
        <v>197</v>
      </c>
      <c r="K298" s="33" t="n">
        <v>5</v>
      </c>
      <c r="L298" s="34"/>
      <c r="M298" s="35"/>
      <c r="N298" s="36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9"/>
      <c r="Z298" s="39"/>
      <c r="AA298" s="28"/>
      <c r="AMJ298" s="0"/>
    </row>
    <row r="299" s="2" customFormat="true" ht="12.75" hidden="false" customHeight="true" outlineLevel="0" collapsed="false">
      <c r="A299" s="27" t="s">
        <v>739</v>
      </c>
      <c r="B299" s="27" t="s">
        <v>740</v>
      </c>
      <c r="C299" s="28" t="s">
        <v>41</v>
      </c>
      <c r="D299" s="27" t="s">
        <v>645</v>
      </c>
      <c r="E299" s="27"/>
      <c r="F299" s="29" t="s">
        <v>741</v>
      </c>
      <c r="G299" s="30" t="n">
        <v>75015</v>
      </c>
      <c r="H299" s="31" t="s">
        <v>36</v>
      </c>
      <c r="I299" s="32" t="n">
        <v>144777201</v>
      </c>
      <c r="J299" s="33" t="n">
        <v>159</v>
      </c>
      <c r="K299" s="33" t="n">
        <v>0</v>
      </c>
      <c r="L299" s="34"/>
      <c r="M299" s="35"/>
      <c r="N299" s="36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9"/>
      <c r="Z299" s="39"/>
      <c r="AA299" s="28"/>
      <c r="AMJ299" s="0"/>
    </row>
    <row r="300" s="2" customFormat="true" ht="12.75" hidden="false" customHeight="true" outlineLevel="0" collapsed="false">
      <c r="A300" s="27" t="s">
        <v>742</v>
      </c>
      <c r="B300" s="27" t="s">
        <v>743</v>
      </c>
      <c r="C300" s="28" t="s">
        <v>178</v>
      </c>
      <c r="D300" s="27" t="s">
        <v>645</v>
      </c>
      <c r="E300" s="27" t="s">
        <v>744</v>
      </c>
      <c r="F300" s="29" t="s">
        <v>745</v>
      </c>
      <c r="G300" s="30" t="n">
        <v>75015</v>
      </c>
      <c r="H300" s="31" t="s">
        <v>36</v>
      </c>
      <c r="I300" s="32" t="n">
        <v>156093551</v>
      </c>
      <c r="J300" s="33" t="n">
        <v>400</v>
      </c>
      <c r="K300" s="33" t="n">
        <v>4</v>
      </c>
      <c r="L300" s="34"/>
      <c r="M300" s="35"/>
      <c r="N300" s="36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9"/>
      <c r="Z300" s="39"/>
      <c r="AA300" s="28"/>
      <c r="AMJ300" s="0"/>
    </row>
    <row r="301" s="2" customFormat="true" ht="12.75" hidden="false" customHeight="true" outlineLevel="0" collapsed="false">
      <c r="A301" s="27" t="s">
        <v>746</v>
      </c>
      <c r="B301" s="27" t="s">
        <v>747</v>
      </c>
      <c r="C301" s="28" t="s">
        <v>178</v>
      </c>
      <c r="D301" s="27" t="s">
        <v>645</v>
      </c>
      <c r="E301" s="27" t="s">
        <v>744</v>
      </c>
      <c r="F301" s="29" t="s">
        <v>745</v>
      </c>
      <c r="G301" s="30" t="n">
        <v>75015</v>
      </c>
      <c r="H301" s="31" t="s">
        <v>36</v>
      </c>
      <c r="I301" s="32" t="n">
        <v>156093551</v>
      </c>
      <c r="J301" s="33" t="n">
        <v>400</v>
      </c>
      <c r="K301" s="33"/>
      <c r="L301" s="34"/>
      <c r="M301" s="35"/>
      <c r="N301" s="36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9"/>
      <c r="Z301" s="39"/>
      <c r="AA301" s="28"/>
      <c r="AMJ301" s="0"/>
    </row>
    <row r="302" s="2" customFormat="true" ht="12.75" hidden="false" customHeight="true" outlineLevel="0" collapsed="false">
      <c r="A302" s="27" t="s">
        <v>748</v>
      </c>
      <c r="B302" s="27" t="s">
        <v>749</v>
      </c>
      <c r="C302" s="28" t="s">
        <v>178</v>
      </c>
      <c r="D302" s="27" t="s">
        <v>645</v>
      </c>
      <c r="E302" s="27" t="s">
        <v>744</v>
      </c>
      <c r="F302" s="29" t="s">
        <v>745</v>
      </c>
      <c r="G302" s="30" t="n">
        <v>75015</v>
      </c>
      <c r="H302" s="31" t="s">
        <v>36</v>
      </c>
      <c r="I302" s="32" t="n">
        <v>156093551</v>
      </c>
      <c r="J302" s="33" t="n">
        <v>197</v>
      </c>
      <c r="K302" s="33" t="n">
        <v>2</v>
      </c>
      <c r="L302" s="34"/>
      <c r="M302" s="35"/>
      <c r="N302" s="36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9"/>
      <c r="Z302" s="39"/>
      <c r="AA302" s="28"/>
      <c r="AMJ302" s="0"/>
    </row>
    <row r="303" s="2" customFormat="true" ht="12.75" hidden="false" customHeight="true" outlineLevel="0" collapsed="false">
      <c r="A303" s="27" t="s">
        <v>750</v>
      </c>
      <c r="B303" s="27" t="s">
        <v>751</v>
      </c>
      <c r="C303" s="28" t="s">
        <v>178</v>
      </c>
      <c r="D303" s="27" t="s">
        <v>645</v>
      </c>
      <c r="E303" s="27" t="s">
        <v>744</v>
      </c>
      <c r="F303" s="29" t="s">
        <v>745</v>
      </c>
      <c r="G303" s="30" t="n">
        <v>75015</v>
      </c>
      <c r="H303" s="31" t="s">
        <v>36</v>
      </c>
      <c r="I303" s="32" t="n">
        <v>491223568</v>
      </c>
      <c r="J303" s="33" t="n">
        <v>197</v>
      </c>
      <c r="K303" s="33" t="n">
        <v>5</v>
      </c>
      <c r="L303" s="34"/>
      <c r="M303" s="35"/>
      <c r="N303" s="36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9"/>
      <c r="Z303" s="39"/>
      <c r="AA303" s="28"/>
      <c r="AMJ303" s="0"/>
    </row>
    <row r="304" s="2" customFormat="true" ht="12.75" hidden="false" customHeight="true" outlineLevel="0" collapsed="false">
      <c r="A304" s="27" t="s">
        <v>752</v>
      </c>
      <c r="B304" s="27" t="s">
        <v>753</v>
      </c>
      <c r="C304" s="28" t="s">
        <v>178</v>
      </c>
      <c r="D304" s="27" t="s">
        <v>645</v>
      </c>
      <c r="E304" s="27" t="s">
        <v>744</v>
      </c>
      <c r="F304" s="29" t="s">
        <v>745</v>
      </c>
      <c r="G304" s="30" t="n">
        <v>75015</v>
      </c>
      <c r="H304" s="31" t="s">
        <v>36</v>
      </c>
      <c r="I304" s="32" t="n">
        <v>145778720</v>
      </c>
      <c r="J304" s="33" t="n">
        <v>187</v>
      </c>
      <c r="K304" s="33" t="n">
        <v>21</v>
      </c>
      <c r="L304" s="34"/>
      <c r="M304" s="44" t="s">
        <v>321</v>
      </c>
      <c r="N304" s="36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9"/>
      <c r="Z304" s="39"/>
      <c r="AA304" s="28"/>
      <c r="AMJ304" s="0"/>
    </row>
    <row r="305" s="2" customFormat="true" ht="12.75" hidden="false" customHeight="true" outlineLevel="0" collapsed="false">
      <c r="A305" s="27" t="s">
        <v>754</v>
      </c>
      <c r="B305" s="27" t="s">
        <v>755</v>
      </c>
      <c r="C305" s="28" t="s">
        <v>178</v>
      </c>
      <c r="D305" s="27" t="s">
        <v>645</v>
      </c>
      <c r="E305" s="27" t="s">
        <v>744</v>
      </c>
      <c r="F305" s="29" t="s">
        <v>745</v>
      </c>
      <c r="G305" s="30" t="n">
        <v>75015</v>
      </c>
      <c r="H305" s="31" t="s">
        <v>36</v>
      </c>
      <c r="I305" s="32"/>
      <c r="J305" s="33" t="n">
        <v>185</v>
      </c>
      <c r="K305" s="33" t="n">
        <v>2</v>
      </c>
      <c r="L305" s="34"/>
      <c r="M305" s="35"/>
      <c r="N305" s="36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9"/>
      <c r="Z305" s="39"/>
      <c r="AA305" s="28"/>
      <c r="AMJ305" s="0"/>
    </row>
    <row r="306" s="2" customFormat="true" ht="12.75" hidden="false" customHeight="true" outlineLevel="0" collapsed="false">
      <c r="A306" s="27" t="s">
        <v>756</v>
      </c>
      <c r="B306" s="27" t="s">
        <v>384</v>
      </c>
      <c r="C306" s="28" t="s">
        <v>178</v>
      </c>
      <c r="D306" s="27" t="s">
        <v>645</v>
      </c>
      <c r="E306" s="27" t="s">
        <v>744</v>
      </c>
      <c r="F306" s="29" t="s">
        <v>745</v>
      </c>
      <c r="G306" s="30" t="n">
        <v>75015</v>
      </c>
      <c r="H306" s="31" t="s">
        <v>36</v>
      </c>
      <c r="I306" s="32" t="n">
        <v>156093561</v>
      </c>
      <c r="J306" s="33" t="n">
        <v>185</v>
      </c>
      <c r="K306" s="33" t="n">
        <v>9</v>
      </c>
      <c r="L306" s="34"/>
      <c r="M306" s="35"/>
      <c r="N306" s="36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9"/>
      <c r="Z306" s="39"/>
      <c r="AA306" s="28"/>
      <c r="AMJ306" s="0"/>
    </row>
    <row r="307" s="2" customFormat="true" ht="12.75" hidden="false" customHeight="true" outlineLevel="0" collapsed="false">
      <c r="A307" s="27" t="s">
        <v>757</v>
      </c>
      <c r="B307" s="27" t="s">
        <v>758</v>
      </c>
      <c r="C307" s="28" t="s">
        <v>178</v>
      </c>
      <c r="D307" s="27" t="s">
        <v>645</v>
      </c>
      <c r="E307" s="27" t="s">
        <v>744</v>
      </c>
      <c r="F307" s="29" t="s">
        <v>745</v>
      </c>
      <c r="G307" s="30" t="n">
        <v>75015</v>
      </c>
      <c r="H307" s="31" t="s">
        <v>36</v>
      </c>
      <c r="I307" s="32" t="n">
        <v>156093561</v>
      </c>
      <c r="J307" s="33" t="n">
        <v>185</v>
      </c>
      <c r="K307" s="33" t="n">
        <v>13</v>
      </c>
      <c r="L307" s="34"/>
      <c r="M307" s="44" t="s">
        <v>321</v>
      </c>
      <c r="N307" s="36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9"/>
      <c r="Z307" s="39"/>
      <c r="AA307" s="28"/>
      <c r="AMJ307" s="0"/>
    </row>
    <row r="308" s="2" customFormat="true" ht="12.75" hidden="false" customHeight="true" outlineLevel="0" collapsed="false">
      <c r="A308" s="27" t="s">
        <v>759</v>
      </c>
      <c r="B308" s="27" t="s">
        <v>760</v>
      </c>
      <c r="C308" s="28" t="s">
        <v>178</v>
      </c>
      <c r="D308" s="27" t="s">
        <v>645</v>
      </c>
      <c r="E308" s="27" t="s">
        <v>744</v>
      </c>
      <c r="F308" s="29" t="s">
        <v>745</v>
      </c>
      <c r="G308" s="30" t="n">
        <v>75015</v>
      </c>
      <c r="H308" s="31" t="s">
        <v>36</v>
      </c>
      <c r="I308" s="32" t="n">
        <v>156093551</v>
      </c>
      <c r="J308" s="33" t="n">
        <v>185</v>
      </c>
      <c r="K308" s="33" t="n">
        <v>6</v>
      </c>
      <c r="L308" s="34"/>
      <c r="M308" s="35"/>
      <c r="N308" s="36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9"/>
      <c r="Z308" s="39"/>
      <c r="AA308" s="28"/>
      <c r="AMJ308" s="0"/>
    </row>
    <row r="309" s="2" customFormat="true" ht="12.75" hidden="false" customHeight="true" outlineLevel="0" collapsed="false">
      <c r="A309" s="27" t="s">
        <v>761</v>
      </c>
      <c r="B309" s="27" t="s">
        <v>395</v>
      </c>
      <c r="C309" s="28" t="s">
        <v>178</v>
      </c>
      <c r="D309" s="27" t="s">
        <v>645</v>
      </c>
      <c r="E309" s="27" t="s">
        <v>744</v>
      </c>
      <c r="F309" s="29" t="s">
        <v>745</v>
      </c>
      <c r="G309" s="30" t="n">
        <v>75015</v>
      </c>
      <c r="H309" s="31" t="s">
        <v>36</v>
      </c>
      <c r="I309" s="32" t="n">
        <v>156093551</v>
      </c>
      <c r="J309" s="33" t="n">
        <v>185</v>
      </c>
      <c r="K309" s="33" t="n">
        <v>6</v>
      </c>
      <c r="L309" s="34"/>
      <c r="M309" s="35"/>
      <c r="N309" s="36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9"/>
      <c r="Z309" s="39"/>
      <c r="AA309" s="28"/>
      <c r="AMJ309" s="0"/>
    </row>
    <row r="310" s="2" customFormat="true" ht="12.75" hidden="false" customHeight="true" outlineLevel="0" collapsed="false">
      <c r="A310" s="27" t="s">
        <v>762</v>
      </c>
      <c r="B310" s="27" t="s">
        <v>96</v>
      </c>
      <c r="C310" s="28" t="s">
        <v>178</v>
      </c>
      <c r="D310" s="27" t="s">
        <v>645</v>
      </c>
      <c r="E310" s="27" t="s">
        <v>744</v>
      </c>
      <c r="F310" s="29" t="s">
        <v>745</v>
      </c>
      <c r="G310" s="30" t="n">
        <v>75015</v>
      </c>
      <c r="H310" s="31" t="s">
        <v>36</v>
      </c>
      <c r="I310" s="32" t="n">
        <v>156093561</v>
      </c>
      <c r="J310" s="33" t="n">
        <v>185</v>
      </c>
      <c r="K310" s="33" t="n">
        <v>1</v>
      </c>
      <c r="L310" s="34"/>
      <c r="M310" s="35"/>
      <c r="N310" s="36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9"/>
      <c r="Z310" s="39"/>
      <c r="AA310" s="28"/>
      <c r="AMJ310" s="0"/>
    </row>
    <row r="311" s="2" customFormat="true" ht="12.75" hidden="false" customHeight="true" outlineLevel="0" collapsed="false">
      <c r="A311" s="27" t="s">
        <v>272</v>
      </c>
      <c r="B311" s="27" t="s">
        <v>763</v>
      </c>
      <c r="C311" s="28" t="s">
        <v>178</v>
      </c>
      <c r="D311" s="27" t="s">
        <v>645</v>
      </c>
      <c r="E311" s="27" t="s">
        <v>744</v>
      </c>
      <c r="F311" s="29" t="s">
        <v>745</v>
      </c>
      <c r="G311" s="30" t="n">
        <v>75015</v>
      </c>
      <c r="H311" s="31" t="s">
        <v>36</v>
      </c>
      <c r="I311" s="32" t="n">
        <v>156093551</v>
      </c>
      <c r="J311" s="33" t="n">
        <v>185</v>
      </c>
      <c r="K311" s="33" t="n">
        <v>2</v>
      </c>
      <c r="L311" s="34"/>
      <c r="M311" s="35"/>
      <c r="N311" s="36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9"/>
      <c r="Z311" s="39"/>
      <c r="AA311" s="28"/>
      <c r="AMJ311" s="0"/>
    </row>
    <row r="312" s="2" customFormat="true" ht="12.75" hidden="false" customHeight="true" outlineLevel="0" collapsed="false">
      <c r="A312" s="27" t="s">
        <v>764</v>
      </c>
      <c r="B312" s="27" t="s">
        <v>765</v>
      </c>
      <c r="C312" s="28" t="s">
        <v>178</v>
      </c>
      <c r="D312" s="27" t="s">
        <v>645</v>
      </c>
      <c r="E312" s="27" t="s">
        <v>744</v>
      </c>
      <c r="F312" s="29" t="s">
        <v>745</v>
      </c>
      <c r="G312" s="30" t="n">
        <v>75015</v>
      </c>
      <c r="H312" s="31" t="s">
        <v>36</v>
      </c>
      <c r="I312" s="32" t="n">
        <v>156093551</v>
      </c>
      <c r="J312" s="33" t="n">
        <v>185</v>
      </c>
      <c r="K312" s="33" t="n">
        <v>10</v>
      </c>
      <c r="L312" s="34"/>
      <c r="M312" s="44" t="s">
        <v>321</v>
      </c>
      <c r="N312" s="36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9"/>
      <c r="Z312" s="39"/>
      <c r="AA312" s="28"/>
      <c r="AMJ312" s="0"/>
    </row>
    <row r="313" s="2" customFormat="true" ht="12.75" hidden="false" customHeight="true" outlineLevel="0" collapsed="false">
      <c r="A313" s="27" t="s">
        <v>766</v>
      </c>
      <c r="B313" s="27" t="s">
        <v>767</v>
      </c>
      <c r="C313" s="28" t="s">
        <v>178</v>
      </c>
      <c r="D313" s="27" t="s">
        <v>645</v>
      </c>
      <c r="E313" s="27" t="s">
        <v>744</v>
      </c>
      <c r="F313" s="29" t="s">
        <v>745</v>
      </c>
      <c r="G313" s="30" t="n">
        <v>75015</v>
      </c>
      <c r="H313" s="31" t="s">
        <v>36</v>
      </c>
      <c r="I313" s="32" t="n">
        <v>156093081</v>
      </c>
      <c r="J313" s="33" t="n">
        <v>184</v>
      </c>
      <c r="K313" s="33" t="n">
        <v>2</v>
      </c>
      <c r="L313" s="34"/>
      <c r="M313" s="35"/>
      <c r="N313" s="36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9"/>
      <c r="Z313" s="39"/>
      <c r="AA313" s="28"/>
      <c r="AMJ313" s="0"/>
    </row>
    <row r="314" s="2" customFormat="true" ht="12.75" hidden="false" customHeight="true" outlineLevel="0" collapsed="false">
      <c r="A314" s="27" t="s">
        <v>768</v>
      </c>
      <c r="B314" s="27" t="s">
        <v>769</v>
      </c>
      <c r="C314" s="28" t="s">
        <v>178</v>
      </c>
      <c r="D314" s="27" t="s">
        <v>645</v>
      </c>
      <c r="E314" s="27" t="s">
        <v>744</v>
      </c>
      <c r="F314" s="29" t="s">
        <v>745</v>
      </c>
      <c r="G314" s="30" t="n">
        <v>75015</v>
      </c>
      <c r="H314" s="31" t="s">
        <v>36</v>
      </c>
      <c r="I314" s="32" t="n">
        <v>156093561</v>
      </c>
      <c r="J314" s="33" t="n">
        <v>172</v>
      </c>
      <c r="K314" s="33" t="n">
        <v>13</v>
      </c>
      <c r="L314" s="34"/>
      <c r="M314" s="44" t="s">
        <v>321</v>
      </c>
      <c r="N314" s="36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9"/>
      <c r="Z314" s="39"/>
      <c r="AA314" s="28"/>
      <c r="AMJ314" s="0"/>
    </row>
    <row r="315" s="2" customFormat="true" ht="12.75" hidden="false" customHeight="true" outlineLevel="0" collapsed="false">
      <c r="A315" s="27" t="s">
        <v>770</v>
      </c>
      <c r="B315" s="27" t="s">
        <v>475</v>
      </c>
      <c r="C315" s="28" t="s">
        <v>178</v>
      </c>
      <c r="D315" s="27" t="s">
        <v>645</v>
      </c>
      <c r="E315" s="27" t="s">
        <v>744</v>
      </c>
      <c r="F315" s="29" t="s">
        <v>745</v>
      </c>
      <c r="G315" s="30" t="n">
        <v>75015</v>
      </c>
      <c r="H315" s="31" t="s">
        <v>36</v>
      </c>
      <c r="I315" s="32" t="n">
        <v>156093561</v>
      </c>
      <c r="J315" s="33" t="n">
        <v>172</v>
      </c>
      <c r="K315" s="33" t="n">
        <v>1</v>
      </c>
      <c r="L315" s="34"/>
      <c r="M315" s="35"/>
      <c r="N315" s="36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9"/>
      <c r="Z315" s="39"/>
      <c r="AA315" s="28"/>
      <c r="AMJ315" s="0"/>
    </row>
    <row r="316" s="2" customFormat="true" ht="12.75" hidden="false" customHeight="true" outlineLevel="0" collapsed="false">
      <c r="A316" s="27" t="s">
        <v>771</v>
      </c>
      <c r="B316" s="27" t="s">
        <v>772</v>
      </c>
      <c r="C316" s="28" t="s">
        <v>178</v>
      </c>
      <c r="D316" s="27" t="s">
        <v>645</v>
      </c>
      <c r="E316" s="27" t="s">
        <v>744</v>
      </c>
      <c r="F316" s="29" t="s">
        <v>745</v>
      </c>
      <c r="G316" s="30" t="n">
        <v>75015</v>
      </c>
      <c r="H316" s="31" t="s">
        <v>36</v>
      </c>
      <c r="I316" s="32" t="n">
        <v>156093551</v>
      </c>
      <c r="J316" s="33" t="n">
        <v>167</v>
      </c>
      <c r="K316" s="33" t="n">
        <v>7</v>
      </c>
      <c r="L316" s="34"/>
      <c r="M316" s="35"/>
      <c r="N316" s="36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9"/>
      <c r="Z316" s="39"/>
      <c r="AA316" s="28"/>
      <c r="AMJ316" s="0"/>
    </row>
    <row r="317" s="2" customFormat="true" ht="12.75" hidden="false" customHeight="true" outlineLevel="0" collapsed="false">
      <c r="A317" s="27" t="s">
        <v>773</v>
      </c>
      <c r="B317" s="27" t="s">
        <v>774</v>
      </c>
      <c r="C317" s="28" t="s">
        <v>178</v>
      </c>
      <c r="D317" s="27" t="s">
        <v>645</v>
      </c>
      <c r="E317" s="27" t="s">
        <v>744</v>
      </c>
      <c r="F317" s="29" t="s">
        <v>745</v>
      </c>
      <c r="G317" s="30" t="n">
        <v>75015</v>
      </c>
      <c r="H317" s="31" t="s">
        <v>36</v>
      </c>
      <c r="I317" s="32" t="n">
        <v>156093551</v>
      </c>
      <c r="J317" s="33" t="n">
        <v>133</v>
      </c>
      <c r="K317" s="33" t="n">
        <v>1</v>
      </c>
      <c r="L317" s="34"/>
      <c r="M317" s="35"/>
      <c r="N317" s="36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9"/>
      <c r="Z317" s="39"/>
      <c r="AA317" s="28"/>
      <c r="AMJ317" s="0"/>
    </row>
    <row r="318" s="2" customFormat="true" ht="12.75" hidden="false" customHeight="true" outlineLevel="0" collapsed="false">
      <c r="A318" s="27" t="s">
        <v>775</v>
      </c>
      <c r="B318" s="27" t="s">
        <v>776</v>
      </c>
      <c r="C318" s="28" t="s">
        <v>178</v>
      </c>
      <c r="D318" s="27" t="s">
        <v>645</v>
      </c>
      <c r="E318" s="27" t="s">
        <v>744</v>
      </c>
      <c r="F318" s="29" t="s">
        <v>745</v>
      </c>
      <c r="G318" s="30" t="n">
        <v>75015</v>
      </c>
      <c r="H318" s="31" t="s">
        <v>36</v>
      </c>
      <c r="I318" s="32" t="n">
        <v>156093561</v>
      </c>
      <c r="J318" s="33" t="n">
        <v>79</v>
      </c>
      <c r="K318" s="33" t="n">
        <v>8</v>
      </c>
      <c r="L318" s="34"/>
      <c r="M318" s="35"/>
      <c r="N318" s="36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9"/>
      <c r="Z318" s="39"/>
      <c r="AA318" s="28"/>
      <c r="AMJ318" s="0"/>
    </row>
    <row r="319" s="2" customFormat="true" ht="12.75" hidden="false" customHeight="true" outlineLevel="0" collapsed="false">
      <c r="A319" s="27" t="s">
        <v>777</v>
      </c>
      <c r="B319" s="27" t="s">
        <v>778</v>
      </c>
      <c r="C319" s="28" t="s">
        <v>178</v>
      </c>
      <c r="D319" s="27" t="s">
        <v>645</v>
      </c>
      <c r="E319" s="27" t="s">
        <v>744</v>
      </c>
      <c r="F319" s="29" t="s">
        <v>745</v>
      </c>
      <c r="G319" s="30" t="n">
        <v>75015</v>
      </c>
      <c r="H319" s="31" t="s">
        <v>36</v>
      </c>
      <c r="I319" s="32" t="n">
        <v>156093561</v>
      </c>
      <c r="J319" s="33" t="n">
        <v>0</v>
      </c>
      <c r="K319" s="33" t="n">
        <v>5</v>
      </c>
      <c r="L319" s="34"/>
      <c r="M319" s="35"/>
      <c r="N319" s="36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9"/>
      <c r="Z319" s="39"/>
      <c r="AA319" s="28"/>
      <c r="AMJ319" s="0"/>
    </row>
    <row r="320" s="2" customFormat="true" ht="12.75" hidden="false" customHeight="true" outlineLevel="0" collapsed="false">
      <c r="A320" s="27" t="s">
        <v>779</v>
      </c>
      <c r="B320" s="27" t="s">
        <v>780</v>
      </c>
      <c r="C320" s="28" t="s">
        <v>178</v>
      </c>
      <c r="D320" s="27" t="s">
        <v>645</v>
      </c>
      <c r="E320" s="27" t="s">
        <v>744</v>
      </c>
      <c r="F320" s="29" t="s">
        <v>745</v>
      </c>
      <c r="G320" s="30" t="n">
        <v>75015</v>
      </c>
      <c r="H320" s="31" t="s">
        <v>36</v>
      </c>
      <c r="I320" s="32" t="n">
        <v>156093561</v>
      </c>
      <c r="J320" s="33" t="n">
        <v>0</v>
      </c>
      <c r="K320" s="33" t="n">
        <v>3</v>
      </c>
      <c r="L320" s="34"/>
      <c r="M320" s="35"/>
      <c r="N320" s="36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9"/>
      <c r="Z320" s="39"/>
      <c r="AA320" s="28"/>
      <c r="AMJ320" s="0"/>
    </row>
    <row r="321" s="2" customFormat="true" ht="12.75" hidden="false" customHeight="true" outlineLevel="0" collapsed="false">
      <c r="A321" s="27" t="s">
        <v>781</v>
      </c>
      <c r="B321" s="27" t="s">
        <v>782</v>
      </c>
      <c r="C321" s="28" t="s">
        <v>178</v>
      </c>
      <c r="D321" s="27" t="s">
        <v>645</v>
      </c>
      <c r="E321" s="27" t="s">
        <v>744</v>
      </c>
      <c r="F321" s="29" t="s">
        <v>745</v>
      </c>
      <c r="G321" s="30" t="n">
        <v>75015</v>
      </c>
      <c r="H321" s="31" t="s">
        <v>36</v>
      </c>
      <c r="I321" s="32" t="n">
        <v>146252632</v>
      </c>
      <c r="J321" s="33" t="n">
        <v>0</v>
      </c>
      <c r="K321" s="33" t="n">
        <v>4</v>
      </c>
      <c r="L321" s="34" t="n">
        <v>1</v>
      </c>
      <c r="M321" s="44" t="s">
        <v>321</v>
      </c>
      <c r="N321" s="36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39"/>
      <c r="Z321" s="39"/>
      <c r="AA321" s="28"/>
      <c r="AMJ321" s="0"/>
    </row>
    <row r="322" s="2" customFormat="true" ht="12.75" hidden="false" customHeight="true" outlineLevel="0" collapsed="false">
      <c r="A322" s="27" t="s">
        <v>783</v>
      </c>
      <c r="B322" s="27" t="s">
        <v>784</v>
      </c>
      <c r="C322" s="28" t="s">
        <v>178</v>
      </c>
      <c r="D322" s="27" t="s">
        <v>645</v>
      </c>
      <c r="E322" s="27" t="s">
        <v>744</v>
      </c>
      <c r="F322" s="29" t="s">
        <v>745</v>
      </c>
      <c r="G322" s="30" t="n">
        <v>75015</v>
      </c>
      <c r="H322" s="31" t="s">
        <v>36</v>
      </c>
      <c r="I322" s="32" t="n">
        <v>156093561</v>
      </c>
      <c r="J322" s="33" t="n">
        <v>0</v>
      </c>
      <c r="K322" s="33" t="n">
        <v>6</v>
      </c>
      <c r="L322" s="34"/>
      <c r="M322" s="35"/>
      <c r="N322" s="36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9"/>
      <c r="Z322" s="39"/>
      <c r="AA322" s="28"/>
      <c r="AMJ322" s="0"/>
    </row>
    <row r="323" s="2" customFormat="true" ht="12.75" hidden="false" customHeight="true" outlineLevel="0" collapsed="false">
      <c r="A323" s="27" t="s">
        <v>785</v>
      </c>
      <c r="B323" s="27" t="s">
        <v>786</v>
      </c>
      <c r="C323" s="28" t="s">
        <v>178</v>
      </c>
      <c r="D323" s="27" t="s">
        <v>645</v>
      </c>
      <c r="E323" s="27" t="s">
        <v>744</v>
      </c>
      <c r="F323" s="29" t="s">
        <v>745</v>
      </c>
      <c r="G323" s="30" t="n">
        <v>75015</v>
      </c>
      <c r="H323" s="31" t="s">
        <v>36</v>
      </c>
      <c r="I323" s="32" t="n">
        <v>156093561</v>
      </c>
      <c r="J323" s="33" t="n">
        <v>0</v>
      </c>
      <c r="K323" s="33" t="n">
        <v>3</v>
      </c>
      <c r="L323" s="34"/>
      <c r="M323" s="35"/>
      <c r="N323" s="36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9"/>
      <c r="Z323" s="39"/>
      <c r="AA323" s="28"/>
      <c r="AMJ323" s="0"/>
    </row>
    <row r="324" s="2" customFormat="true" ht="12.75" hidden="false" customHeight="true" outlineLevel="0" collapsed="false">
      <c r="A324" s="27" t="s">
        <v>787</v>
      </c>
      <c r="B324" s="27" t="s">
        <v>788</v>
      </c>
      <c r="C324" s="28" t="s">
        <v>178</v>
      </c>
      <c r="D324" s="27" t="s">
        <v>645</v>
      </c>
      <c r="E324" s="27" t="s">
        <v>744</v>
      </c>
      <c r="F324" s="29" t="s">
        <v>745</v>
      </c>
      <c r="G324" s="30" t="n">
        <v>75015</v>
      </c>
      <c r="H324" s="31" t="s">
        <v>36</v>
      </c>
      <c r="I324" s="32" t="n">
        <v>156093561</v>
      </c>
      <c r="J324" s="33" t="n">
        <v>0</v>
      </c>
      <c r="K324" s="33" t="n">
        <v>17</v>
      </c>
      <c r="L324" s="34"/>
      <c r="M324" s="44" t="s">
        <v>321</v>
      </c>
      <c r="N324" s="36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9"/>
      <c r="Z324" s="39"/>
      <c r="AA324" s="28"/>
      <c r="AMJ324" s="0"/>
    </row>
    <row r="325" s="2" customFormat="true" ht="12.75" hidden="false" customHeight="true" outlineLevel="0" collapsed="false">
      <c r="A325" s="27" t="s">
        <v>789</v>
      </c>
      <c r="B325" s="27" t="s">
        <v>790</v>
      </c>
      <c r="C325" s="28" t="s">
        <v>178</v>
      </c>
      <c r="D325" s="27" t="s">
        <v>645</v>
      </c>
      <c r="E325" s="27" t="s">
        <v>744</v>
      </c>
      <c r="F325" s="29" t="s">
        <v>745</v>
      </c>
      <c r="G325" s="30" t="n">
        <v>75015</v>
      </c>
      <c r="H325" s="31" t="s">
        <v>36</v>
      </c>
      <c r="I325" s="32" t="n">
        <v>156093561</v>
      </c>
      <c r="J325" s="33" t="n">
        <v>0</v>
      </c>
      <c r="K325" s="33" t="n">
        <v>6</v>
      </c>
      <c r="L325" s="34"/>
      <c r="M325" s="35"/>
      <c r="N325" s="36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9"/>
      <c r="Z325" s="39"/>
      <c r="AA325" s="28"/>
      <c r="AMJ325" s="0"/>
    </row>
    <row r="326" s="2" customFormat="true" ht="12.75" hidden="false" customHeight="true" outlineLevel="0" collapsed="false">
      <c r="A326" s="27" t="s">
        <v>791</v>
      </c>
      <c r="B326" s="27" t="s">
        <v>53</v>
      </c>
      <c r="C326" s="28" t="s">
        <v>178</v>
      </c>
      <c r="D326" s="27" t="s">
        <v>645</v>
      </c>
      <c r="E326" s="27" t="s">
        <v>744</v>
      </c>
      <c r="F326" s="29" t="s">
        <v>745</v>
      </c>
      <c r="G326" s="30" t="n">
        <v>75015</v>
      </c>
      <c r="H326" s="31" t="s">
        <v>36</v>
      </c>
      <c r="I326" s="32" t="n">
        <v>156093561</v>
      </c>
      <c r="J326" s="33" t="n">
        <v>0</v>
      </c>
      <c r="K326" s="33" t="n">
        <v>18</v>
      </c>
      <c r="L326" s="34"/>
      <c r="M326" s="44" t="s">
        <v>321</v>
      </c>
      <c r="N326" s="36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9"/>
      <c r="Z326" s="39"/>
      <c r="AA326" s="28"/>
      <c r="AMJ326" s="0"/>
    </row>
    <row r="327" s="2" customFormat="true" ht="12.75" hidden="false" customHeight="true" outlineLevel="0" collapsed="false">
      <c r="A327" s="27" t="s">
        <v>792</v>
      </c>
      <c r="B327" s="27" t="s">
        <v>793</v>
      </c>
      <c r="C327" s="28" t="s">
        <v>178</v>
      </c>
      <c r="D327" s="27" t="s">
        <v>645</v>
      </c>
      <c r="E327" s="27" t="s">
        <v>744</v>
      </c>
      <c r="F327" s="29" t="s">
        <v>745</v>
      </c>
      <c r="G327" s="30" t="n">
        <v>75015</v>
      </c>
      <c r="H327" s="31" t="s">
        <v>36</v>
      </c>
      <c r="I327" s="32" t="n">
        <v>156093561</v>
      </c>
      <c r="J327" s="33"/>
      <c r="K327" s="33"/>
      <c r="L327" s="34"/>
      <c r="M327" s="35"/>
      <c r="N327" s="36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9"/>
      <c r="Z327" s="39"/>
      <c r="AA327" s="28"/>
      <c r="AMJ327" s="0"/>
    </row>
    <row r="328" s="2" customFormat="true" ht="12.75" hidden="false" customHeight="true" outlineLevel="0" collapsed="false">
      <c r="A328" s="27" t="s">
        <v>794</v>
      </c>
      <c r="B328" s="27" t="s">
        <v>103</v>
      </c>
      <c r="C328" s="28" t="s">
        <v>138</v>
      </c>
      <c r="D328" s="27" t="s">
        <v>645</v>
      </c>
      <c r="E328" s="27" t="s">
        <v>744</v>
      </c>
      <c r="F328" s="29" t="s">
        <v>745</v>
      </c>
      <c r="G328" s="30" t="n">
        <v>75015</v>
      </c>
      <c r="H328" s="31" t="s">
        <v>36</v>
      </c>
      <c r="I328" s="32" t="n">
        <v>156093032</v>
      </c>
      <c r="J328" s="33" t="n">
        <v>168</v>
      </c>
      <c r="K328" s="33" t="n">
        <v>1</v>
      </c>
      <c r="L328" s="34"/>
      <c r="M328" s="35"/>
      <c r="N328" s="36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9"/>
      <c r="Z328" s="39"/>
      <c r="AA328" s="28"/>
      <c r="AMJ328" s="0"/>
    </row>
    <row r="329" s="2" customFormat="true" ht="12.75" hidden="false" customHeight="true" outlineLevel="0" collapsed="false">
      <c r="A329" s="27" t="s">
        <v>795</v>
      </c>
      <c r="B329" s="27" t="s">
        <v>749</v>
      </c>
      <c r="C329" s="28" t="s">
        <v>138</v>
      </c>
      <c r="D329" s="27" t="s">
        <v>645</v>
      </c>
      <c r="E329" s="27" t="s">
        <v>744</v>
      </c>
      <c r="F329" s="29" t="s">
        <v>745</v>
      </c>
      <c r="G329" s="30" t="n">
        <v>75015</v>
      </c>
      <c r="H329" s="31" t="s">
        <v>36</v>
      </c>
      <c r="I329" s="32" t="n">
        <v>156093567</v>
      </c>
      <c r="J329" s="33" t="n">
        <v>125</v>
      </c>
      <c r="K329" s="33" t="n">
        <v>2</v>
      </c>
      <c r="L329" s="34" t="n">
        <v>1</v>
      </c>
      <c r="M329" s="44" t="s">
        <v>321</v>
      </c>
      <c r="N329" s="36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39"/>
      <c r="Z329" s="39"/>
      <c r="AA329" s="28"/>
      <c r="AMJ329" s="0"/>
    </row>
    <row r="330" s="2" customFormat="true" ht="12.75" hidden="false" customHeight="true" outlineLevel="0" collapsed="false">
      <c r="A330" s="27" t="s">
        <v>796</v>
      </c>
      <c r="B330" s="27" t="s">
        <v>797</v>
      </c>
      <c r="C330" s="28" t="s">
        <v>138</v>
      </c>
      <c r="D330" s="27" t="s">
        <v>645</v>
      </c>
      <c r="E330" s="27" t="s">
        <v>744</v>
      </c>
      <c r="F330" s="29" t="s">
        <v>745</v>
      </c>
      <c r="G330" s="30" t="n">
        <v>75015</v>
      </c>
      <c r="H330" s="31" t="s">
        <v>36</v>
      </c>
      <c r="I330" s="32" t="n">
        <v>156093567</v>
      </c>
      <c r="J330" s="33" t="n">
        <v>124</v>
      </c>
      <c r="K330" s="33" t="n">
        <v>3</v>
      </c>
      <c r="L330" s="34"/>
      <c r="M330" s="35"/>
      <c r="N330" s="36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9"/>
      <c r="Z330" s="39"/>
      <c r="AA330" s="28"/>
      <c r="AMJ330" s="0"/>
    </row>
    <row r="331" s="2" customFormat="true" ht="12.75" hidden="false" customHeight="true" outlineLevel="0" collapsed="false">
      <c r="A331" s="27" t="s">
        <v>798</v>
      </c>
      <c r="B331" s="27" t="s">
        <v>374</v>
      </c>
      <c r="C331" s="28" t="s">
        <v>138</v>
      </c>
      <c r="D331" s="27" t="s">
        <v>645</v>
      </c>
      <c r="E331" s="27" t="s">
        <v>744</v>
      </c>
      <c r="F331" s="29" t="s">
        <v>745</v>
      </c>
      <c r="G331" s="30" t="n">
        <v>75015</v>
      </c>
      <c r="H331" s="31" t="s">
        <v>36</v>
      </c>
      <c r="I331" s="32" t="n">
        <v>156093567</v>
      </c>
      <c r="J331" s="33" t="n">
        <v>103</v>
      </c>
      <c r="K331" s="33" t="n">
        <v>1</v>
      </c>
      <c r="L331" s="34"/>
      <c r="M331" s="35"/>
      <c r="N331" s="36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9"/>
      <c r="Z331" s="39"/>
      <c r="AA331" s="28"/>
      <c r="AMJ331" s="0"/>
    </row>
    <row r="332" s="2" customFormat="true" ht="12.75" hidden="false" customHeight="true" outlineLevel="0" collapsed="false">
      <c r="A332" s="27" t="s">
        <v>799</v>
      </c>
      <c r="B332" s="27" t="s">
        <v>112</v>
      </c>
      <c r="C332" s="28" t="s">
        <v>138</v>
      </c>
      <c r="D332" s="27" t="s">
        <v>645</v>
      </c>
      <c r="E332" s="27" t="s">
        <v>744</v>
      </c>
      <c r="F332" s="29" t="s">
        <v>745</v>
      </c>
      <c r="G332" s="30" t="n">
        <v>75015</v>
      </c>
      <c r="H332" s="31" t="s">
        <v>36</v>
      </c>
      <c r="I332" s="32" t="n">
        <v>156093567</v>
      </c>
      <c r="J332" s="33" t="n">
        <v>69</v>
      </c>
      <c r="K332" s="33" t="n">
        <v>5</v>
      </c>
      <c r="L332" s="34"/>
      <c r="M332" s="35"/>
      <c r="N332" s="36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9"/>
      <c r="Z332" s="39"/>
      <c r="AA332" s="28"/>
      <c r="AMJ332" s="0"/>
    </row>
    <row r="333" s="2" customFormat="true" ht="12.75" hidden="false" customHeight="true" outlineLevel="0" collapsed="false">
      <c r="A333" s="27" t="s">
        <v>800</v>
      </c>
      <c r="B333" s="27" t="s">
        <v>417</v>
      </c>
      <c r="C333" s="28" t="s">
        <v>138</v>
      </c>
      <c r="D333" s="27" t="s">
        <v>645</v>
      </c>
      <c r="E333" s="27" t="s">
        <v>744</v>
      </c>
      <c r="F333" s="29" t="s">
        <v>745</v>
      </c>
      <c r="G333" s="30" t="n">
        <v>75015</v>
      </c>
      <c r="H333" s="31" t="s">
        <v>36</v>
      </c>
      <c r="I333" s="32" t="n">
        <v>156093567</v>
      </c>
      <c r="J333" s="33" t="n">
        <v>69</v>
      </c>
      <c r="K333" s="33" t="n">
        <v>1</v>
      </c>
      <c r="L333" s="34"/>
      <c r="M333" s="35"/>
      <c r="N333" s="36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9"/>
      <c r="Z333" s="39"/>
      <c r="AA333" s="28"/>
      <c r="AMJ333" s="0"/>
    </row>
    <row r="334" s="2" customFormat="true" ht="12.75" hidden="false" customHeight="true" outlineLevel="0" collapsed="false">
      <c r="A334" s="27" t="s">
        <v>801</v>
      </c>
      <c r="B334" s="27" t="s">
        <v>802</v>
      </c>
      <c r="C334" s="28" t="s">
        <v>138</v>
      </c>
      <c r="D334" s="27" t="s">
        <v>645</v>
      </c>
      <c r="E334" s="27" t="s">
        <v>744</v>
      </c>
      <c r="F334" s="29" t="s">
        <v>745</v>
      </c>
      <c r="G334" s="30" t="n">
        <v>75015</v>
      </c>
      <c r="H334" s="31" t="s">
        <v>36</v>
      </c>
      <c r="I334" s="32" t="n">
        <v>156093567</v>
      </c>
      <c r="J334" s="33" t="n">
        <v>59</v>
      </c>
      <c r="K334" s="33" t="n">
        <v>8</v>
      </c>
      <c r="L334" s="34"/>
      <c r="M334" s="35"/>
      <c r="N334" s="36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9"/>
      <c r="Z334" s="39"/>
      <c r="AA334" s="28"/>
      <c r="AMJ334" s="0"/>
    </row>
    <row r="335" s="2" customFormat="true" ht="12.75" hidden="false" customHeight="true" outlineLevel="0" collapsed="false">
      <c r="A335" s="27" t="s">
        <v>803</v>
      </c>
      <c r="B335" s="27" t="s">
        <v>804</v>
      </c>
      <c r="C335" s="28" t="s">
        <v>138</v>
      </c>
      <c r="D335" s="27" t="s">
        <v>645</v>
      </c>
      <c r="E335" s="27" t="s">
        <v>744</v>
      </c>
      <c r="F335" s="29" t="s">
        <v>745</v>
      </c>
      <c r="G335" s="30" t="n">
        <v>75015</v>
      </c>
      <c r="H335" s="31" t="s">
        <v>36</v>
      </c>
      <c r="I335" s="32" t="n">
        <v>156093567</v>
      </c>
      <c r="J335" s="33" t="n">
        <v>52</v>
      </c>
      <c r="K335" s="33" t="n">
        <v>2</v>
      </c>
      <c r="L335" s="34"/>
      <c r="M335" s="35"/>
      <c r="N335" s="36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9"/>
      <c r="Z335" s="39"/>
      <c r="AA335" s="28"/>
      <c r="AMJ335" s="0"/>
    </row>
    <row r="336" s="2" customFormat="true" ht="12.75" hidden="false" customHeight="true" outlineLevel="0" collapsed="false">
      <c r="A336" s="27" t="s">
        <v>805</v>
      </c>
      <c r="B336" s="27" t="s">
        <v>806</v>
      </c>
      <c r="C336" s="28" t="s">
        <v>138</v>
      </c>
      <c r="D336" s="27" t="s">
        <v>645</v>
      </c>
      <c r="E336" s="27" t="s">
        <v>744</v>
      </c>
      <c r="F336" s="29" t="s">
        <v>745</v>
      </c>
      <c r="G336" s="30" t="n">
        <v>75015</v>
      </c>
      <c r="H336" s="31" t="s">
        <v>36</v>
      </c>
      <c r="I336" s="32" t="n">
        <v>156093567</v>
      </c>
      <c r="J336" s="33" t="n">
        <v>48</v>
      </c>
      <c r="K336" s="33" t="n">
        <v>11</v>
      </c>
      <c r="L336" s="34"/>
      <c r="M336" s="44" t="s">
        <v>321</v>
      </c>
      <c r="N336" s="36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9"/>
      <c r="Z336" s="39"/>
      <c r="AA336" s="28"/>
      <c r="AMJ336" s="0"/>
    </row>
    <row r="337" s="2" customFormat="true" ht="12.75" hidden="false" customHeight="true" outlineLevel="0" collapsed="false">
      <c r="A337" s="27" t="s">
        <v>807</v>
      </c>
      <c r="B337" s="27" t="s">
        <v>808</v>
      </c>
      <c r="C337" s="28" t="s">
        <v>138</v>
      </c>
      <c r="D337" s="27" t="s">
        <v>645</v>
      </c>
      <c r="E337" s="27" t="s">
        <v>744</v>
      </c>
      <c r="F337" s="29" t="s">
        <v>745</v>
      </c>
      <c r="G337" s="30" t="n">
        <v>75015</v>
      </c>
      <c r="H337" s="31" t="s">
        <v>36</v>
      </c>
      <c r="I337" s="32" t="n">
        <v>156093888</v>
      </c>
      <c r="J337" s="33" t="n">
        <v>0</v>
      </c>
      <c r="K337" s="33" t="n">
        <v>3</v>
      </c>
      <c r="L337" s="34"/>
      <c r="M337" s="35"/>
      <c r="N337" s="36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9"/>
      <c r="Z337" s="39"/>
      <c r="AA337" s="28"/>
      <c r="AMJ337" s="0"/>
    </row>
    <row r="338" s="2" customFormat="true" ht="12.75" hidden="false" customHeight="true" outlineLevel="0" collapsed="false">
      <c r="A338" s="27" t="s">
        <v>809</v>
      </c>
      <c r="B338" s="27" t="s">
        <v>229</v>
      </c>
      <c r="C338" s="28" t="s">
        <v>138</v>
      </c>
      <c r="D338" s="27" t="s">
        <v>645</v>
      </c>
      <c r="E338" s="27" t="s">
        <v>744</v>
      </c>
      <c r="F338" s="29" t="s">
        <v>745</v>
      </c>
      <c r="G338" s="30" t="n">
        <v>75015</v>
      </c>
      <c r="H338" s="31" t="s">
        <v>36</v>
      </c>
      <c r="I338" s="32" t="n">
        <v>156093567</v>
      </c>
      <c r="J338" s="33" t="n">
        <v>0</v>
      </c>
      <c r="K338" s="33" t="n">
        <v>1</v>
      </c>
      <c r="L338" s="34"/>
      <c r="M338" s="35"/>
      <c r="N338" s="36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9"/>
      <c r="Z338" s="39"/>
      <c r="AA338" s="28"/>
      <c r="AMJ338" s="0"/>
    </row>
    <row r="339" s="2" customFormat="true" ht="12.75" hidden="false" customHeight="true" outlineLevel="0" collapsed="false">
      <c r="A339" s="27" t="s">
        <v>810</v>
      </c>
      <c r="B339" s="27" t="s">
        <v>811</v>
      </c>
      <c r="C339" s="28" t="s">
        <v>138</v>
      </c>
      <c r="D339" s="27" t="s">
        <v>645</v>
      </c>
      <c r="E339" s="27" t="s">
        <v>744</v>
      </c>
      <c r="F339" s="29" t="s">
        <v>745</v>
      </c>
      <c r="G339" s="30" t="n">
        <v>75015</v>
      </c>
      <c r="H339" s="31" t="s">
        <v>36</v>
      </c>
      <c r="I339" s="32" t="n">
        <v>156093567</v>
      </c>
      <c r="J339" s="33" t="n">
        <v>0</v>
      </c>
      <c r="K339" s="33" t="n">
        <v>1</v>
      </c>
      <c r="L339" s="34"/>
      <c r="M339" s="35"/>
      <c r="N339" s="36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9"/>
      <c r="Z339" s="39"/>
      <c r="AA339" s="28"/>
      <c r="AMJ339" s="0"/>
    </row>
    <row r="340" s="2" customFormat="true" ht="12.75" hidden="false" customHeight="true" outlineLevel="0" collapsed="false">
      <c r="A340" s="27" t="s">
        <v>812</v>
      </c>
      <c r="B340" s="27" t="s">
        <v>813</v>
      </c>
      <c r="C340" s="28" t="s">
        <v>138</v>
      </c>
      <c r="D340" s="27" t="s">
        <v>645</v>
      </c>
      <c r="E340" s="27" t="s">
        <v>744</v>
      </c>
      <c r="F340" s="29" t="s">
        <v>745</v>
      </c>
      <c r="G340" s="30" t="n">
        <v>75015</v>
      </c>
      <c r="H340" s="31" t="s">
        <v>36</v>
      </c>
      <c r="I340" s="32" t="n">
        <v>156093567</v>
      </c>
      <c r="J340" s="33"/>
      <c r="K340" s="33"/>
      <c r="L340" s="34"/>
      <c r="M340" s="35"/>
      <c r="N340" s="36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9"/>
      <c r="Z340" s="39"/>
      <c r="AA340" s="28"/>
      <c r="AMJ340" s="0"/>
    </row>
    <row r="341" s="2" customFormat="true" ht="12.75" hidden="false" customHeight="true" outlineLevel="0" collapsed="false">
      <c r="A341" s="27" t="s">
        <v>814</v>
      </c>
      <c r="B341" s="27" t="s">
        <v>815</v>
      </c>
      <c r="C341" s="28" t="s">
        <v>41</v>
      </c>
      <c r="D341" s="27" t="s">
        <v>645</v>
      </c>
      <c r="E341" s="27" t="s">
        <v>744</v>
      </c>
      <c r="F341" s="29" t="s">
        <v>745</v>
      </c>
      <c r="G341" s="30" t="n">
        <v>75015</v>
      </c>
      <c r="H341" s="31" t="s">
        <v>36</v>
      </c>
      <c r="I341" s="32" t="n">
        <v>156093311</v>
      </c>
      <c r="J341" s="33" t="n">
        <v>449</v>
      </c>
      <c r="K341" s="33" t="n">
        <v>9</v>
      </c>
      <c r="L341" s="34"/>
      <c r="M341" s="35"/>
      <c r="N341" s="36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9"/>
      <c r="Z341" s="39"/>
      <c r="AA341" s="28"/>
      <c r="AMJ341" s="0"/>
    </row>
    <row r="342" s="2" customFormat="true" ht="12.75" hidden="false" customHeight="true" outlineLevel="0" collapsed="false">
      <c r="A342" s="27" t="s">
        <v>816</v>
      </c>
      <c r="B342" s="27" t="s">
        <v>817</v>
      </c>
      <c r="C342" s="28" t="s">
        <v>41</v>
      </c>
      <c r="D342" s="27" t="s">
        <v>645</v>
      </c>
      <c r="E342" s="27" t="s">
        <v>744</v>
      </c>
      <c r="F342" s="29" t="s">
        <v>745</v>
      </c>
      <c r="G342" s="30" t="n">
        <v>75015</v>
      </c>
      <c r="H342" s="31" t="s">
        <v>36</v>
      </c>
      <c r="I342" s="32" t="n">
        <v>156095882</v>
      </c>
      <c r="J342" s="33" t="n">
        <v>400</v>
      </c>
      <c r="K342" s="33"/>
      <c r="L342" s="34"/>
      <c r="M342" s="35"/>
      <c r="N342" s="36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9"/>
      <c r="Z342" s="39"/>
      <c r="AA342" s="28"/>
      <c r="AMJ342" s="0"/>
    </row>
    <row r="343" s="2" customFormat="true" ht="12.75" hidden="false" customHeight="true" outlineLevel="0" collapsed="false">
      <c r="A343" s="27" t="s">
        <v>818</v>
      </c>
      <c r="B343" s="27" t="s">
        <v>819</v>
      </c>
      <c r="C343" s="28" t="s">
        <v>41</v>
      </c>
      <c r="D343" s="27" t="s">
        <v>645</v>
      </c>
      <c r="E343" s="27" t="s">
        <v>744</v>
      </c>
      <c r="F343" s="29" t="s">
        <v>745</v>
      </c>
      <c r="G343" s="30" t="n">
        <v>75015</v>
      </c>
      <c r="H343" s="31" t="s">
        <v>36</v>
      </c>
      <c r="I343" s="32" t="n">
        <v>156093311</v>
      </c>
      <c r="J343" s="33" t="n">
        <v>400</v>
      </c>
      <c r="K343" s="33" t="n">
        <v>5</v>
      </c>
      <c r="L343" s="34"/>
      <c r="M343" s="35"/>
      <c r="N343" s="36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9"/>
      <c r="Z343" s="39"/>
      <c r="AA343" s="28"/>
      <c r="AMJ343" s="0"/>
    </row>
    <row r="344" s="2" customFormat="true" ht="12.75" hidden="false" customHeight="true" outlineLevel="0" collapsed="false">
      <c r="A344" s="27" t="s">
        <v>820</v>
      </c>
      <c r="B344" s="27" t="s">
        <v>821</v>
      </c>
      <c r="C344" s="28" t="s">
        <v>41</v>
      </c>
      <c r="D344" s="27" t="s">
        <v>645</v>
      </c>
      <c r="E344" s="27" t="s">
        <v>744</v>
      </c>
      <c r="F344" s="29" t="s">
        <v>745</v>
      </c>
      <c r="G344" s="30" t="n">
        <v>75015</v>
      </c>
      <c r="H344" s="31" t="s">
        <v>36</v>
      </c>
      <c r="I344" s="32" t="n">
        <v>323757270</v>
      </c>
      <c r="J344" s="33" t="n">
        <v>299</v>
      </c>
      <c r="K344" s="33" t="n">
        <v>2</v>
      </c>
      <c r="L344" s="34"/>
      <c r="M344" s="35"/>
      <c r="N344" s="36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9"/>
      <c r="Z344" s="39"/>
      <c r="AA344" s="28"/>
      <c r="AMJ344" s="0"/>
    </row>
    <row r="345" s="2" customFormat="true" ht="12.75" hidden="false" customHeight="true" outlineLevel="0" collapsed="false">
      <c r="A345" s="27" t="s">
        <v>822</v>
      </c>
      <c r="B345" s="27" t="s">
        <v>112</v>
      </c>
      <c r="C345" s="28" t="s">
        <v>41</v>
      </c>
      <c r="D345" s="27" t="s">
        <v>645</v>
      </c>
      <c r="E345" s="27" t="s">
        <v>744</v>
      </c>
      <c r="F345" s="29" t="s">
        <v>745</v>
      </c>
      <c r="G345" s="30" t="n">
        <v>75015</v>
      </c>
      <c r="H345" s="31" t="s">
        <v>36</v>
      </c>
      <c r="I345" s="32" t="n">
        <v>156095882</v>
      </c>
      <c r="J345" s="33" t="n">
        <v>227</v>
      </c>
      <c r="K345" s="33" t="n">
        <v>1</v>
      </c>
      <c r="L345" s="34"/>
      <c r="M345" s="35"/>
      <c r="N345" s="36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9"/>
      <c r="Z345" s="39"/>
      <c r="AA345" s="28"/>
      <c r="AMJ345" s="0"/>
    </row>
    <row r="346" s="2" customFormat="true" ht="12.75" hidden="false" customHeight="true" outlineLevel="0" collapsed="false">
      <c r="A346" s="27" t="s">
        <v>823</v>
      </c>
      <c r="B346" s="27" t="s">
        <v>335</v>
      </c>
      <c r="C346" s="28" t="s">
        <v>41</v>
      </c>
      <c r="D346" s="27" t="s">
        <v>645</v>
      </c>
      <c r="E346" s="27" t="s">
        <v>744</v>
      </c>
      <c r="F346" s="29" t="s">
        <v>745</v>
      </c>
      <c r="G346" s="30" t="n">
        <v>75015</v>
      </c>
      <c r="H346" s="31" t="s">
        <v>36</v>
      </c>
      <c r="I346" s="32" t="n">
        <v>156093621</v>
      </c>
      <c r="J346" s="33" t="n">
        <v>202</v>
      </c>
      <c r="K346" s="33" t="n">
        <v>2</v>
      </c>
      <c r="L346" s="34"/>
      <c r="M346" s="35"/>
      <c r="N346" s="36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9"/>
      <c r="Z346" s="39"/>
      <c r="AA346" s="28"/>
      <c r="AMJ346" s="0"/>
    </row>
    <row r="347" s="2" customFormat="true" ht="12.75" hidden="false" customHeight="true" outlineLevel="0" collapsed="false">
      <c r="A347" s="27" t="s">
        <v>824</v>
      </c>
      <c r="B347" s="27" t="s">
        <v>285</v>
      </c>
      <c r="C347" s="28" t="s">
        <v>41</v>
      </c>
      <c r="D347" s="27" t="s">
        <v>645</v>
      </c>
      <c r="E347" s="27" t="s">
        <v>744</v>
      </c>
      <c r="F347" s="29" t="s">
        <v>745</v>
      </c>
      <c r="G347" s="30" t="n">
        <v>75015</v>
      </c>
      <c r="H347" s="31" t="s">
        <v>36</v>
      </c>
      <c r="I347" s="32" t="n">
        <v>156093332</v>
      </c>
      <c r="J347" s="33" t="n">
        <v>193</v>
      </c>
      <c r="K347" s="33" t="n">
        <v>1</v>
      </c>
      <c r="L347" s="34"/>
      <c r="M347" s="35"/>
      <c r="N347" s="36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9"/>
      <c r="Z347" s="39"/>
      <c r="AA347" s="28"/>
      <c r="AMJ347" s="0"/>
    </row>
    <row r="348" s="2" customFormat="true" ht="12.75" hidden="false" customHeight="true" outlineLevel="0" collapsed="false">
      <c r="A348" s="27" t="s">
        <v>825</v>
      </c>
      <c r="B348" s="27" t="s">
        <v>826</v>
      </c>
      <c r="C348" s="28" t="s">
        <v>41</v>
      </c>
      <c r="D348" s="27" t="s">
        <v>645</v>
      </c>
      <c r="E348" s="27" t="s">
        <v>744</v>
      </c>
      <c r="F348" s="29" t="s">
        <v>745</v>
      </c>
      <c r="G348" s="30" t="n">
        <v>75015</v>
      </c>
      <c r="H348" s="31" t="s">
        <v>36</v>
      </c>
      <c r="I348" s="32" t="n">
        <v>156092732</v>
      </c>
      <c r="J348" s="33" t="n">
        <v>185</v>
      </c>
      <c r="K348" s="33" t="n">
        <v>5</v>
      </c>
      <c r="L348" s="34"/>
      <c r="M348" s="35"/>
      <c r="N348" s="36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9" t="n">
        <v>45170.5729166667</v>
      </c>
      <c r="Z348" s="39"/>
      <c r="AA348" s="28"/>
      <c r="AMJ348" s="0"/>
    </row>
    <row r="349" s="2" customFormat="true" ht="12.75" hidden="false" customHeight="true" outlineLevel="0" collapsed="false">
      <c r="A349" s="27" t="s">
        <v>827</v>
      </c>
      <c r="B349" s="27" t="s">
        <v>828</v>
      </c>
      <c r="C349" s="28" t="s">
        <v>41</v>
      </c>
      <c r="D349" s="27" t="s">
        <v>645</v>
      </c>
      <c r="E349" s="27" t="s">
        <v>744</v>
      </c>
      <c r="F349" s="29" t="s">
        <v>745</v>
      </c>
      <c r="G349" s="30" t="n">
        <v>75015</v>
      </c>
      <c r="H349" s="31" t="s">
        <v>36</v>
      </c>
      <c r="I349" s="32" t="n">
        <v>156095651</v>
      </c>
      <c r="J349" s="33" t="n">
        <v>175</v>
      </c>
      <c r="K349" s="33" t="n">
        <v>1</v>
      </c>
      <c r="L349" s="34"/>
      <c r="M349" s="35"/>
      <c r="N349" s="36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9"/>
      <c r="Z349" s="39"/>
      <c r="AA349" s="28"/>
      <c r="AMJ349" s="0"/>
    </row>
    <row r="350" s="2" customFormat="true" ht="12.75" hidden="false" customHeight="true" outlineLevel="0" collapsed="false">
      <c r="A350" s="27" t="s">
        <v>829</v>
      </c>
      <c r="B350" s="27" t="s">
        <v>830</v>
      </c>
      <c r="C350" s="28" t="s">
        <v>41</v>
      </c>
      <c r="D350" s="27" t="s">
        <v>645</v>
      </c>
      <c r="E350" s="27" t="s">
        <v>744</v>
      </c>
      <c r="F350" s="29" t="s">
        <v>745</v>
      </c>
      <c r="G350" s="30" t="n">
        <v>75015</v>
      </c>
      <c r="H350" s="31" t="s">
        <v>36</v>
      </c>
      <c r="I350" s="32" t="n">
        <v>156093355</v>
      </c>
      <c r="J350" s="33" t="n">
        <v>173</v>
      </c>
      <c r="K350" s="33" t="n">
        <v>1</v>
      </c>
      <c r="L350" s="34"/>
      <c r="M350" s="35"/>
      <c r="N350" s="36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9"/>
      <c r="Z350" s="39"/>
      <c r="AA350" s="28"/>
      <c r="AMJ350" s="0"/>
    </row>
    <row r="351" s="2" customFormat="true" ht="12.75" hidden="false" customHeight="true" outlineLevel="0" collapsed="false">
      <c r="A351" s="27" t="s">
        <v>831</v>
      </c>
      <c r="B351" s="27" t="s">
        <v>749</v>
      </c>
      <c r="C351" s="28" t="s">
        <v>41</v>
      </c>
      <c r="D351" s="27" t="s">
        <v>645</v>
      </c>
      <c r="E351" s="27" t="s">
        <v>744</v>
      </c>
      <c r="F351" s="29" t="s">
        <v>745</v>
      </c>
      <c r="G351" s="30" t="n">
        <v>75015</v>
      </c>
      <c r="H351" s="31" t="s">
        <v>36</v>
      </c>
      <c r="I351" s="32" t="n">
        <v>156095562</v>
      </c>
      <c r="J351" s="33" t="n">
        <v>164</v>
      </c>
      <c r="K351" s="33" t="n">
        <v>3</v>
      </c>
      <c r="L351" s="34"/>
      <c r="M351" s="35"/>
      <c r="N351" s="36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9"/>
      <c r="Z351" s="39"/>
      <c r="AA351" s="28"/>
      <c r="AMJ351" s="0"/>
    </row>
    <row r="352" s="2" customFormat="true" ht="12.75" hidden="false" customHeight="true" outlineLevel="0" collapsed="false">
      <c r="A352" s="27" t="s">
        <v>832</v>
      </c>
      <c r="B352" s="27" t="s">
        <v>833</v>
      </c>
      <c r="C352" s="28" t="s">
        <v>41</v>
      </c>
      <c r="D352" s="27" t="s">
        <v>645</v>
      </c>
      <c r="E352" s="27" t="s">
        <v>744</v>
      </c>
      <c r="F352" s="29" t="s">
        <v>745</v>
      </c>
      <c r="G352" s="30" t="n">
        <v>75015</v>
      </c>
      <c r="H352" s="31" t="s">
        <v>36</v>
      </c>
      <c r="I352" s="32" t="n">
        <v>156095882</v>
      </c>
      <c r="J352" s="33" t="n">
        <v>163</v>
      </c>
      <c r="K352" s="33" t="n">
        <v>2</v>
      </c>
      <c r="L352" s="34"/>
      <c r="M352" s="35"/>
      <c r="N352" s="36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9"/>
      <c r="Z352" s="39"/>
      <c r="AA352" s="28"/>
      <c r="AMJ352" s="0"/>
    </row>
    <row r="353" s="2" customFormat="true" ht="12.75" hidden="false" customHeight="true" outlineLevel="0" collapsed="false">
      <c r="A353" s="27" t="s">
        <v>834</v>
      </c>
      <c r="B353" s="27" t="s">
        <v>835</v>
      </c>
      <c r="C353" s="28" t="s">
        <v>41</v>
      </c>
      <c r="D353" s="27" t="s">
        <v>645</v>
      </c>
      <c r="E353" s="27" t="s">
        <v>744</v>
      </c>
      <c r="F353" s="29" t="s">
        <v>745</v>
      </c>
      <c r="G353" s="30" t="n">
        <v>75015</v>
      </c>
      <c r="H353" s="31" t="s">
        <v>36</v>
      </c>
      <c r="I353" s="32" t="n">
        <v>156093755</v>
      </c>
      <c r="J353" s="33" t="n">
        <v>163</v>
      </c>
      <c r="K353" s="33" t="n">
        <v>9</v>
      </c>
      <c r="L353" s="34"/>
      <c r="M353" s="35"/>
      <c r="N353" s="36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9"/>
      <c r="Z353" s="39"/>
      <c r="AA353" s="28"/>
      <c r="AMJ353" s="0"/>
    </row>
    <row r="354" s="2" customFormat="true" ht="12.75" hidden="false" customHeight="true" outlineLevel="0" collapsed="false">
      <c r="A354" s="27" t="s">
        <v>836</v>
      </c>
      <c r="B354" s="27" t="s">
        <v>837</v>
      </c>
      <c r="C354" s="28" t="s">
        <v>41</v>
      </c>
      <c r="D354" s="27" t="s">
        <v>645</v>
      </c>
      <c r="E354" s="27" t="s">
        <v>744</v>
      </c>
      <c r="F354" s="29" t="s">
        <v>745</v>
      </c>
      <c r="G354" s="30" t="n">
        <v>75015</v>
      </c>
      <c r="H354" s="31" t="s">
        <v>36</v>
      </c>
      <c r="I354" s="32" t="n">
        <v>156095882</v>
      </c>
      <c r="J354" s="33" t="n">
        <v>162</v>
      </c>
      <c r="K354" s="33" t="n">
        <v>2</v>
      </c>
      <c r="L354" s="34"/>
      <c r="M354" s="35"/>
      <c r="N354" s="36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9"/>
      <c r="Z354" s="39"/>
      <c r="AA354" s="28"/>
      <c r="AMJ354" s="0"/>
    </row>
    <row r="355" s="2" customFormat="true" ht="12.75" hidden="false" customHeight="true" outlineLevel="0" collapsed="false">
      <c r="A355" s="27" t="s">
        <v>810</v>
      </c>
      <c r="B355" s="27" t="s">
        <v>838</v>
      </c>
      <c r="C355" s="28" t="s">
        <v>41</v>
      </c>
      <c r="D355" s="27" t="s">
        <v>645</v>
      </c>
      <c r="E355" s="27" t="s">
        <v>744</v>
      </c>
      <c r="F355" s="29" t="s">
        <v>745</v>
      </c>
      <c r="G355" s="30" t="n">
        <v>75015</v>
      </c>
      <c r="H355" s="31" t="s">
        <v>36</v>
      </c>
      <c r="I355" s="32" t="n">
        <v>156093755</v>
      </c>
      <c r="J355" s="33" t="n">
        <v>162</v>
      </c>
      <c r="K355" s="33" t="n">
        <v>2</v>
      </c>
      <c r="L355" s="34"/>
      <c r="M355" s="35"/>
      <c r="N355" s="36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9"/>
      <c r="Z355" s="39"/>
      <c r="AA355" s="28"/>
      <c r="AMJ355" s="0"/>
    </row>
    <row r="356" s="2" customFormat="true" ht="12.75" hidden="false" customHeight="true" outlineLevel="0" collapsed="false">
      <c r="A356" s="27" t="s">
        <v>839</v>
      </c>
      <c r="B356" s="27" t="s">
        <v>840</v>
      </c>
      <c r="C356" s="28" t="s">
        <v>41</v>
      </c>
      <c r="D356" s="27" t="s">
        <v>645</v>
      </c>
      <c r="E356" s="27" t="s">
        <v>744</v>
      </c>
      <c r="F356" s="29" t="s">
        <v>745</v>
      </c>
      <c r="G356" s="30" t="n">
        <v>75015</v>
      </c>
      <c r="H356" s="31" t="s">
        <v>36</v>
      </c>
      <c r="I356" s="32" t="n">
        <v>156095882</v>
      </c>
      <c r="J356" s="33" t="n">
        <v>162</v>
      </c>
      <c r="K356" s="33" t="n">
        <v>2</v>
      </c>
      <c r="L356" s="34"/>
      <c r="M356" s="35"/>
      <c r="N356" s="36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9"/>
      <c r="Z356" s="39"/>
      <c r="AA356" s="28"/>
      <c r="AMJ356" s="0"/>
    </row>
    <row r="357" s="2" customFormat="true" ht="12.75" hidden="false" customHeight="true" outlineLevel="0" collapsed="false">
      <c r="A357" s="27" t="s">
        <v>841</v>
      </c>
      <c r="B357" s="27" t="s">
        <v>842</v>
      </c>
      <c r="C357" s="28" t="s">
        <v>41</v>
      </c>
      <c r="D357" s="27" t="s">
        <v>645</v>
      </c>
      <c r="E357" s="27" t="s">
        <v>744</v>
      </c>
      <c r="F357" s="29" t="s">
        <v>745</v>
      </c>
      <c r="G357" s="30" t="n">
        <v>75015</v>
      </c>
      <c r="H357" s="31" t="s">
        <v>36</v>
      </c>
      <c r="I357" s="32" t="n">
        <v>156093355</v>
      </c>
      <c r="J357" s="33" t="n">
        <v>161</v>
      </c>
      <c r="K357" s="33" t="n">
        <v>5</v>
      </c>
      <c r="L357" s="34"/>
      <c r="M357" s="35"/>
      <c r="N357" s="36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9" t="n">
        <v>45170.4583333333</v>
      </c>
      <c r="Z357" s="39"/>
      <c r="AA357" s="28"/>
      <c r="AMJ357" s="0"/>
    </row>
    <row r="358" s="2" customFormat="true" ht="12.75" hidden="false" customHeight="true" outlineLevel="0" collapsed="false">
      <c r="A358" s="27" t="s">
        <v>843</v>
      </c>
      <c r="B358" s="27" t="s">
        <v>844</v>
      </c>
      <c r="C358" s="28" t="s">
        <v>41</v>
      </c>
      <c r="D358" s="27" t="s">
        <v>645</v>
      </c>
      <c r="E358" s="27" t="s">
        <v>744</v>
      </c>
      <c r="F358" s="29" t="s">
        <v>745</v>
      </c>
      <c r="G358" s="30" t="n">
        <v>75015</v>
      </c>
      <c r="H358" s="31" t="s">
        <v>36</v>
      </c>
      <c r="I358" s="32" t="n">
        <v>156095882</v>
      </c>
      <c r="J358" s="33" t="n">
        <v>160</v>
      </c>
      <c r="K358" s="33" t="n">
        <v>1</v>
      </c>
      <c r="L358" s="34"/>
      <c r="M358" s="35"/>
      <c r="N358" s="36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9"/>
      <c r="Z358" s="39"/>
      <c r="AA358" s="28"/>
      <c r="AMJ358" s="0"/>
    </row>
    <row r="359" s="2" customFormat="true" ht="12.75" hidden="false" customHeight="true" outlineLevel="0" collapsed="false">
      <c r="A359" s="27" t="s">
        <v>845</v>
      </c>
      <c r="B359" s="27" t="s">
        <v>846</v>
      </c>
      <c r="C359" s="28" t="s">
        <v>41</v>
      </c>
      <c r="D359" s="27" t="s">
        <v>645</v>
      </c>
      <c r="E359" s="27" t="s">
        <v>744</v>
      </c>
      <c r="F359" s="29" t="s">
        <v>745</v>
      </c>
      <c r="G359" s="30" t="n">
        <v>75015</v>
      </c>
      <c r="H359" s="31" t="s">
        <v>36</v>
      </c>
      <c r="I359" s="32" t="n">
        <v>156095882</v>
      </c>
      <c r="J359" s="33" t="n">
        <v>160</v>
      </c>
      <c r="K359" s="33" t="n">
        <v>1</v>
      </c>
      <c r="L359" s="34"/>
      <c r="M359" s="35"/>
      <c r="N359" s="36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9"/>
      <c r="Z359" s="39"/>
      <c r="AA359" s="28"/>
      <c r="AMJ359" s="0"/>
    </row>
    <row r="360" s="2" customFormat="true" ht="12.75" hidden="false" customHeight="true" outlineLevel="0" collapsed="false">
      <c r="A360" s="27" t="s">
        <v>847</v>
      </c>
      <c r="B360" s="27" t="s">
        <v>94</v>
      </c>
      <c r="C360" s="28" t="s">
        <v>41</v>
      </c>
      <c r="D360" s="27" t="s">
        <v>645</v>
      </c>
      <c r="E360" s="27" t="s">
        <v>744</v>
      </c>
      <c r="F360" s="29" t="s">
        <v>745</v>
      </c>
      <c r="G360" s="30" t="n">
        <v>75015</v>
      </c>
      <c r="H360" s="31" t="s">
        <v>36</v>
      </c>
      <c r="I360" s="32" t="n">
        <v>156095882</v>
      </c>
      <c r="J360" s="33" t="n">
        <v>160</v>
      </c>
      <c r="K360" s="33" t="n">
        <v>1</v>
      </c>
      <c r="L360" s="34"/>
      <c r="M360" s="35"/>
      <c r="N360" s="36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9"/>
      <c r="Z360" s="39"/>
      <c r="AA360" s="28"/>
      <c r="AMJ360" s="0"/>
    </row>
    <row r="361" s="2" customFormat="true" ht="12.75" hidden="false" customHeight="true" outlineLevel="0" collapsed="false">
      <c r="A361" s="27" t="s">
        <v>848</v>
      </c>
      <c r="B361" s="27" t="s">
        <v>703</v>
      </c>
      <c r="C361" s="28" t="s">
        <v>41</v>
      </c>
      <c r="D361" s="27" t="s">
        <v>645</v>
      </c>
      <c r="E361" s="27" t="s">
        <v>744</v>
      </c>
      <c r="F361" s="29" t="s">
        <v>745</v>
      </c>
      <c r="G361" s="30" t="n">
        <v>75015</v>
      </c>
      <c r="H361" s="31" t="s">
        <v>36</v>
      </c>
      <c r="I361" s="32" t="n">
        <v>156093771</v>
      </c>
      <c r="J361" s="33" t="n">
        <v>159</v>
      </c>
      <c r="K361" s="33" t="n">
        <v>1</v>
      </c>
      <c r="L361" s="34"/>
      <c r="M361" s="35"/>
      <c r="N361" s="36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9"/>
      <c r="Z361" s="39"/>
      <c r="AA361" s="28"/>
      <c r="AMJ361" s="0"/>
    </row>
    <row r="362" s="2" customFormat="true" ht="12.75" hidden="false" customHeight="true" outlineLevel="0" collapsed="false">
      <c r="A362" s="27" t="s">
        <v>849</v>
      </c>
      <c r="B362" s="27" t="s">
        <v>850</v>
      </c>
      <c r="C362" s="28" t="s">
        <v>41</v>
      </c>
      <c r="D362" s="27" t="s">
        <v>645</v>
      </c>
      <c r="E362" s="27" t="s">
        <v>744</v>
      </c>
      <c r="F362" s="29" t="s">
        <v>745</v>
      </c>
      <c r="G362" s="30" t="n">
        <v>75015</v>
      </c>
      <c r="H362" s="31" t="s">
        <v>36</v>
      </c>
      <c r="I362" s="32" t="n">
        <v>156095882</v>
      </c>
      <c r="J362" s="33" t="n">
        <v>159</v>
      </c>
      <c r="K362" s="33" t="n">
        <v>1</v>
      </c>
      <c r="L362" s="34"/>
      <c r="M362" s="35"/>
      <c r="N362" s="36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9"/>
      <c r="Z362" s="39"/>
      <c r="AA362" s="28"/>
      <c r="AMJ362" s="0"/>
    </row>
    <row r="363" s="2" customFormat="true" ht="12.75" hidden="false" customHeight="true" outlineLevel="0" collapsed="false">
      <c r="A363" s="27" t="s">
        <v>851</v>
      </c>
      <c r="B363" s="27" t="s">
        <v>852</v>
      </c>
      <c r="C363" s="28" t="s">
        <v>41</v>
      </c>
      <c r="D363" s="27" t="s">
        <v>645</v>
      </c>
      <c r="E363" s="27" t="s">
        <v>744</v>
      </c>
      <c r="F363" s="29" t="s">
        <v>745</v>
      </c>
      <c r="G363" s="30" t="n">
        <v>75015</v>
      </c>
      <c r="H363" s="31" t="s">
        <v>36</v>
      </c>
      <c r="I363" s="32"/>
      <c r="J363" s="33" t="n">
        <v>159</v>
      </c>
      <c r="K363" s="33" t="n">
        <v>2</v>
      </c>
      <c r="L363" s="34"/>
      <c r="M363" s="35"/>
      <c r="N363" s="36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9"/>
      <c r="Z363" s="39"/>
      <c r="AA363" s="28"/>
      <c r="AMJ363" s="0"/>
    </row>
    <row r="364" s="2" customFormat="true" ht="12.75" hidden="false" customHeight="true" outlineLevel="0" collapsed="false">
      <c r="A364" s="27" t="s">
        <v>853</v>
      </c>
      <c r="B364" s="27" t="s">
        <v>763</v>
      </c>
      <c r="C364" s="28" t="s">
        <v>41</v>
      </c>
      <c r="D364" s="27" t="s">
        <v>645</v>
      </c>
      <c r="E364" s="27" t="s">
        <v>744</v>
      </c>
      <c r="F364" s="29" t="s">
        <v>745</v>
      </c>
      <c r="G364" s="30" t="n">
        <v>75015</v>
      </c>
      <c r="H364" s="31" t="s">
        <v>36</v>
      </c>
      <c r="I364" s="32" t="n">
        <v>156093313</v>
      </c>
      <c r="J364" s="33" t="n">
        <v>159</v>
      </c>
      <c r="K364" s="33" t="n">
        <v>1</v>
      </c>
      <c r="L364" s="34"/>
      <c r="M364" s="35"/>
      <c r="N364" s="36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9"/>
      <c r="Z364" s="39"/>
      <c r="AA364" s="28"/>
      <c r="AMJ364" s="0"/>
    </row>
    <row r="365" s="2" customFormat="true" ht="12.75" hidden="false" customHeight="true" outlineLevel="0" collapsed="false">
      <c r="A365" s="27" t="s">
        <v>854</v>
      </c>
      <c r="B365" s="27" t="s">
        <v>855</v>
      </c>
      <c r="C365" s="28" t="s">
        <v>41</v>
      </c>
      <c r="D365" s="27" t="s">
        <v>645</v>
      </c>
      <c r="E365" s="27" t="s">
        <v>744</v>
      </c>
      <c r="F365" s="29" t="s">
        <v>745</v>
      </c>
      <c r="G365" s="30" t="n">
        <v>75015</v>
      </c>
      <c r="H365" s="31" t="s">
        <v>36</v>
      </c>
      <c r="I365" s="32" t="n">
        <v>156095882</v>
      </c>
      <c r="J365" s="33" t="n">
        <v>159</v>
      </c>
      <c r="K365" s="33" t="n">
        <v>1</v>
      </c>
      <c r="L365" s="34"/>
      <c r="M365" s="35"/>
      <c r="N365" s="36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9"/>
      <c r="Z365" s="39"/>
      <c r="AA365" s="28"/>
      <c r="AMJ365" s="0"/>
    </row>
    <row r="366" s="2" customFormat="true" ht="12.75" hidden="false" customHeight="true" outlineLevel="0" collapsed="false">
      <c r="A366" s="27" t="s">
        <v>856</v>
      </c>
      <c r="B366" s="27" t="s">
        <v>786</v>
      </c>
      <c r="C366" s="28" t="s">
        <v>41</v>
      </c>
      <c r="D366" s="27" t="s">
        <v>645</v>
      </c>
      <c r="E366" s="27" t="s">
        <v>744</v>
      </c>
      <c r="F366" s="29" t="s">
        <v>745</v>
      </c>
      <c r="G366" s="30" t="n">
        <v>75015</v>
      </c>
      <c r="H366" s="31" t="s">
        <v>36</v>
      </c>
      <c r="I366" s="32" t="n">
        <v>156092847</v>
      </c>
      <c r="J366" s="33" t="n">
        <v>159</v>
      </c>
      <c r="K366" s="33" t="n">
        <v>4</v>
      </c>
      <c r="L366" s="34"/>
      <c r="M366" s="35"/>
      <c r="N366" s="36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9"/>
      <c r="Z366" s="39"/>
      <c r="AA366" s="28"/>
      <c r="AMJ366" s="0"/>
    </row>
    <row r="367" s="2" customFormat="true" ht="12.75" hidden="false" customHeight="true" outlineLevel="0" collapsed="false">
      <c r="A367" s="27" t="s">
        <v>857</v>
      </c>
      <c r="B367" s="27" t="s">
        <v>133</v>
      </c>
      <c r="C367" s="28" t="s">
        <v>41</v>
      </c>
      <c r="D367" s="27" t="s">
        <v>645</v>
      </c>
      <c r="E367" s="27" t="s">
        <v>744</v>
      </c>
      <c r="F367" s="29" t="s">
        <v>745</v>
      </c>
      <c r="G367" s="30" t="n">
        <v>75015</v>
      </c>
      <c r="H367" s="31" t="s">
        <v>36</v>
      </c>
      <c r="I367" s="32" t="n">
        <v>156093771</v>
      </c>
      <c r="J367" s="33" t="n">
        <v>159</v>
      </c>
      <c r="K367" s="33" t="n">
        <v>1</v>
      </c>
      <c r="L367" s="34"/>
      <c r="M367" s="35"/>
      <c r="N367" s="36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9"/>
      <c r="Z367" s="39"/>
      <c r="AA367" s="28"/>
      <c r="AMJ367" s="0"/>
    </row>
    <row r="368" s="2" customFormat="true" ht="12.75" hidden="false" customHeight="true" outlineLevel="0" collapsed="false">
      <c r="A368" s="27" t="s">
        <v>858</v>
      </c>
      <c r="B368" s="27" t="s">
        <v>769</v>
      </c>
      <c r="C368" s="28" t="s">
        <v>41</v>
      </c>
      <c r="D368" s="27" t="s">
        <v>645</v>
      </c>
      <c r="E368" s="27" t="s">
        <v>744</v>
      </c>
      <c r="F368" s="29" t="s">
        <v>745</v>
      </c>
      <c r="G368" s="30" t="n">
        <v>75015</v>
      </c>
      <c r="H368" s="31" t="s">
        <v>36</v>
      </c>
      <c r="I368" s="32" t="n">
        <v>156093401</v>
      </c>
      <c r="J368" s="33" t="n">
        <v>159</v>
      </c>
      <c r="K368" s="33" t="n">
        <v>30</v>
      </c>
      <c r="L368" s="34"/>
      <c r="M368" s="44" t="s">
        <v>700</v>
      </c>
      <c r="N368" s="50" t="s">
        <v>859</v>
      </c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9"/>
      <c r="Z368" s="39"/>
      <c r="AA368" s="28"/>
      <c r="AMJ368" s="0"/>
    </row>
    <row r="369" s="2" customFormat="true" ht="12.75" hidden="false" customHeight="true" outlineLevel="0" collapsed="false">
      <c r="A369" s="27" t="s">
        <v>860</v>
      </c>
      <c r="B369" s="27" t="s">
        <v>861</v>
      </c>
      <c r="C369" s="28" t="s">
        <v>41</v>
      </c>
      <c r="D369" s="27" t="s">
        <v>645</v>
      </c>
      <c r="E369" s="27" t="s">
        <v>744</v>
      </c>
      <c r="F369" s="29" t="s">
        <v>745</v>
      </c>
      <c r="G369" s="30" t="n">
        <v>75015</v>
      </c>
      <c r="H369" s="31" t="s">
        <v>36</v>
      </c>
      <c r="I369" s="32" t="n">
        <v>156093881</v>
      </c>
      <c r="J369" s="33" t="n">
        <v>159</v>
      </c>
      <c r="K369" s="33" t="n">
        <v>0</v>
      </c>
      <c r="L369" s="34"/>
      <c r="M369" s="35"/>
      <c r="N369" s="36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9"/>
      <c r="Z369" s="39"/>
      <c r="AA369" s="28"/>
      <c r="AMJ369" s="0"/>
    </row>
    <row r="370" s="2" customFormat="true" ht="12.75" hidden="false" customHeight="true" outlineLevel="0" collapsed="false">
      <c r="A370" s="27" t="s">
        <v>862</v>
      </c>
      <c r="B370" s="27" t="s">
        <v>71</v>
      </c>
      <c r="C370" s="28" t="s">
        <v>41</v>
      </c>
      <c r="D370" s="27" t="s">
        <v>645</v>
      </c>
      <c r="E370" s="27" t="s">
        <v>744</v>
      </c>
      <c r="F370" s="29" t="s">
        <v>745</v>
      </c>
      <c r="G370" s="30" t="n">
        <v>75015</v>
      </c>
      <c r="H370" s="31" t="s">
        <v>36</v>
      </c>
      <c r="I370" s="32" t="n">
        <v>156095882</v>
      </c>
      <c r="J370" s="33" t="n">
        <v>158</v>
      </c>
      <c r="K370" s="33" t="n">
        <v>1</v>
      </c>
      <c r="L370" s="34"/>
      <c r="M370" s="35"/>
      <c r="N370" s="36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9"/>
      <c r="Z370" s="39"/>
      <c r="AA370" s="28"/>
      <c r="AMJ370" s="0"/>
    </row>
    <row r="371" s="2" customFormat="true" ht="12.75" hidden="false" customHeight="true" outlineLevel="0" collapsed="false">
      <c r="A371" s="27" t="s">
        <v>863</v>
      </c>
      <c r="B371" s="27" t="s">
        <v>61</v>
      </c>
      <c r="C371" s="28" t="s">
        <v>41</v>
      </c>
      <c r="D371" s="27" t="s">
        <v>645</v>
      </c>
      <c r="E371" s="27" t="s">
        <v>744</v>
      </c>
      <c r="F371" s="29" t="s">
        <v>745</v>
      </c>
      <c r="G371" s="30" t="n">
        <v>75015</v>
      </c>
      <c r="H371" s="31" t="s">
        <v>36</v>
      </c>
      <c r="I371" s="32" t="n">
        <v>156092732</v>
      </c>
      <c r="J371" s="33" t="n">
        <v>148</v>
      </c>
      <c r="K371" s="33" t="n">
        <v>1</v>
      </c>
      <c r="L371" s="34"/>
      <c r="M371" s="35"/>
      <c r="N371" s="36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9"/>
      <c r="Z371" s="39"/>
      <c r="AA371" s="28"/>
      <c r="AMJ371" s="0"/>
    </row>
    <row r="372" s="2" customFormat="true" ht="12.75" hidden="false" customHeight="true" outlineLevel="0" collapsed="false">
      <c r="A372" s="27" t="s">
        <v>864</v>
      </c>
      <c r="B372" s="27" t="s">
        <v>865</v>
      </c>
      <c r="C372" s="28" t="s">
        <v>41</v>
      </c>
      <c r="D372" s="27" t="s">
        <v>645</v>
      </c>
      <c r="E372" s="27" t="s">
        <v>744</v>
      </c>
      <c r="F372" s="29" t="s">
        <v>745</v>
      </c>
      <c r="G372" s="30" t="n">
        <v>75015</v>
      </c>
      <c r="H372" s="31" t="s">
        <v>36</v>
      </c>
      <c r="I372" s="32" t="n">
        <v>156093621</v>
      </c>
      <c r="J372" s="33" t="n">
        <v>111</v>
      </c>
      <c r="K372" s="33" t="n">
        <v>1</v>
      </c>
      <c r="L372" s="34"/>
      <c r="M372" s="35"/>
      <c r="N372" s="36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9"/>
      <c r="Z372" s="39"/>
      <c r="AA372" s="28"/>
      <c r="AMJ372" s="0"/>
    </row>
    <row r="373" s="2" customFormat="true" ht="12.75" hidden="false" customHeight="true" outlineLevel="0" collapsed="false">
      <c r="A373" s="27" t="s">
        <v>866</v>
      </c>
      <c r="B373" s="27" t="s">
        <v>788</v>
      </c>
      <c r="C373" s="28" t="s">
        <v>41</v>
      </c>
      <c r="D373" s="27" t="s">
        <v>645</v>
      </c>
      <c r="E373" s="27" t="s">
        <v>744</v>
      </c>
      <c r="F373" s="29" t="s">
        <v>745</v>
      </c>
      <c r="G373" s="30" t="n">
        <v>75015</v>
      </c>
      <c r="H373" s="31" t="s">
        <v>36</v>
      </c>
      <c r="I373" s="32" t="n">
        <v>156093755</v>
      </c>
      <c r="J373" s="33" t="n">
        <v>0</v>
      </c>
      <c r="K373" s="33" t="n">
        <v>1</v>
      </c>
      <c r="L373" s="34"/>
      <c r="M373" s="35"/>
      <c r="N373" s="36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9"/>
      <c r="Z373" s="39"/>
      <c r="AA373" s="28"/>
      <c r="AMJ373" s="0"/>
    </row>
    <row r="374" s="2" customFormat="true" ht="12.75" hidden="false" customHeight="true" outlineLevel="0" collapsed="false">
      <c r="A374" s="27" t="s">
        <v>867</v>
      </c>
      <c r="B374" s="27" t="s">
        <v>868</v>
      </c>
      <c r="C374" s="28" t="s">
        <v>41</v>
      </c>
      <c r="D374" s="27" t="s">
        <v>645</v>
      </c>
      <c r="E374" s="27" t="s">
        <v>744</v>
      </c>
      <c r="F374" s="29" t="s">
        <v>745</v>
      </c>
      <c r="G374" s="30" t="n">
        <v>75015</v>
      </c>
      <c r="H374" s="31" t="s">
        <v>36</v>
      </c>
      <c r="I374" s="32" t="n">
        <v>156093313</v>
      </c>
      <c r="J374" s="33" t="n">
        <v>0</v>
      </c>
      <c r="K374" s="33" t="n">
        <v>1</v>
      </c>
      <c r="L374" s="34"/>
      <c r="M374" s="35"/>
      <c r="N374" s="36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9"/>
      <c r="Z374" s="39"/>
      <c r="AA374" s="28"/>
      <c r="AMJ374" s="0"/>
    </row>
    <row r="375" s="2" customFormat="true" ht="12.75" hidden="false" customHeight="true" outlineLevel="0" collapsed="false">
      <c r="A375" s="27" t="s">
        <v>869</v>
      </c>
      <c r="B375" s="27" t="s">
        <v>870</v>
      </c>
      <c r="C375" s="28" t="s">
        <v>77</v>
      </c>
      <c r="D375" s="27" t="s">
        <v>645</v>
      </c>
      <c r="E375" s="27" t="s">
        <v>744</v>
      </c>
      <c r="F375" s="29" t="s">
        <v>745</v>
      </c>
      <c r="G375" s="30" t="n">
        <v>75015</v>
      </c>
      <c r="H375" s="31" t="s">
        <v>36</v>
      </c>
      <c r="I375" s="32" t="n">
        <v>156093081</v>
      </c>
      <c r="J375" s="33" t="n">
        <v>0</v>
      </c>
      <c r="K375" s="33" t="n">
        <v>1</v>
      </c>
      <c r="L375" s="34"/>
      <c r="M375" s="35"/>
      <c r="N375" s="36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9"/>
      <c r="Z375" s="39"/>
      <c r="AA375" s="28"/>
      <c r="AMJ375" s="0"/>
    </row>
    <row r="376" s="2" customFormat="true" ht="12.75" hidden="false" customHeight="true" outlineLevel="0" collapsed="false">
      <c r="A376" s="27" t="s">
        <v>871</v>
      </c>
      <c r="B376" s="27" t="s">
        <v>633</v>
      </c>
      <c r="C376" s="28" t="s">
        <v>77</v>
      </c>
      <c r="D376" s="27" t="s">
        <v>645</v>
      </c>
      <c r="E376" s="27" t="s">
        <v>744</v>
      </c>
      <c r="F376" s="29" t="s">
        <v>745</v>
      </c>
      <c r="G376" s="30" t="n">
        <v>75015</v>
      </c>
      <c r="H376" s="31" t="s">
        <v>36</v>
      </c>
      <c r="I376" s="32" t="n">
        <v>156093201</v>
      </c>
      <c r="J376" s="33" t="n">
        <v>0</v>
      </c>
      <c r="K376" s="33" t="n">
        <v>1</v>
      </c>
      <c r="L376" s="34"/>
      <c r="M376" s="35"/>
      <c r="N376" s="36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9"/>
      <c r="Z376" s="39"/>
      <c r="AA376" s="28"/>
      <c r="AMJ376" s="0"/>
    </row>
    <row r="377" s="2" customFormat="true" ht="12.75" hidden="false" customHeight="true" outlineLevel="0" collapsed="false">
      <c r="A377" s="27" t="s">
        <v>872</v>
      </c>
      <c r="B377" s="27" t="s">
        <v>873</v>
      </c>
      <c r="C377" s="28" t="s">
        <v>121</v>
      </c>
      <c r="D377" s="27" t="s">
        <v>645</v>
      </c>
      <c r="E377" s="27" t="s">
        <v>744</v>
      </c>
      <c r="F377" s="29" t="s">
        <v>745</v>
      </c>
      <c r="G377" s="30" t="n">
        <v>75015</v>
      </c>
      <c r="H377" s="31" t="s">
        <v>36</v>
      </c>
      <c r="I377" s="32" t="n">
        <v>156093881</v>
      </c>
      <c r="J377" s="33" t="n">
        <v>96</v>
      </c>
      <c r="K377" s="33" t="n">
        <v>0</v>
      </c>
      <c r="L377" s="34"/>
      <c r="M377" s="35"/>
      <c r="N377" s="36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9"/>
      <c r="Z377" s="39"/>
      <c r="AA377" s="28"/>
      <c r="AMJ377" s="0"/>
    </row>
    <row r="378" s="2" customFormat="true" ht="12.75" hidden="false" customHeight="true" outlineLevel="0" collapsed="false">
      <c r="A378" s="27" t="s">
        <v>874</v>
      </c>
      <c r="B378" s="27" t="s">
        <v>842</v>
      </c>
      <c r="C378" s="28" t="s">
        <v>121</v>
      </c>
      <c r="D378" s="27" t="s">
        <v>645</v>
      </c>
      <c r="E378" s="27" t="s">
        <v>744</v>
      </c>
      <c r="F378" s="29" t="s">
        <v>745</v>
      </c>
      <c r="G378" s="30" t="n">
        <v>75015</v>
      </c>
      <c r="H378" s="31" t="s">
        <v>36</v>
      </c>
      <c r="I378" s="32" t="n">
        <v>156093867</v>
      </c>
      <c r="J378" s="33" t="n">
        <v>79</v>
      </c>
      <c r="K378" s="33" t="n">
        <v>1</v>
      </c>
      <c r="L378" s="34"/>
      <c r="M378" s="35"/>
      <c r="N378" s="36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9"/>
      <c r="Z378" s="39"/>
      <c r="AA378" s="28"/>
      <c r="AMJ378" s="0"/>
    </row>
    <row r="379" s="2" customFormat="true" ht="12.75" hidden="false" customHeight="true" outlineLevel="0" collapsed="false">
      <c r="A379" s="27" t="s">
        <v>875</v>
      </c>
      <c r="B379" s="27" t="s">
        <v>94</v>
      </c>
      <c r="C379" s="28" t="s">
        <v>33</v>
      </c>
      <c r="D379" s="27" t="s">
        <v>645</v>
      </c>
      <c r="E379" s="27" t="s">
        <v>744</v>
      </c>
      <c r="F379" s="29" t="s">
        <v>745</v>
      </c>
      <c r="G379" s="30" t="n">
        <v>75015</v>
      </c>
      <c r="H379" s="31" t="s">
        <v>36</v>
      </c>
      <c r="I379" s="32"/>
      <c r="J379" s="33" t="n">
        <v>53</v>
      </c>
      <c r="K379" s="33" t="n">
        <v>2</v>
      </c>
      <c r="L379" s="34"/>
      <c r="M379" s="35"/>
      <c r="N379" s="36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9"/>
      <c r="Z379" s="39"/>
      <c r="AA379" s="28"/>
      <c r="AC379" s="2" t="s">
        <v>38</v>
      </c>
      <c r="AMJ379" s="0"/>
    </row>
    <row r="380" s="2" customFormat="true" ht="12.75" hidden="false" customHeight="true" outlineLevel="0" collapsed="false">
      <c r="A380" s="27" t="s">
        <v>876</v>
      </c>
      <c r="B380" s="27" t="s">
        <v>475</v>
      </c>
      <c r="C380" s="28" t="s">
        <v>33</v>
      </c>
      <c r="D380" s="27" t="s">
        <v>645</v>
      </c>
      <c r="E380" s="27" t="s">
        <v>744</v>
      </c>
      <c r="F380" s="29" t="s">
        <v>745</v>
      </c>
      <c r="G380" s="30" t="n">
        <v>75015</v>
      </c>
      <c r="H380" s="31" t="s">
        <v>36</v>
      </c>
      <c r="I380" s="32" t="n">
        <v>156093371</v>
      </c>
      <c r="J380" s="33" t="n">
        <v>44</v>
      </c>
      <c r="K380" s="33" t="n">
        <v>1</v>
      </c>
      <c r="L380" s="34"/>
      <c r="M380" s="35"/>
      <c r="N380" s="36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9"/>
      <c r="Z380" s="39"/>
      <c r="AA380" s="28"/>
      <c r="AC380" s="2" t="s">
        <v>38</v>
      </c>
      <c r="AMJ380" s="0"/>
    </row>
    <row r="381" s="2" customFormat="true" ht="12.75" hidden="false" customHeight="true" outlineLevel="0" collapsed="false">
      <c r="A381" s="27" t="s">
        <v>877</v>
      </c>
      <c r="B381" s="27" t="s">
        <v>878</v>
      </c>
      <c r="C381" s="28" t="s">
        <v>33</v>
      </c>
      <c r="D381" s="27" t="s">
        <v>645</v>
      </c>
      <c r="E381" s="27" t="s">
        <v>744</v>
      </c>
      <c r="F381" s="29" t="s">
        <v>745</v>
      </c>
      <c r="G381" s="30" t="n">
        <v>75015</v>
      </c>
      <c r="H381" s="31" t="s">
        <v>36</v>
      </c>
      <c r="I381" s="32" t="n">
        <v>156093371</v>
      </c>
      <c r="J381" s="33" t="n">
        <v>44</v>
      </c>
      <c r="K381" s="33" t="n">
        <v>1</v>
      </c>
      <c r="L381" s="34"/>
      <c r="M381" s="35"/>
      <c r="N381" s="36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9"/>
      <c r="Z381" s="39"/>
      <c r="AA381" s="28"/>
      <c r="AC381" s="2" t="s">
        <v>38</v>
      </c>
      <c r="AMJ381" s="0"/>
    </row>
    <row r="382" s="2" customFormat="true" ht="12.75" hidden="false" customHeight="true" outlineLevel="0" collapsed="false">
      <c r="A382" s="27" t="s">
        <v>879</v>
      </c>
      <c r="B382" s="27" t="s">
        <v>880</v>
      </c>
      <c r="C382" s="28" t="s">
        <v>33</v>
      </c>
      <c r="D382" s="27" t="s">
        <v>645</v>
      </c>
      <c r="E382" s="27" t="s">
        <v>744</v>
      </c>
      <c r="F382" s="29" t="s">
        <v>745</v>
      </c>
      <c r="G382" s="30" t="n">
        <v>75015</v>
      </c>
      <c r="H382" s="31" t="s">
        <v>36</v>
      </c>
      <c r="I382" s="32" t="n">
        <v>156092691</v>
      </c>
      <c r="J382" s="33" t="n">
        <v>44</v>
      </c>
      <c r="K382" s="33" t="n">
        <v>1</v>
      </c>
      <c r="L382" s="34"/>
      <c r="M382" s="35"/>
      <c r="N382" s="36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9"/>
      <c r="Z382" s="39"/>
      <c r="AA382" s="28"/>
      <c r="AC382" s="2" t="s">
        <v>38</v>
      </c>
      <c r="AMJ382" s="0"/>
    </row>
    <row r="383" s="2" customFormat="true" ht="12.75" hidden="false" customHeight="true" outlineLevel="0" collapsed="false">
      <c r="A383" s="27" t="s">
        <v>881</v>
      </c>
      <c r="B383" s="27" t="s">
        <v>558</v>
      </c>
      <c r="C383" s="28" t="s">
        <v>33</v>
      </c>
      <c r="D383" s="27" t="s">
        <v>645</v>
      </c>
      <c r="E383" s="27" t="s">
        <v>744</v>
      </c>
      <c r="F383" s="29" t="s">
        <v>745</v>
      </c>
      <c r="G383" s="30" t="n">
        <v>75015</v>
      </c>
      <c r="H383" s="31" t="s">
        <v>36</v>
      </c>
      <c r="I383" s="32" t="n">
        <v>156093371</v>
      </c>
      <c r="J383" s="33" t="n">
        <v>44</v>
      </c>
      <c r="K383" s="33" t="n">
        <v>0</v>
      </c>
      <c r="L383" s="34"/>
      <c r="M383" s="35"/>
      <c r="N383" s="36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9"/>
      <c r="Z383" s="39"/>
      <c r="AA383" s="28"/>
      <c r="AC383" s="2" t="s">
        <v>38</v>
      </c>
      <c r="AMJ383" s="0"/>
    </row>
    <row r="384" s="2" customFormat="true" ht="12.75" hidden="false" customHeight="true" outlineLevel="0" collapsed="false">
      <c r="A384" s="27" t="s">
        <v>882</v>
      </c>
      <c r="B384" s="27" t="s">
        <v>250</v>
      </c>
      <c r="C384" s="28" t="s">
        <v>33</v>
      </c>
      <c r="D384" s="27" t="s">
        <v>645</v>
      </c>
      <c r="E384" s="27" t="s">
        <v>744</v>
      </c>
      <c r="F384" s="29" t="s">
        <v>745</v>
      </c>
      <c r="G384" s="30" t="n">
        <v>75015</v>
      </c>
      <c r="H384" s="31" t="s">
        <v>36</v>
      </c>
      <c r="I384" s="32" t="n">
        <v>156093218</v>
      </c>
      <c r="J384" s="33" t="n">
        <v>44</v>
      </c>
      <c r="K384" s="33" t="n">
        <v>1</v>
      </c>
      <c r="L384" s="34"/>
      <c r="M384" s="35"/>
      <c r="N384" s="36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9"/>
      <c r="Z384" s="39"/>
      <c r="AA384" s="28"/>
      <c r="AC384" s="2" t="s">
        <v>38</v>
      </c>
      <c r="AMJ384" s="0"/>
    </row>
    <row r="385" s="2" customFormat="true" ht="12.75" hidden="false" customHeight="true" outlineLevel="0" collapsed="false">
      <c r="A385" s="27" t="s">
        <v>883</v>
      </c>
      <c r="B385" s="27" t="s">
        <v>884</v>
      </c>
      <c r="C385" s="28" t="s">
        <v>33</v>
      </c>
      <c r="D385" s="27" t="s">
        <v>645</v>
      </c>
      <c r="E385" s="27" t="s">
        <v>744</v>
      </c>
      <c r="F385" s="29" t="s">
        <v>745</v>
      </c>
      <c r="G385" s="30" t="n">
        <v>75015</v>
      </c>
      <c r="H385" s="31" t="s">
        <v>36</v>
      </c>
      <c r="I385" s="32" t="n">
        <v>156093371</v>
      </c>
      <c r="J385" s="33" t="n">
        <v>34</v>
      </c>
      <c r="K385" s="33" t="n">
        <v>1</v>
      </c>
      <c r="L385" s="34"/>
      <c r="M385" s="35"/>
      <c r="N385" s="36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9"/>
      <c r="Z385" s="39"/>
      <c r="AA385" s="28"/>
      <c r="AC385" s="2" t="s">
        <v>38</v>
      </c>
      <c r="AMJ385" s="0"/>
    </row>
    <row r="386" s="2" customFormat="true" ht="12.75" hidden="false" customHeight="true" outlineLevel="0" collapsed="false">
      <c r="A386" s="27" t="s">
        <v>885</v>
      </c>
      <c r="B386" s="27" t="s">
        <v>579</v>
      </c>
      <c r="C386" s="28" t="s">
        <v>33</v>
      </c>
      <c r="D386" s="27" t="s">
        <v>645</v>
      </c>
      <c r="E386" s="27" t="s">
        <v>744</v>
      </c>
      <c r="F386" s="29" t="s">
        <v>745</v>
      </c>
      <c r="G386" s="30" t="n">
        <v>75015</v>
      </c>
      <c r="H386" s="31" t="s">
        <v>36</v>
      </c>
      <c r="I386" s="32" t="n">
        <v>156093371</v>
      </c>
      <c r="J386" s="33" t="n">
        <v>31</v>
      </c>
      <c r="K386" s="33" t="n">
        <v>1</v>
      </c>
      <c r="L386" s="34"/>
      <c r="M386" s="35"/>
      <c r="N386" s="36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9"/>
      <c r="Z386" s="39"/>
      <c r="AA386" s="28"/>
      <c r="AC386" s="2" t="s">
        <v>38</v>
      </c>
      <c r="AMJ386" s="0"/>
    </row>
    <row r="387" s="2" customFormat="true" ht="12.75" hidden="false" customHeight="true" outlineLevel="0" collapsed="false">
      <c r="A387" s="27" t="s">
        <v>886</v>
      </c>
      <c r="B387" s="27" t="s">
        <v>887</v>
      </c>
      <c r="C387" s="28" t="s">
        <v>33</v>
      </c>
      <c r="D387" s="27" t="s">
        <v>645</v>
      </c>
      <c r="E387" s="27" t="s">
        <v>744</v>
      </c>
      <c r="F387" s="29" t="s">
        <v>745</v>
      </c>
      <c r="G387" s="30" t="n">
        <v>75015</v>
      </c>
      <c r="H387" s="31" t="s">
        <v>36</v>
      </c>
      <c r="I387" s="32" t="n">
        <v>156092286</v>
      </c>
      <c r="J387" s="33" t="n">
        <v>0</v>
      </c>
      <c r="K387" s="33" t="n">
        <v>1</v>
      </c>
      <c r="L387" s="34"/>
      <c r="M387" s="35"/>
      <c r="N387" s="36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9"/>
      <c r="Z387" s="39"/>
      <c r="AA387" s="28"/>
      <c r="AC387" s="2" t="s">
        <v>38</v>
      </c>
      <c r="AMJ387" s="0"/>
    </row>
    <row r="388" s="2" customFormat="true" ht="12.75" hidden="false" customHeight="true" outlineLevel="0" collapsed="false">
      <c r="A388" s="27" t="s">
        <v>888</v>
      </c>
      <c r="B388" s="27" t="s">
        <v>889</v>
      </c>
      <c r="C388" s="28" t="s">
        <v>41</v>
      </c>
      <c r="D388" s="27" t="s">
        <v>645</v>
      </c>
      <c r="E388" s="27"/>
      <c r="F388" s="29" t="s">
        <v>890</v>
      </c>
      <c r="G388" s="30" t="n">
        <v>75015</v>
      </c>
      <c r="H388" s="31" t="s">
        <v>36</v>
      </c>
      <c r="I388" s="32" t="n">
        <v>145581032</v>
      </c>
      <c r="J388" s="33" t="n">
        <v>297</v>
      </c>
      <c r="K388" s="33" t="n">
        <v>5</v>
      </c>
      <c r="L388" s="34"/>
      <c r="M388" s="35"/>
      <c r="N388" s="36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9"/>
      <c r="Z388" s="39"/>
      <c r="AA388" s="28"/>
      <c r="AMJ388" s="0"/>
    </row>
    <row r="389" s="2" customFormat="true" ht="12.75" hidden="false" customHeight="true" outlineLevel="0" collapsed="false">
      <c r="A389" s="27" t="s">
        <v>891</v>
      </c>
      <c r="B389" s="27" t="s">
        <v>892</v>
      </c>
      <c r="C389" s="28" t="s">
        <v>41</v>
      </c>
      <c r="D389" s="27" t="s">
        <v>645</v>
      </c>
      <c r="E389" s="27"/>
      <c r="F389" s="29" t="s">
        <v>893</v>
      </c>
      <c r="G389" s="30" t="n">
        <v>75015</v>
      </c>
      <c r="H389" s="31" t="s">
        <v>36</v>
      </c>
      <c r="I389" s="32" t="n">
        <v>140609434</v>
      </c>
      <c r="J389" s="33" t="n">
        <v>150</v>
      </c>
      <c r="K389" s="33" t="n">
        <v>11</v>
      </c>
      <c r="L389" s="34"/>
      <c r="M389" s="35" t="s">
        <v>164</v>
      </c>
      <c r="N389" s="36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9"/>
      <c r="Z389" s="39"/>
      <c r="AA389" s="28"/>
      <c r="AMJ389" s="0"/>
    </row>
    <row r="390" s="2" customFormat="true" ht="12.75" hidden="false" customHeight="true" outlineLevel="0" collapsed="false">
      <c r="A390" s="27" t="s">
        <v>894</v>
      </c>
      <c r="B390" s="27" t="s">
        <v>714</v>
      </c>
      <c r="C390" s="28" t="s">
        <v>41</v>
      </c>
      <c r="D390" s="27" t="s">
        <v>645</v>
      </c>
      <c r="E390" s="27"/>
      <c r="F390" s="29" t="s">
        <v>895</v>
      </c>
      <c r="G390" s="30" t="n">
        <v>75015</v>
      </c>
      <c r="H390" s="31" t="s">
        <v>36</v>
      </c>
      <c r="I390" s="32"/>
      <c r="J390" s="33" t="n">
        <v>386</v>
      </c>
      <c r="K390" s="33" t="n">
        <v>7</v>
      </c>
      <c r="L390" s="34"/>
      <c r="M390" s="35"/>
      <c r="N390" s="36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9"/>
      <c r="Z390" s="39"/>
      <c r="AA390" s="28"/>
      <c r="AMJ390" s="0"/>
    </row>
    <row r="391" s="2" customFormat="true" ht="12.75" hidden="false" customHeight="true" outlineLevel="0" collapsed="false">
      <c r="A391" s="27" t="s">
        <v>896</v>
      </c>
      <c r="B391" s="27" t="s">
        <v>897</v>
      </c>
      <c r="C391" s="28" t="s">
        <v>33</v>
      </c>
      <c r="D391" s="27" t="s">
        <v>645</v>
      </c>
      <c r="E391" s="27"/>
      <c r="F391" s="29" t="s">
        <v>898</v>
      </c>
      <c r="G391" s="30" t="n">
        <v>75015</v>
      </c>
      <c r="H391" s="31" t="s">
        <v>36</v>
      </c>
      <c r="I391" s="32" t="n">
        <v>145754702</v>
      </c>
      <c r="J391" s="33" t="n">
        <v>0</v>
      </c>
      <c r="K391" s="33" t="n">
        <v>1</v>
      </c>
      <c r="L391" s="34"/>
      <c r="M391" s="35"/>
      <c r="N391" s="36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9"/>
      <c r="Z391" s="39"/>
      <c r="AA391" s="28"/>
      <c r="AC391" s="2" t="s">
        <v>38</v>
      </c>
      <c r="AMJ391" s="0"/>
    </row>
    <row r="392" s="2" customFormat="true" ht="12.75" hidden="false" customHeight="true" outlineLevel="0" collapsed="false">
      <c r="A392" s="27" t="s">
        <v>899</v>
      </c>
      <c r="B392" s="27" t="s">
        <v>455</v>
      </c>
      <c r="C392" s="28" t="s">
        <v>41</v>
      </c>
      <c r="D392" s="27" t="s">
        <v>645</v>
      </c>
      <c r="E392" s="27"/>
      <c r="F392" s="29" t="s">
        <v>900</v>
      </c>
      <c r="G392" s="30" t="n">
        <v>75015</v>
      </c>
      <c r="H392" s="31" t="s">
        <v>36</v>
      </c>
      <c r="I392" s="32"/>
      <c r="J392" s="33" t="n">
        <v>230</v>
      </c>
      <c r="K392" s="33" t="n">
        <v>1</v>
      </c>
      <c r="L392" s="34"/>
      <c r="M392" s="35"/>
      <c r="N392" s="36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9"/>
      <c r="Z392" s="39"/>
      <c r="AA392" s="28"/>
      <c r="AMJ392" s="0"/>
    </row>
    <row r="393" s="2" customFormat="true" ht="12.75" hidden="false" customHeight="true" outlineLevel="0" collapsed="false">
      <c r="A393" s="27" t="s">
        <v>901</v>
      </c>
      <c r="B393" s="27" t="s">
        <v>751</v>
      </c>
      <c r="C393" s="28" t="s">
        <v>41</v>
      </c>
      <c r="D393" s="27" t="s">
        <v>645</v>
      </c>
      <c r="E393" s="27"/>
      <c r="F393" s="29" t="s">
        <v>900</v>
      </c>
      <c r="G393" s="30" t="n">
        <v>75015</v>
      </c>
      <c r="H393" s="31" t="s">
        <v>36</v>
      </c>
      <c r="I393" s="32"/>
      <c r="J393" s="33" t="n">
        <v>181</v>
      </c>
      <c r="K393" s="33" t="n">
        <v>1</v>
      </c>
      <c r="L393" s="34"/>
      <c r="M393" s="35"/>
      <c r="N393" s="36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9"/>
      <c r="Z393" s="39"/>
      <c r="AA393" s="28"/>
      <c r="AMJ393" s="0"/>
    </row>
    <row r="394" s="2" customFormat="true" ht="12.75" hidden="false" customHeight="true" outlineLevel="0" collapsed="false">
      <c r="A394" s="27" t="s">
        <v>902</v>
      </c>
      <c r="B394" s="27" t="s">
        <v>903</v>
      </c>
      <c r="C394" s="28" t="s">
        <v>41</v>
      </c>
      <c r="D394" s="27" t="s">
        <v>645</v>
      </c>
      <c r="E394" s="27"/>
      <c r="F394" s="29" t="s">
        <v>904</v>
      </c>
      <c r="G394" s="30" t="n">
        <v>75015</v>
      </c>
      <c r="H394" s="31" t="s">
        <v>36</v>
      </c>
      <c r="I394" s="32" t="n">
        <v>147342653</v>
      </c>
      <c r="J394" s="33" t="n">
        <v>385</v>
      </c>
      <c r="K394" s="33" t="n">
        <v>1</v>
      </c>
      <c r="L394" s="34"/>
      <c r="M394" s="35"/>
      <c r="N394" s="36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9"/>
      <c r="Z394" s="39"/>
      <c r="AA394" s="28"/>
      <c r="AMJ394" s="0"/>
    </row>
    <row r="395" s="2" customFormat="true" ht="12.75" hidden="false" customHeight="true" outlineLevel="0" collapsed="false">
      <c r="A395" s="27" t="s">
        <v>902</v>
      </c>
      <c r="B395" s="27" t="s">
        <v>905</v>
      </c>
      <c r="C395" s="28" t="s">
        <v>41</v>
      </c>
      <c r="D395" s="27" t="s">
        <v>645</v>
      </c>
      <c r="E395" s="27"/>
      <c r="F395" s="29" t="s">
        <v>904</v>
      </c>
      <c r="G395" s="30" t="n">
        <v>75015</v>
      </c>
      <c r="H395" s="31" t="s">
        <v>36</v>
      </c>
      <c r="I395" s="32" t="n">
        <v>147342653</v>
      </c>
      <c r="J395" s="33" t="n">
        <v>312</v>
      </c>
      <c r="K395" s="33" t="n">
        <v>3</v>
      </c>
      <c r="L395" s="34"/>
      <c r="M395" s="35"/>
      <c r="N395" s="36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9"/>
      <c r="Z395" s="39"/>
      <c r="AA395" s="28"/>
      <c r="AMJ395" s="0"/>
    </row>
    <row r="396" s="2" customFormat="true" ht="12.75" hidden="false" customHeight="true" outlineLevel="0" collapsed="false">
      <c r="A396" s="27" t="s">
        <v>906</v>
      </c>
      <c r="B396" s="27" t="s">
        <v>850</v>
      </c>
      <c r="C396" s="28" t="s">
        <v>113</v>
      </c>
      <c r="D396" s="27" t="s">
        <v>645</v>
      </c>
      <c r="E396" s="27"/>
      <c r="F396" s="29" t="s">
        <v>907</v>
      </c>
      <c r="G396" s="30" t="n">
        <v>75015</v>
      </c>
      <c r="H396" s="31" t="s">
        <v>36</v>
      </c>
      <c r="I396" s="32"/>
      <c r="J396" s="33" t="n">
        <v>68</v>
      </c>
      <c r="K396" s="33"/>
      <c r="L396" s="34"/>
      <c r="M396" s="35"/>
      <c r="N396" s="36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9"/>
      <c r="Z396" s="39"/>
      <c r="AA396" s="28"/>
      <c r="AMJ396" s="0"/>
    </row>
    <row r="397" s="2" customFormat="true" ht="12.75" hidden="false" customHeight="true" outlineLevel="0" collapsed="false">
      <c r="A397" s="27" t="s">
        <v>908</v>
      </c>
      <c r="B397" s="27" t="s">
        <v>909</v>
      </c>
      <c r="C397" s="28" t="s">
        <v>138</v>
      </c>
      <c r="D397" s="27" t="s">
        <v>645</v>
      </c>
      <c r="E397" s="27"/>
      <c r="F397" s="29" t="s">
        <v>910</v>
      </c>
      <c r="G397" s="30" t="n">
        <v>75015</v>
      </c>
      <c r="H397" s="31" t="s">
        <v>36</v>
      </c>
      <c r="I397" s="32" t="n">
        <v>147834459</v>
      </c>
      <c r="J397" s="33" t="n">
        <v>93</v>
      </c>
      <c r="K397" s="33" t="n">
        <v>4</v>
      </c>
      <c r="L397" s="34" t="n">
        <v>1</v>
      </c>
      <c r="M397" s="35" t="s">
        <v>164</v>
      </c>
      <c r="N397" s="36" t="s">
        <v>165</v>
      </c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39" t="n">
        <v>45119.625</v>
      </c>
      <c r="Z397" s="39"/>
      <c r="AA397" s="28" t="n">
        <v>3</v>
      </c>
      <c r="AMJ397" s="0"/>
    </row>
    <row r="398" s="2" customFormat="true" ht="12.75" hidden="false" customHeight="true" outlineLevel="0" collapsed="false">
      <c r="A398" s="27" t="s">
        <v>911</v>
      </c>
      <c r="B398" s="27" t="s">
        <v>189</v>
      </c>
      <c r="C398" s="28" t="s">
        <v>41</v>
      </c>
      <c r="D398" s="27" t="s">
        <v>645</v>
      </c>
      <c r="E398" s="27"/>
      <c r="F398" s="29" t="s">
        <v>910</v>
      </c>
      <c r="G398" s="30" t="n">
        <v>75015</v>
      </c>
      <c r="H398" s="31" t="s">
        <v>36</v>
      </c>
      <c r="I398" s="32" t="n">
        <v>147340420</v>
      </c>
      <c r="J398" s="33" t="n">
        <v>339</v>
      </c>
      <c r="K398" s="33" t="n">
        <v>3</v>
      </c>
      <c r="L398" s="34" t="n">
        <v>1</v>
      </c>
      <c r="M398" s="35" t="s">
        <v>912</v>
      </c>
      <c r="N398" s="36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39"/>
      <c r="Z398" s="39"/>
      <c r="AA398" s="28"/>
      <c r="AMJ398" s="0"/>
    </row>
    <row r="399" s="2" customFormat="true" ht="12.75" hidden="false" customHeight="true" outlineLevel="0" collapsed="false">
      <c r="A399" s="27" t="s">
        <v>913</v>
      </c>
      <c r="B399" s="27" t="s">
        <v>151</v>
      </c>
      <c r="C399" s="28" t="s">
        <v>41</v>
      </c>
      <c r="D399" s="27" t="s">
        <v>645</v>
      </c>
      <c r="E399" s="27"/>
      <c r="F399" s="29" t="s">
        <v>914</v>
      </c>
      <c r="G399" s="30" t="n">
        <v>75015</v>
      </c>
      <c r="H399" s="31" t="s">
        <v>36</v>
      </c>
      <c r="I399" s="32" t="n">
        <v>986727156</v>
      </c>
      <c r="J399" s="33" t="n">
        <v>307</v>
      </c>
      <c r="K399" s="33" t="n">
        <v>1</v>
      </c>
      <c r="L399" s="34"/>
      <c r="M399" s="35"/>
      <c r="N399" s="36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9"/>
      <c r="Z399" s="39"/>
      <c r="AA399" s="28"/>
      <c r="AMJ399" s="0"/>
    </row>
    <row r="400" s="2" customFormat="true" ht="12.75" hidden="false" customHeight="true" outlineLevel="0" collapsed="false">
      <c r="A400" s="27" t="s">
        <v>915</v>
      </c>
      <c r="B400" s="27" t="s">
        <v>916</v>
      </c>
      <c r="C400" s="28" t="s">
        <v>138</v>
      </c>
      <c r="D400" s="27" t="s">
        <v>645</v>
      </c>
      <c r="E400" s="27"/>
      <c r="F400" s="29" t="s">
        <v>917</v>
      </c>
      <c r="G400" s="30" t="n">
        <v>75015</v>
      </c>
      <c r="H400" s="31" t="s">
        <v>36</v>
      </c>
      <c r="I400" s="32" t="n">
        <v>143176502</v>
      </c>
      <c r="J400" s="33" t="n">
        <v>143</v>
      </c>
      <c r="K400" s="33" t="n">
        <v>6</v>
      </c>
      <c r="L400" s="34"/>
      <c r="M400" s="35"/>
      <c r="N400" s="36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9"/>
      <c r="Z400" s="39"/>
      <c r="AA400" s="28"/>
      <c r="AMJ400" s="0"/>
    </row>
    <row r="401" s="2" customFormat="true" ht="12.75" hidden="false" customHeight="true" outlineLevel="0" collapsed="false">
      <c r="A401" s="27" t="s">
        <v>918</v>
      </c>
      <c r="B401" s="27" t="s">
        <v>374</v>
      </c>
      <c r="C401" s="28" t="s">
        <v>33</v>
      </c>
      <c r="D401" s="27" t="s">
        <v>645</v>
      </c>
      <c r="E401" s="27"/>
      <c r="F401" s="29" t="s">
        <v>919</v>
      </c>
      <c r="G401" s="30" t="n">
        <v>75015</v>
      </c>
      <c r="H401" s="31" t="s">
        <v>36</v>
      </c>
      <c r="I401" s="32" t="n">
        <v>145754016</v>
      </c>
      <c r="J401" s="33" t="n">
        <v>57</v>
      </c>
      <c r="K401" s="33" t="n">
        <v>0</v>
      </c>
      <c r="L401" s="34"/>
      <c r="M401" s="35"/>
      <c r="N401" s="36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9"/>
      <c r="Z401" s="39"/>
      <c r="AA401" s="28"/>
      <c r="AC401" s="2" t="s">
        <v>38</v>
      </c>
      <c r="AMJ401" s="0"/>
    </row>
    <row r="402" s="2" customFormat="true" ht="12.75" hidden="false" customHeight="true" outlineLevel="0" collapsed="false">
      <c r="A402" s="27" t="s">
        <v>920</v>
      </c>
      <c r="B402" s="27" t="s">
        <v>344</v>
      </c>
      <c r="C402" s="28" t="s">
        <v>41</v>
      </c>
      <c r="D402" s="27" t="s">
        <v>645</v>
      </c>
      <c r="E402" s="27"/>
      <c r="F402" s="29" t="s">
        <v>921</v>
      </c>
      <c r="G402" s="30" t="n">
        <v>75015</v>
      </c>
      <c r="H402" s="31" t="s">
        <v>36</v>
      </c>
      <c r="I402" s="32" t="n">
        <v>145773829</v>
      </c>
      <c r="J402" s="33" t="n">
        <v>330</v>
      </c>
      <c r="K402" s="33" t="n">
        <v>31</v>
      </c>
      <c r="L402" s="34" t="n">
        <v>2</v>
      </c>
      <c r="M402" s="35" t="s">
        <v>716</v>
      </c>
      <c r="N402" s="36"/>
      <c r="O402" s="41" t="s">
        <v>726</v>
      </c>
      <c r="P402" s="41"/>
      <c r="Q402" s="41" t="s">
        <v>726</v>
      </c>
      <c r="R402" s="41"/>
      <c r="S402" s="41" t="s">
        <v>726</v>
      </c>
      <c r="T402" s="41"/>
      <c r="U402" s="41" t="s">
        <v>726</v>
      </c>
      <c r="V402" s="41"/>
      <c r="W402" s="41" t="s">
        <v>726</v>
      </c>
      <c r="X402" s="41"/>
      <c r="Y402" s="39" t="n">
        <v>45134.5208333333</v>
      </c>
      <c r="Z402" s="39"/>
      <c r="AA402" s="28" t="n">
        <v>3</v>
      </c>
      <c r="AMJ402" s="0"/>
    </row>
    <row r="403" s="2" customFormat="true" ht="12.75" hidden="false" customHeight="true" outlineLevel="0" collapsed="false">
      <c r="A403" s="27" t="s">
        <v>922</v>
      </c>
      <c r="B403" s="27" t="s">
        <v>923</v>
      </c>
      <c r="C403" s="28" t="s">
        <v>41</v>
      </c>
      <c r="D403" s="27" t="s">
        <v>645</v>
      </c>
      <c r="E403" s="27"/>
      <c r="F403" s="29" t="s">
        <v>924</v>
      </c>
      <c r="G403" s="30" t="n">
        <v>75015</v>
      </c>
      <c r="H403" s="31" t="s">
        <v>36</v>
      </c>
      <c r="I403" s="32" t="n">
        <v>145660125</v>
      </c>
      <c r="J403" s="33" t="n">
        <v>400</v>
      </c>
      <c r="K403" s="33" t="n">
        <v>1</v>
      </c>
      <c r="L403" s="34"/>
      <c r="M403" s="35"/>
      <c r="N403" s="36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9"/>
      <c r="Z403" s="39"/>
      <c r="AA403" s="28"/>
      <c r="AMJ403" s="0"/>
    </row>
    <row r="404" s="2" customFormat="true" ht="12.75" hidden="false" customHeight="true" outlineLevel="0" collapsed="false">
      <c r="A404" s="27" t="s">
        <v>925</v>
      </c>
      <c r="B404" s="27" t="s">
        <v>84</v>
      </c>
      <c r="C404" s="28" t="s">
        <v>41</v>
      </c>
      <c r="D404" s="27" t="s">
        <v>645</v>
      </c>
      <c r="E404" s="27"/>
      <c r="F404" s="29" t="s">
        <v>926</v>
      </c>
      <c r="G404" s="30" t="n">
        <v>75015</v>
      </c>
      <c r="H404" s="31" t="s">
        <v>36</v>
      </c>
      <c r="I404" s="32" t="n">
        <v>147835487</v>
      </c>
      <c r="J404" s="33" t="n">
        <v>227</v>
      </c>
      <c r="K404" s="33" t="n">
        <v>5</v>
      </c>
      <c r="L404" s="34"/>
      <c r="M404" s="35"/>
      <c r="N404" s="36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9"/>
      <c r="Z404" s="39"/>
      <c r="AA404" s="28"/>
      <c r="AMJ404" s="0"/>
    </row>
    <row r="405" s="2" customFormat="true" ht="12.75" hidden="false" customHeight="true" outlineLevel="0" collapsed="false">
      <c r="A405" s="27" t="s">
        <v>927</v>
      </c>
      <c r="B405" s="27" t="s">
        <v>928</v>
      </c>
      <c r="C405" s="28" t="s">
        <v>138</v>
      </c>
      <c r="D405" s="27" t="s">
        <v>645</v>
      </c>
      <c r="E405" s="27"/>
      <c r="F405" s="29" t="s">
        <v>929</v>
      </c>
      <c r="G405" s="30" t="n">
        <v>75015</v>
      </c>
      <c r="H405" s="31" t="s">
        <v>36</v>
      </c>
      <c r="I405" s="32" t="n">
        <v>145306695</v>
      </c>
      <c r="J405" s="33" t="n">
        <v>75</v>
      </c>
      <c r="K405" s="33" t="n">
        <v>6</v>
      </c>
      <c r="L405" s="34" t="n">
        <v>3</v>
      </c>
      <c r="M405" s="43" t="s">
        <v>155</v>
      </c>
      <c r="N405" s="36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39" t="n">
        <v>45120.375</v>
      </c>
      <c r="Z405" s="39" t="n">
        <v>45225.4166666667</v>
      </c>
      <c r="AA405" s="28" t="n">
        <v>3</v>
      </c>
      <c r="AMJ405" s="0"/>
    </row>
    <row r="406" s="2" customFormat="true" ht="12.75" hidden="false" customHeight="true" outlineLevel="0" collapsed="false">
      <c r="A406" s="27" t="s">
        <v>930</v>
      </c>
      <c r="B406" s="27" t="s">
        <v>931</v>
      </c>
      <c r="C406" s="28" t="s">
        <v>41</v>
      </c>
      <c r="D406" s="27" t="s">
        <v>645</v>
      </c>
      <c r="E406" s="27"/>
      <c r="F406" s="29" t="s">
        <v>932</v>
      </c>
      <c r="G406" s="30" t="n">
        <v>75015</v>
      </c>
      <c r="H406" s="31" t="s">
        <v>36</v>
      </c>
      <c r="I406" s="32" t="n">
        <v>140650533</v>
      </c>
      <c r="J406" s="33" t="n">
        <v>254</v>
      </c>
      <c r="K406" s="33" t="n">
        <v>1</v>
      </c>
      <c r="L406" s="34"/>
      <c r="M406" s="35"/>
      <c r="N406" s="36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9"/>
      <c r="Z406" s="39"/>
      <c r="AA406" s="28"/>
      <c r="AMJ406" s="0"/>
    </row>
    <row r="407" s="2" customFormat="true" ht="12.75" hidden="false" customHeight="true" outlineLevel="0" collapsed="false">
      <c r="A407" s="27" t="s">
        <v>933</v>
      </c>
      <c r="B407" s="27" t="s">
        <v>669</v>
      </c>
      <c r="C407" s="28" t="s">
        <v>33</v>
      </c>
      <c r="D407" s="27" t="s">
        <v>645</v>
      </c>
      <c r="E407" s="27"/>
      <c r="F407" s="29" t="s">
        <v>934</v>
      </c>
      <c r="G407" s="30" t="n">
        <v>75015</v>
      </c>
      <c r="H407" s="31" t="s">
        <v>36</v>
      </c>
      <c r="I407" s="32" t="n">
        <v>145710011</v>
      </c>
      <c r="J407" s="33" t="n">
        <v>66</v>
      </c>
      <c r="K407" s="33" t="n">
        <v>0</v>
      </c>
      <c r="L407" s="34"/>
      <c r="M407" s="35"/>
      <c r="N407" s="36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9"/>
      <c r="Z407" s="39"/>
      <c r="AA407" s="28"/>
      <c r="AC407" s="2" t="s">
        <v>38</v>
      </c>
      <c r="AMJ407" s="0"/>
    </row>
    <row r="408" s="2" customFormat="true" ht="12.75" hidden="false" customHeight="true" outlineLevel="0" collapsed="false">
      <c r="A408" s="27" t="s">
        <v>935</v>
      </c>
      <c r="B408" s="27" t="s">
        <v>936</v>
      </c>
      <c r="C408" s="28" t="s">
        <v>41</v>
      </c>
      <c r="D408" s="27" t="s">
        <v>645</v>
      </c>
      <c r="E408" s="27"/>
      <c r="F408" s="29" t="s">
        <v>937</v>
      </c>
      <c r="G408" s="30" t="n">
        <v>75015</v>
      </c>
      <c r="H408" s="31" t="s">
        <v>36</v>
      </c>
      <c r="I408" s="32" t="n">
        <v>140601017</v>
      </c>
      <c r="J408" s="33" t="n">
        <v>81</v>
      </c>
      <c r="K408" s="33" t="n">
        <v>1</v>
      </c>
      <c r="L408" s="34"/>
      <c r="M408" s="35"/>
      <c r="N408" s="36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9"/>
      <c r="Z408" s="39"/>
      <c r="AA408" s="28"/>
      <c r="AMJ408" s="0"/>
    </row>
    <row r="409" s="2" customFormat="true" ht="12.75" hidden="false" customHeight="true" outlineLevel="0" collapsed="false">
      <c r="A409" s="27" t="s">
        <v>938</v>
      </c>
      <c r="B409" s="27" t="s">
        <v>939</v>
      </c>
      <c r="C409" s="28" t="s">
        <v>41</v>
      </c>
      <c r="D409" s="27" t="s">
        <v>645</v>
      </c>
      <c r="E409" s="27"/>
      <c r="F409" s="29" t="s">
        <v>937</v>
      </c>
      <c r="G409" s="30" t="n">
        <v>75015</v>
      </c>
      <c r="H409" s="31" t="s">
        <v>36</v>
      </c>
      <c r="I409" s="32" t="n">
        <v>140601017</v>
      </c>
      <c r="J409" s="33" t="n">
        <v>81</v>
      </c>
      <c r="K409" s="33" t="n">
        <v>1</v>
      </c>
      <c r="L409" s="34"/>
      <c r="M409" s="35"/>
      <c r="N409" s="36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9"/>
      <c r="Z409" s="39"/>
      <c r="AA409" s="28"/>
      <c r="AMJ409" s="0"/>
    </row>
    <row r="410" s="2" customFormat="true" ht="12.75" hidden="false" customHeight="true" outlineLevel="0" collapsed="false">
      <c r="A410" s="27" t="s">
        <v>940</v>
      </c>
      <c r="B410" s="27" t="s">
        <v>537</v>
      </c>
      <c r="C410" s="28" t="s">
        <v>138</v>
      </c>
      <c r="D410" s="27" t="s">
        <v>645</v>
      </c>
      <c r="E410" s="27"/>
      <c r="F410" s="29" t="s">
        <v>941</v>
      </c>
      <c r="G410" s="30" t="n">
        <v>75015</v>
      </c>
      <c r="H410" s="31" t="s">
        <v>36</v>
      </c>
      <c r="I410" s="32" t="n">
        <v>145781090</v>
      </c>
      <c r="J410" s="33" t="n">
        <v>228</v>
      </c>
      <c r="K410" s="33" t="n">
        <v>1</v>
      </c>
      <c r="L410" s="34"/>
      <c r="M410" s="35"/>
      <c r="N410" s="36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9"/>
      <c r="Z410" s="39"/>
      <c r="AA410" s="28"/>
      <c r="AMJ410" s="0"/>
    </row>
    <row r="411" s="2" customFormat="true" ht="12.75" hidden="false" customHeight="true" outlineLevel="0" collapsed="false">
      <c r="A411" s="27" t="s">
        <v>942</v>
      </c>
      <c r="B411" s="27" t="s">
        <v>664</v>
      </c>
      <c r="C411" s="28" t="s">
        <v>41</v>
      </c>
      <c r="D411" s="27" t="s">
        <v>645</v>
      </c>
      <c r="E411" s="27"/>
      <c r="F411" s="29" t="s">
        <v>943</v>
      </c>
      <c r="G411" s="30" t="n">
        <v>75015</v>
      </c>
      <c r="H411" s="31" t="s">
        <v>36</v>
      </c>
      <c r="I411" s="32" t="n">
        <v>145781213</v>
      </c>
      <c r="J411" s="33" t="n">
        <v>343</v>
      </c>
      <c r="K411" s="33" t="n">
        <v>1</v>
      </c>
      <c r="L411" s="34"/>
      <c r="M411" s="35"/>
      <c r="N411" s="36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9"/>
      <c r="Z411" s="39"/>
      <c r="AA411" s="28"/>
      <c r="AMJ411" s="0"/>
    </row>
    <row r="412" s="2" customFormat="true" ht="12.75" hidden="false" customHeight="true" outlineLevel="0" collapsed="false">
      <c r="A412" s="27" t="s">
        <v>944</v>
      </c>
      <c r="B412" s="27" t="s">
        <v>945</v>
      </c>
      <c r="C412" s="28" t="s">
        <v>33</v>
      </c>
      <c r="D412" s="27" t="s">
        <v>645</v>
      </c>
      <c r="E412" s="27"/>
      <c r="F412" s="29" t="s">
        <v>946</v>
      </c>
      <c r="G412" s="30" t="n">
        <v>75015</v>
      </c>
      <c r="H412" s="31" t="s">
        <v>36</v>
      </c>
      <c r="I412" s="32" t="n">
        <v>140598032</v>
      </c>
      <c r="J412" s="33" t="n">
        <v>66</v>
      </c>
      <c r="K412" s="33" t="n">
        <v>1</v>
      </c>
      <c r="L412" s="34"/>
      <c r="M412" s="35"/>
      <c r="N412" s="36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9"/>
      <c r="Z412" s="39"/>
      <c r="AA412" s="28"/>
      <c r="AC412" s="2" t="s">
        <v>108</v>
      </c>
      <c r="AE412" s="2" t="s">
        <v>947</v>
      </c>
      <c r="AMJ412" s="0"/>
    </row>
    <row r="413" s="2" customFormat="true" ht="12.75" hidden="false" customHeight="true" outlineLevel="0" collapsed="false">
      <c r="A413" s="27" t="s">
        <v>948</v>
      </c>
      <c r="B413" s="27" t="s">
        <v>949</v>
      </c>
      <c r="C413" s="28" t="s">
        <v>41</v>
      </c>
      <c r="D413" s="27" t="s">
        <v>645</v>
      </c>
      <c r="E413" s="27"/>
      <c r="F413" s="29" t="s">
        <v>950</v>
      </c>
      <c r="G413" s="30" t="n">
        <v>75015</v>
      </c>
      <c r="H413" s="31" t="s">
        <v>36</v>
      </c>
      <c r="I413" s="32" t="n">
        <v>145543847</v>
      </c>
      <c r="J413" s="33" t="n">
        <v>527</v>
      </c>
      <c r="K413" s="33" t="n">
        <v>25</v>
      </c>
      <c r="L413" s="34" t="n">
        <v>2</v>
      </c>
      <c r="M413" s="43" t="s">
        <v>155</v>
      </c>
      <c r="N413" s="36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39" t="n">
        <v>45132.3958333333</v>
      </c>
      <c r="Z413" s="39" t="n">
        <v>45266.375</v>
      </c>
      <c r="AA413" s="28" t="n">
        <v>3</v>
      </c>
      <c r="AMJ413" s="0"/>
    </row>
    <row r="414" s="2" customFormat="true" ht="12.75" hidden="false" customHeight="true" outlineLevel="0" collapsed="false">
      <c r="A414" s="27" t="s">
        <v>951</v>
      </c>
      <c r="B414" s="27" t="s">
        <v>952</v>
      </c>
      <c r="C414" s="28" t="s">
        <v>178</v>
      </c>
      <c r="D414" s="27" t="s">
        <v>645</v>
      </c>
      <c r="E414" s="27"/>
      <c r="F414" s="29" t="s">
        <v>953</v>
      </c>
      <c r="G414" s="30" t="n">
        <v>75015</v>
      </c>
      <c r="H414" s="31" t="s">
        <v>36</v>
      </c>
      <c r="I414" s="32"/>
      <c r="J414" s="33" t="n">
        <v>259</v>
      </c>
      <c r="K414" s="33" t="n">
        <v>25</v>
      </c>
      <c r="L414" s="34"/>
      <c r="M414" s="44" t="s">
        <v>700</v>
      </c>
      <c r="N414" s="36" t="s">
        <v>101</v>
      </c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9"/>
      <c r="Z414" s="39"/>
      <c r="AA414" s="28" t="n">
        <v>3</v>
      </c>
      <c r="AMJ414" s="0"/>
    </row>
    <row r="415" s="2" customFormat="true" ht="12.75" hidden="false" customHeight="true" outlineLevel="0" collapsed="false">
      <c r="A415" s="27" t="s">
        <v>954</v>
      </c>
      <c r="B415" s="27" t="s">
        <v>955</v>
      </c>
      <c r="C415" s="28" t="s">
        <v>33</v>
      </c>
      <c r="D415" s="27" t="s">
        <v>645</v>
      </c>
      <c r="E415" s="27"/>
      <c r="F415" s="29" t="s">
        <v>956</v>
      </c>
      <c r="G415" s="30" t="n">
        <v>75015</v>
      </c>
      <c r="H415" s="31" t="s">
        <v>36</v>
      </c>
      <c r="I415" s="32" t="n">
        <v>145581736</v>
      </c>
      <c r="J415" s="33" t="n">
        <v>78</v>
      </c>
      <c r="K415" s="33" t="n">
        <v>1</v>
      </c>
      <c r="L415" s="34"/>
      <c r="M415" s="35"/>
      <c r="N415" s="36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9"/>
      <c r="Z415" s="39"/>
      <c r="AA415" s="28"/>
      <c r="AC415" s="2" t="s">
        <v>38</v>
      </c>
      <c r="AMJ415" s="0"/>
    </row>
    <row r="416" s="2" customFormat="true" ht="12.75" hidden="false" customHeight="true" outlineLevel="0" collapsed="false">
      <c r="A416" s="27" t="s">
        <v>957</v>
      </c>
      <c r="B416" s="27" t="s">
        <v>958</v>
      </c>
      <c r="C416" s="28" t="s">
        <v>121</v>
      </c>
      <c r="D416" s="27" t="s">
        <v>645</v>
      </c>
      <c r="E416" s="27"/>
      <c r="F416" s="29" t="s">
        <v>959</v>
      </c>
      <c r="G416" s="30" t="n">
        <v>75015</v>
      </c>
      <c r="H416" s="31" t="s">
        <v>36</v>
      </c>
      <c r="I416" s="32" t="n">
        <v>142733362</v>
      </c>
      <c r="J416" s="33" t="n">
        <v>173</v>
      </c>
      <c r="K416" s="33" t="n">
        <v>6</v>
      </c>
      <c r="L416" s="34"/>
      <c r="M416" s="35"/>
      <c r="N416" s="36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9"/>
      <c r="Z416" s="39"/>
      <c r="AA416" s="28"/>
      <c r="AMJ416" s="0"/>
    </row>
    <row r="417" s="2" customFormat="true" ht="12.75" hidden="false" customHeight="true" outlineLevel="0" collapsed="false">
      <c r="A417" s="27" t="s">
        <v>960</v>
      </c>
      <c r="B417" s="27" t="s">
        <v>177</v>
      </c>
      <c r="C417" s="28" t="s">
        <v>121</v>
      </c>
      <c r="D417" s="27" t="s">
        <v>645</v>
      </c>
      <c r="E417" s="27"/>
      <c r="F417" s="29" t="s">
        <v>959</v>
      </c>
      <c r="G417" s="30" t="n">
        <v>75015</v>
      </c>
      <c r="H417" s="31" t="s">
        <v>36</v>
      </c>
      <c r="I417" s="32" t="n">
        <v>142733362</v>
      </c>
      <c r="J417" s="33" t="n">
        <v>107</v>
      </c>
      <c r="K417" s="33" t="n">
        <v>6</v>
      </c>
      <c r="L417" s="34"/>
      <c r="M417" s="35"/>
      <c r="N417" s="36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9"/>
      <c r="Z417" s="39"/>
      <c r="AA417" s="28"/>
      <c r="AMJ417" s="0"/>
    </row>
    <row r="418" s="2" customFormat="true" ht="12.75" hidden="false" customHeight="true" outlineLevel="0" collapsed="false">
      <c r="A418" s="27" t="s">
        <v>961</v>
      </c>
      <c r="B418" s="27" t="s">
        <v>962</v>
      </c>
      <c r="C418" s="28" t="s">
        <v>121</v>
      </c>
      <c r="D418" s="27" t="s">
        <v>645</v>
      </c>
      <c r="E418" s="27"/>
      <c r="F418" s="29" t="s">
        <v>963</v>
      </c>
      <c r="G418" s="30" t="n">
        <v>75015</v>
      </c>
      <c r="H418" s="31" t="s">
        <v>36</v>
      </c>
      <c r="I418" s="32" t="n">
        <v>145540096</v>
      </c>
      <c r="J418" s="33" t="n">
        <v>203</v>
      </c>
      <c r="K418" s="33" t="n">
        <v>6</v>
      </c>
      <c r="L418" s="34" t="n">
        <v>1</v>
      </c>
      <c r="M418" s="35" t="s">
        <v>164</v>
      </c>
      <c r="N418" s="36" t="s">
        <v>165</v>
      </c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39" t="n">
        <v>45120.4166666667</v>
      </c>
      <c r="Z418" s="39"/>
      <c r="AA418" s="28" t="n">
        <v>3</v>
      </c>
      <c r="AMJ418" s="0"/>
    </row>
    <row r="419" s="2" customFormat="true" ht="12.75" hidden="false" customHeight="true" outlineLevel="0" collapsed="false">
      <c r="A419" s="27" t="s">
        <v>964</v>
      </c>
      <c r="B419" s="27" t="s">
        <v>329</v>
      </c>
      <c r="C419" s="28" t="s">
        <v>138</v>
      </c>
      <c r="D419" s="27" t="s">
        <v>645</v>
      </c>
      <c r="E419" s="27"/>
      <c r="F419" s="29" t="s">
        <v>965</v>
      </c>
      <c r="G419" s="30" t="n">
        <v>75015</v>
      </c>
      <c r="H419" s="31" t="s">
        <v>36</v>
      </c>
      <c r="I419" s="32"/>
      <c r="J419" s="33" t="n">
        <v>115</v>
      </c>
      <c r="K419" s="33" t="n">
        <v>2</v>
      </c>
      <c r="L419" s="34"/>
      <c r="M419" s="35"/>
      <c r="N419" s="36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9"/>
      <c r="Z419" s="39"/>
      <c r="AA419" s="28"/>
      <c r="AMJ419" s="0"/>
    </row>
    <row r="420" s="2" customFormat="true" ht="12.75" hidden="false" customHeight="true" outlineLevel="0" collapsed="false">
      <c r="A420" s="27" t="s">
        <v>966</v>
      </c>
      <c r="B420" s="27" t="s">
        <v>967</v>
      </c>
      <c r="C420" s="28" t="s">
        <v>121</v>
      </c>
      <c r="D420" s="27" t="s">
        <v>645</v>
      </c>
      <c r="E420" s="27"/>
      <c r="F420" s="29" t="s">
        <v>965</v>
      </c>
      <c r="G420" s="30" t="n">
        <v>75015</v>
      </c>
      <c r="H420" s="31" t="s">
        <v>36</v>
      </c>
      <c r="I420" s="32"/>
      <c r="J420" s="33" t="n">
        <v>137</v>
      </c>
      <c r="K420" s="33" t="n">
        <v>2</v>
      </c>
      <c r="L420" s="34"/>
      <c r="M420" s="35"/>
      <c r="N420" s="36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9"/>
      <c r="Z420" s="39"/>
      <c r="AA420" s="28"/>
      <c r="AMJ420" s="0"/>
    </row>
    <row r="421" s="2" customFormat="true" ht="12.75" hidden="false" customHeight="true" outlineLevel="0" collapsed="false">
      <c r="A421" s="27" t="s">
        <v>968</v>
      </c>
      <c r="B421" s="27" t="s">
        <v>149</v>
      </c>
      <c r="C421" s="28" t="s">
        <v>121</v>
      </c>
      <c r="D421" s="27" t="s">
        <v>645</v>
      </c>
      <c r="E421" s="27"/>
      <c r="F421" s="29" t="s">
        <v>969</v>
      </c>
      <c r="G421" s="30" t="n">
        <v>75015</v>
      </c>
      <c r="H421" s="31" t="s">
        <v>36</v>
      </c>
      <c r="I421" s="32" t="n">
        <v>169792308</v>
      </c>
      <c r="J421" s="33" t="n">
        <v>155</v>
      </c>
      <c r="K421" s="33" t="n">
        <v>6</v>
      </c>
      <c r="L421" s="34"/>
      <c r="M421" s="35"/>
      <c r="N421" s="36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9"/>
      <c r="Z421" s="39"/>
      <c r="AA421" s="28"/>
      <c r="AMJ421" s="0"/>
    </row>
    <row r="422" s="2" customFormat="true" ht="12.75" hidden="false" customHeight="true" outlineLevel="0" collapsed="false">
      <c r="A422" s="27" t="s">
        <v>970</v>
      </c>
      <c r="B422" s="27" t="s">
        <v>971</v>
      </c>
      <c r="C422" s="28" t="s">
        <v>33</v>
      </c>
      <c r="D422" s="27" t="s">
        <v>645</v>
      </c>
      <c r="E422" s="27"/>
      <c r="F422" s="29" t="s">
        <v>969</v>
      </c>
      <c r="G422" s="30" t="n">
        <v>75015</v>
      </c>
      <c r="H422" s="31" t="s">
        <v>36</v>
      </c>
      <c r="I422" s="32" t="n">
        <v>180060795</v>
      </c>
      <c r="J422" s="33" t="n">
        <v>60</v>
      </c>
      <c r="K422" s="33" t="n">
        <v>1</v>
      </c>
      <c r="L422" s="34"/>
      <c r="M422" s="35"/>
      <c r="N422" s="36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9"/>
      <c r="Z422" s="39"/>
      <c r="AA422" s="28"/>
      <c r="AMJ422" s="0"/>
    </row>
    <row r="423" s="2" customFormat="true" ht="12.75" hidden="false" customHeight="true" outlineLevel="0" collapsed="false">
      <c r="A423" s="27" t="s">
        <v>972</v>
      </c>
      <c r="B423" s="27" t="s">
        <v>973</v>
      </c>
      <c r="C423" s="28" t="s">
        <v>33</v>
      </c>
      <c r="D423" s="27" t="s">
        <v>645</v>
      </c>
      <c r="E423" s="27"/>
      <c r="F423" s="29" t="s">
        <v>974</v>
      </c>
      <c r="G423" s="30" t="n">
        <v>75015</v>
      </c>
      <c r="H423" s="31" t="s">
        <v>36</v>
      </c>
      <c r="I423" s="32" t="n">
        <v>153987474</v>
      </c>
      <c r="J423" s="33" t="n">
        <v>53</v>
      </c>
      <c r="K423" s="33" t="n">
        <v>1</v>
      </c>
      <c r="L423" s="34"/>
      <c r="M423" s="35"/>
      <c r="N423" s="36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9"/>
      <c r="Z423" s="39"/>
      <c r="AA423" s="28"/>
      <c r="AC423" s="2" t="s">
        <v>218</v>
      </c>
      <c r="AMJ423" s="0"/>
    </row>
    <row r="424" s="2" customFormat="true" ht="12.75" hidden="false" customHeight="true" outlineLevel="0" collapsed="false">
      <c r="A424" s="27" t="s">
        <v>975</v>
      </c>
      <c r="B424" s="27" t="s">
        <v>976</v>
      </c>
      <c r="C424" s="28" t="s">
        <v>33</v>
      </c>
      <c r="D424" s="27" t="s">
        <v>645</v>
      </c>
      <c r="E424" s="27"/>
      <c r="F424" s="29" t="s">
        <v>974</v>
      </c>
      <c r="G424" s="30" t="n">
        <v>75015</v>
      </c>
      <c r="H424" s="31" t="s">
        <v>36</v>
      </c>
      <c r="I424" s="32" t="n">
        <v>153987474</v>
      </c>
      <c r="J424" s="33" t="n">
        <v>44</v>
      </c>
      <c r="K424" s="33" t="n">
        <v>0</v>
      </c>
      <c r="L424" s="34"/>
      <c r="M424" s="35"/>
      <c r="N424" s="36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9"/>
      <c r="Z424" s="39"/>
      <c r="AA424" s="28"/>
      <c r="AC424" s="2" t="s">
        <v>38</v>
      </c>
      <c r="AMJ424" s="0"/>
    </row>
    <row r="425" s="2" customFormat="true" ht="12.75" hidden="false" customHeight="true" outlineLevel="0" collapsed="false">
      <c r="A425" s="27" t="s">
        <v>977</v>
      </c>
      <c r="B425" s="27" t="s">
        <v>978</v>
      </c>
      <c r="C425" s="28" t="s">
        <v>77</v>
      </c>
      <c r="D425" s="27" t="s">
        <v>645</v>
      </c>
      <c r="E425" s="27"/>
      <c r="F425" s="29" t="s">
        <v>979</v>
      </c>
      <c r="G425" s="30" t="n">
        <v>75015</v>
      </c>
      <c r="H425" s="31" t="s">
        <v>36</v>
      </c>
      <c r="I425" s="32" t="n">
        <v>144611786</v>
      </c>
      <c r="J425" s="33" t="n">
        <v>298</v>
      </c>
      <c r="K425" s="33" t="n">
        <v>1</v>
      </c>
      <c r="L425" s="34"/>
      <c r="M425" s="35"/>
      <c r="N425" s="36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9"/>
      <c r="Z425" s="39"/>
      <c r="AA425" s="28"/>
      <c r="AMJ425" s="0"/>
    </row>
    <row r="426" s="2" customFormat="true" ht="12.75" hidden="false" customHeight="true" outlineLevel="0" collapsed="false">
      <c r="A426" s="27" t="s">
        <v>980</v>
      </c>
      <c r="B426" s="27" t="s">
        <v>981</v>
      </c>
      <c r="C426" s="28" t="s">
        <v>41</v>
      </c>
      <c r="D426" s="27" t="s">
        <v>645</v>
      </c>
      <c r="E426" s="27"/>
      <c r="F426" s="29" t="s">
        <v>982</v>
      </c>
      <c r="G426" s="30" t="n">
        <v>75015</v>
      </c>
      <c r="H426" s="31" t="s">
        <v>36</v>
      </c>
      <c r="I426" s="32" t="n">
        <v>981995764</v>
      </c>
      <c r="J426" s="33" t="n">
        <v>258</v>
      </c>
      <c r="K426" s="33" t="n">
        <v>1</v>
      </c>
      <c r="L426" s="34"/>
      <c r="M426" s="35"/>
      <c r="N426" s="36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9"/>
      <c r="Z426" s="39"/>
      <c r="AA426" s="28"/>
      <c r="AMJ426" s="0"/>
    </row>
    <row r="427" s="2" customFormat="true" ht="12.75" hidden="false" customHeight="true" outlineLevel="0" collapsed="false">
      <c r="A427" s="27" t="s">
        <v>983</v>
      </c>
      <c r="B427" s="27" t="s">
        <v>984</v>
      </c>
      <c r="C427" s="28" t="s">
        <v>33</v>
      </c>
      <c r="D427" s="27" t="s">
        <v>645</v>
      </c>
      <c r="E427" s="27"/>
      <c r="F427" s="29" t="s">
        <v>985</v>
      </c>
      <c r="G427" s="30" t="n">
        <v>75015</v>
      </c>
      <c r="H427" s="31" t="s">
        <v>36</v>
      </c>
      <c r="I427" s="32" t="n">
        <v>140710868</v>
      </c>
      <c r="J427" s="33" t="n">
        <v>51</v>
      </c>
      <c r="K427" s="33" t="n">
        <v>1</v>
      </c>
      <c r="L427" s="34"/>
      <c r="M427" s="35"/>
      <c r="N427" s="36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9"/>
      <c r="Z427" s="39"/>
      <c r="AA427" s="28"/>
      <c r="AC427" s="2" t="s">
        <v>413</v>
      </c>
      <c r="AMJ427" s="0"/>
    </row>
    <row r="428" s="2" customFormat="true" ht="12.75" hidden="false" customHeight="true" outlineLevel="0" collapsed="false">
      <c r="A428" s="27" t="s">
        <v>986</v>
      </c>
      <c r="B428" s="27" t="s">
        <v>344</v>
      </c>
      <c r="C428" s="28" t="s">
        <v>33</v>
      </c>
      <c r="D428" s="27" t="s">
        <v>645</v>
      </c>
      <c r="E428" s="27"/>
      <c r="F428" s="29" t="s">
        <v>987</v>
      </c>
      <c r="G428" s="30" t="n">
        <v>75015</v>
      </c>
      <c r="H428" s="31" t="s">
        <v>36</v>
      </c>
      <c r="I428" s="32" t="n">
        <v>140609689</v>
      </c>
      <c r="J428" s="33" t="n">
        <v>56</v>
      </c>
      <c r="K428" s="33" t="n">
        <v>0</v>
      </c>
      <c r="L428" s="34"/>
      <c r="M428" s="35"/>
      <c r="N428" s="36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9"/>
      <c r="Z428" s="39"/>
      <c r="AA428" s="28"/>
      <c r="AC428" s="2" t="s">
        <v>413</v>
      </c>
      <c r="AMJ428" s="0"/>
    </row>
    <row r="429" s="2" customFormat="true" ht="12.75" hidden="false" customHeight="true" outlineLevel="0" collapsed="false">
      <c r="A429" s="27" t="s">
        <v>988</v>
      </c>
      <c r="B429" s="27" t="s">
        <v>525</v>
      </c>
      <c r="C429" s="28" t="s">
        <v>113</v>
      </c>
      <c r="D429" s="27" t="s">
        <v>645</v>
      </c>
      <c r="E429" s="27"/>
      <c r="F429" s="29" t="s">
        <v>989</v>
      </c>
      <c r="G429" s="30" t="n">
        <v>75015</v>
      </c>
      <c r="H429" s="31" t="s">
        <v>36</v>
      </c>
      <c r="I429" s="32" t="n">
        <v>140604900</v>
      </c>
      <c r="J429" s="33" t="n">
        <v>44</v>
      </c>
      <c r="K429" s="33"/>
      <c r="L429" s="34"/>
      <c r="M429" s="35"/>
      <c r="N429" s="36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9"/>
      <c r="Z429" s="39"/>
      <c r="AA429" s="28"/>
      <c r="AMJ429" s="0"/>
    </row>
    <row r="430" s="2" customFormat="true" ht="12.75" hidden="false" customHeight="true" outlineLevel="0" collapsed="false">
      <c r="A430" s="27" t="s">
        <v>990</v>
      </c>
      <c r="B430" s="27" t="s">
        <v>406</v>
      </c>
      <c r="C430" s="28" t="s">
        <v>178</v>
      </c>
      <c r="D430" s="27" t="s">
        <v>645</v>
      </c>
      <c r="E430" s="27"/>
      <c r="F430" s="29" t="s">
        <v>991</v>
      </c>
      <c r="G430" s="30" t="n">
        <v>75015</v>
      </c>
      <c r="H430" s="31" t="s">
        <v>36</v>
      </c>
      <c r="I430" s="32" t="n">
        <v>145778720</v>
      </c>
      <c r="J430" s="33" t="n">
        <v>413</v>
      </c>
      <c r="K430" s="33" t="n">
        <v>5</v>
      </c>
      <c r="L430" s="34" t="n">
        <v>3</v>
      </c>
      <c r="M430" s="35" t="s">
        <v>912</v>
      </c>
      <c r="N430" s="36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39"/>
      <c r="Z430" s="39"/>
      <c r="AA430" s="28"/>
      <c r="AMJ430" s="0"/>
    </row>
    <row r="431" s="2" customFormat="true" ht="12.75" hidden="false" customHeight="true" outlineLevel="0" collapsed="false">
      <c r="A431" s="27" t="s">
        <v>992</v>
      </c>
      <c r="B431" s="27" t="s">
        <v>993</v>
      </c>
      <c r="C431" s="28" t="s">
        <v>178</v>
      </c>
      <c r="D431" s="27" t="s">
        <v>645</v>
      </c>
      <c r="E431" s="27"/>
      <c r="F431" s="29" t="s">
        <v>991</v>
      </c>
      <c r="G431" s="30" t="n">
        <v>75015</v>
      </c>
      <c r="H431" s="31" t="s">
        <v>36</v>
      </c>
      <c r="I431" s="32" t="n">
        <v>142937904</v>
      </c>
      <c r="J431" s="33" t="n">
        <v>333</v>
      </c>
      <c r="K431" s="33" t="n">
        <v>6</v>
      </c>
      <c r="L431" s="34" t="n">
        <v>3</v>
      </c>
      <c r="M431" s="35" t="s">
        <v>164</v>
      </c>
      <c r="N431" s="36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39"/>
      <c r="Z431" s="39"/>
      <c r="AA431" s="28" t="n">
        <v>3</v>
      </c>
      <c r="AMJ431" s="0"/>
    </row>
    <row r="432" s="2" customFormat="true" ht="12.75" hidden="false" customHeight="true" outlineLevel="0" collapsed="false">
      <c r="A432" s="40" t="s">
        <v>994</v>
      </c>
      <c r="B432" s="27"/>
      <c r="C432" s="3"/>
      <c r="D432" s="4" t="s">
        <v>645</v>
      </c>
      <c r="E432" s="0"/>
      <c r="F432" s="4" t="s">
        <v>995</v>
      </c>
      <c r="G432" s="5" t="n">
        <v>75015</v>
      </c>
      <c r="H432" s="5" t="s">
        <v>36</v>
      </c>
      <c r="I432" s="7"/>
      <c r="J432" s="8"/>
      <c r="K432" s="8"/>
      <c r="L432" s="9"/>
      <c r="M432" s="10"/>
      <c r="N432" s="11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39" t="n">
        <v>45182.6354166667</v>
      </c>
      <c r="Z432" s="13"/>
      <c r="AA432" s="14"/>
      <c r="AMJ432" s="0"/>
    </row>
    <row r="433" s="2" customFormat="true" ht="12.75" hidden="false" customHeight="true" outlineLevel="0" collapsed="false">
      <c r="A433" s="27" t="s">
        <v>996</v>
      </c>
      <c r="B433" s="27" t="s">
        <v>195</v>
      </c>
      <c r="C433" s="28" t="s">
        <v>41</v>
      </c>
      <c r="D433" s="27" t="s">
        <v>645</v>
      </c>
      <c r="E433" s="27"/>
      <c r="F433" s="29" t="s">
        <v>997</v>
      </c>
      <c r="G433" s="30" t="n">
        <v>75015</v>
      </c>
      <c r="H433" s="31" t="s">
        <v>36</v>
      </c>
      <c r="I433" s="32" t="n">
        <v>142502087</v>
      </c>
      <c r="J433" s="33" t="n">
        <v>341</v>
      </c>
      <c r="K433" s="33" t="n">
        <v>1</v>
      </c>
      <c r="L433" s="34"/>
      <c r="M433" s="35"/>
      <c r="N433" s="36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9"/>
      <c r="Z433" s="39"/>
      <c r="AA433" s="28"/>
      <c r="AMJ433" s="0"/>
    </row>
    <row r="434" s="2" customFormat="true" ht="12.75" hidden="false" customHeight="true" outlineLevel="0" collapsed="false">
      <c r="A434" s="27" t="s">
        <v>998</v>
      </c>
      <c r="B434" s="27" t="s">
        <v>999</v>
      </c>
      <c r="C434" s="28" t="s">
        <v>41</v>
      </c>
      <c r="D434" s="27" t="s">
        <v>645</v>
      </c>
      <c r="E434" s="27"/>
      <c r="F434" s="29" t="s">
        <v>1000</v>
      </c>
      <c r="G434" s="30" t="n">
        <v>75015</v>
      </c>
      <c r="H434" s="31" t="s">
        <v>36</v>
      </c>
      <c r="I434" s="32" t="n">
        <v>140542493</v>
      </c>
      <c r="J434" s="33" t="n">
        <v>215</v>
      </c>
      <c r="K434" s="33" t="n">
        <v>6</v>
      </c>
      <c r="L434" s="34"/>
      <c r="M434" s="35"/>
      <c r="N434" s="36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9"/>
      <c r="Z434" s="39"/>
      <c r="AA434" s="28"/>
      <c r="AMJ434" s="0"/>
    </row>
    <row r="435" s="2" customFormat="true" ht="12.75" hidden="false" customHeight="true" outlineLevel="0" collapsed="false">
      <c r="A435" s="27" t="s">
        <v>1001</v>
      </c>
      <c r="B435" s="27" t="s">
        <v>1002</v>
      </c>
      <c r="C435" s="28" t="s">
        <v>41</v>
      </c>
      <c r="D435" s="27" t="s">
        <v>645</v>
      </c>
      <c r="E435" s="27"/>
      <c r="F435" s="29" t="s">
        <v>1000</v>
      </c>
      <c r="G435" s="30" t="n">
        <v>75015</v>
      </c>
      <c r="H435" s="31" t="s">
        <v>36</v>
      </c>
      <c r="I435" s="32" t="n">
        <v>140542493</v>
      </c>
      <c r="J435" s="33" t="n">
        <v>179</v>
      </c>
      <c r="K435" s="33" t="n">
        <v>4</v>
      </c>
      <c r="L435" s="34"/>
      <c r="M435" s="35"/>
      <c r="N435" s="36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9"/>
      <c r="Z435" s="39"/>
      <c r="AA435" s="28"/>
      <c r="AMJ435" s="0"/>
    </row>
    <row r="436" s="2" customFormat="true" ht="12.75" hidden="false" customHeight="true" outlineLevel="0" collapsed="false">
      <c r="A436" s="27" t="s">
        <v>1003</v>
      </c>
      <c r="B436" s="27" t="s">
        <v>1004</v>
      </c>
      <c r="C436" s="28" t="s">
        <v>41</v>
      </c>
      <c r="D436" s="27" t="s">
        <v>645</v>
      </c>
      <c r="E436" s="27"/>
      <c r="F436" s="29" t="s">
        <v>1005</v>
      </c>
      <c r="G436" s="30" t="n">
        <v>75015</v>
      </c>
      <c r="H436" s="31" t="s">
        <v>36</v>
      </c>
      <c r="I436" s="32" t="n">
        <v>147833671</v>
      </c>
      <c r="J436" s="33" t="n">
        <v>333</v>
      </c>
      <c r="K436" s="33" t="n">
        <v>1</v>
      </c>
      <c r="L436" s="34"/>
      <c r="M436" s="35"/>
      <c r="N436" s="36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9"/>
      <c r="Z436" s="39"/>
      <c r="AA436" s="28"/>
      <c r="AMJ436" s="0"/>
    </row>
    <row r="437" s="2" customFormat="true" ht="12.75" hidden="false" customHeight="true" outlineLevel="0" collapsed="false">
      <c r="A437" s="27" t="s">
        <v>1006</v>
      </c>
      <c r="B437" s="27" t="s">
        <v>55</v>
      </c>
      <c r="C437" s="28" t="s">
        <v>138</v>
      </c>
      <c r="D437" s="27" t="s">
        <v>645</v>
      </c>
      <c r="E437" s="27"/>
      <c r="F437" s="29" t="s">
        <v>1007</v>
      </c>
      <c r="G437" s="30" t="n">
        <v>75015</v>
      </c>
      <c r="H437" s="31" t="s">
        <v>36</v>
      </c>
      <c r="I437" s="32" t="n">
        <v>147349396</v>
      </c>
      <c r="J437" s="33" t="n">
        <v>165</v>
      </c>
      <c r="K437" s="33" t="n">
        <v>7</v>
      </c>
      <c r="L437" s="34" t="n">
        <v>2</v>
      </c>
      <c r="M437" s="35" t="s">
        <v>716</v>
      </c>
      <c r="N437" s="36"/>
      <c r="O437" s="41"/>
      <c r="P437" s="41"/>
      <c r="Q437" s="41"/>
      <c r="R437" s="41" t="s">
        <v>1008</v>
      </c>
      <c r="S437" s="41"/>
      <c r="T437" s="41"/>
      <c r="U437" s="41"/>
      <c r="V437" s="41" t="s">
        <v>1008</v>
      </c>
      <c r="W437" s="41"/>
      <c r="X437" s="41"/>
      <c r="Y437" s="39" t="n">
        <v>45124.5833333333</v>
      </c>
      <c r="Z437" s="39"/>
      <c r="AA437" s="28" t="n">
        <v>3</v>
      </c>
      <c r="AMJ437" s="0"/>
    </row>
    <row r="438" s="2" customFormat="true" ht="12.75" hidden="false" customHeight="true" outlineLevel="0" collapsed="false">
      <c r="A438" s="27" t="s">
        <v>1009</v>
      </c>
      <c r="B438" s="27" t="s">
        <v>344</v>
      </c>
      <c r="C438" s="28" t="s">
        <v>138</v>
      </c>
      <c r="D438" s="27" t="s">
        <v>645</v>
      </c>
      <c r="E438" s="27"/>
      <c r="F438" s="29" t="s">
        <v>1007</v>
      </c>
      <c r="G438" s="30" t="n">
        <v>75015</v>
      </c>
      <c r="H438" s="31" t="s">
        <v>36</v>
      </c>
      <c r="I438" s="32" t="n">
        <v>147349396</v>
      </c>
      <c r="J438" s="33" t="n">
        <v>157</v>
      </c>
      <c r="K438" s="33" t="n">
        <v>7</v>
      </c>
      <c r="L438" s="34" t="n">
        <v>2</v>
      </c>
      <c r="M438" s="35" t="s">
        <v>716</v>
      </c>
      <c r="N438" s="36" t="s">
        <v>1010</v>
      </c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39" t="n">
        <v>45124.625</v>
      </c>
      <c r="Z438" s="39"/>
      <c r="AA438" s="28" t="n">
        <v>3</v>
      </c>
      <c r="AMJ438" s="0"/>
    </row>
    <row r="439" s="2" customFormat="true" ht="12.75" hidden="false" customHeight="true" outlineLevel="0" collapsed="false">
      <c r="A439" s="27" t="s">
        <v>1011</v>
      </c>
      <c r="B439" s="27" t="s">
        <v>1012</v>
      </c>
      <c r="C439" s="28" t="s">
        <v>41</v>
      </c>
      <c r="D439" s="27" t="s">
        <v>645</v>
      </c>
      <c r="E439" s="27"/>
      <c r="F439" s="29" t="s">
        <v>1013</v>
      </c>
      <c r="G439" s="30" t="n">
        <v>75015</v>
      </c>
      <c r="H439" s="31" t="s">
        <v>36</v>
      </c>
      <c r="I439" s="32" t="n">
        <v>145799482</v>
      </c>
      <c r="J439" s="33" t="n">
        <v>389</v>
      </c>
      <c r="K439" s="33" t="n">
        <v>2</v>
      </c>
      <c r="L439" s="34"/>
      <c r="M439" s="35"/>
      <c r="N439" s="36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9"/>
      <c r="Z439" s="39"/>
      <c r="AA439" s="28"/>
      <c r="AMJ439" s="0"/>
    </row>
    <row r="440" s="2" customFormat="true" ht="12.75" hidden="false" customHeight="true" outlineLevel="0" collapsed="false">
      <c r="A440" s="27" t="s">
        <v>1014</v>
      </c>
      <c r="B440" s="27" t="s">
        <v>151</v>
      </c>
      <c r="C440" s="28" t="s">
        <v>33</v>
      </c>
      <c r="D440" s="27" t="s">
        <v>645</v>
      </c>
      <c r="E440" s="27"/>
      <c r="F440" s="29" t="s">
        <v>1015</v>
      </c>
      <c r="G440" s="30" t="n">
        <v>75015</v>
      </c>
      <c r="H440" s="31" t="s">
        <v>36</v>
      </c>
      <c r="I440" s="32" t="n">
        <v>145672100</v>
      </c>
      <c r="J440" s="33" t="n">
        <v>77</v>
      </c>
      <c r="K440" s="33" t="n">
        <v>1</v>
      </c>
      <c r="L440" s="34"/>
      <c r="M440" s="35"/>
      <c r="N440" s="36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9"/>
      <c r="Z440" s="39"/>
      <c r="AA440" s="28"/>
      <c r="AC440" s="2" t="s">
        <v>38</v>
      </c>
      <c r="AMJ440" s="0"/>
    </row>
    <row r="441" s="2" customFormat="true" ht="12.75" hidden="false" customHeight="true" outlineLevel="0" collapsed="false">
      <c r="A441" s="27" t="s">
        <v>1016</v>
      </c>
      <c r="B441" s="27" t="s">
        <v>537</v>
      </c>
      <c r="C441" s="28" t="s">
        <v>33</v>
      </c>
      <c r="D441" s="27" t="s">
        <v>645</v>
      </c>
      <c r="E441" s="27"/>
      <c r="F441" s="29" t="s">
        <v>1017</v>
      </c>
      <c r="G441" s="30" t="n">
        <v>75015</v>
      </c>
      <c r="H441" s="31" t="s">
        <v>36</v>
      </c>
      <c r="I441" s="32" t="n">
        <v>147833137</v>
      </c>
      <c r="J441" s="33" t="n">
        <v>68</v>
      </c>
      <c r="K441" s="33" t="n">
        <v>1</v>
      </c>
      <c r="L441" s="34"/>
      <c r="M441" s="35"/>
      <c r="N441" s="36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9"/>
      <c r="Z441" s="39"/>
      <c r="AA441" s="28"/>
      <c r="AC441" s="2" t="s">
        <v>38</v>
      </c>
      <c r="AMJ441" s="0"/>
    </row>
    <row r="442" s="2" customFormat="true" ht="12.75" hidden="false" customHeight="true" outlineLevel="0" collapsed="false">
      <c r="A442" s="27" t="s">
        <v>1018</v>
      </c>
      <c r="B442" s="27" t="s">
        <v>1019</v>
      </c>
      <c r="C442" s="28" t="s">
        <v>121</v>
      </c>
      <c r="D442" s="27" t="s">
        <v>645</v>
      </c>
      <c r="E442" s="27"/>
      <c r="F442" s="29" t="s">
        <v>1020</v>
      </c>
      <c r="G442" s="30" t="n">
        <v>75015</v>
      </c>
      <c r="H442" s="31" t="s">
        <v>36</v>
      </c>
      <c r="I442" s="32" t="n">
        <v>140590190</v>
      </c>
      <c r="J442" s="33" t="n">
        <v>208</v>
      </c>
      <c r="K442" s="33" t="n">
        <v>6</v>
      </c>
      <c r="L442" s="34"/>
      <c r="M442" s="35"/>
      <c r="N442" s="36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9"/>
      <c r="Z442" s="39"/>
      <c r="AA442" s="28"/>
      <c r="AMJ442" s="0"/>
    </row>
    <row r="443" s="2" customFormat="true" ht="12.75" hidden="false" customHeight="true" outlineLevel="0" collapsed="false">
      <c r="A443" s="27" t="s">
        <v>1021</v>
      </c>
      <c r="B443" s="27" t="s">
        <v>151</v>
      </c>
      <c r="C443" s="28" t="s">
        <v>41</v>
      </c>
      <c r="D443" s="27" t="s">
        <v>645</v>
      </c>
      <c r="E443" s="27"/>
      <c r="F443" s="29" t="s">
        <v>1022</v>
      </c>
      <c r="G443" s="30" t="n">
        <v>75015</v>
      </c>
      <c r="H443" s="31" t="s">
        <v>36</v>
      </c>
      <c r="I443" s="32" t="n">
        <v>144373404</v>
      </c>
      <c r="J443" s="33" t="n">
        <v>388</v>
      </c>
      <c r="K443" s="33" t="n">
        <v>0</v>
      </c>
      <c r="L443" s="34"/>
      <c r="M443" s="35"/>
      <c r="N443" s="36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9"/>
      <c r="Z443" s="39"/>
      <c r="AA443" s="28"/>
      <c r="AMJ443" s="0"/>
    </row>
    <row r="444" s="2" customFormat="true" ht="12.75" hidden="false" customHeight="true" outlineLevel="0" collapsed="false">
      <c r="A444" s="27" t="s">
        <v>1023</v>
      </c>
      <c r="B444" s="27" t="s">
        <v>493</v>
      </c>
      <c r="C444" s="28" t="s">
        <v>41</v>
      </c>
      <c r="D444" s="27" t="s">
        <v>645</v>
      </c>
      <c r="E444" s="27"/>
      <c r="F444" s="29" t="s">
        <v>1024</v>
      </c>
      <c r="G444" s="30" t="n">
        <v>75015</v>
      </c>
      <c r="H444" s="31" t="s">
        <v>36</v>
      </c>
      <c r="I444" s="32" t="n">
        <v>145793823</v>
      </c>
      <c r="J444" s="33" t="n">
        <v>346</v>
      </c>
      <c r="K444" s="33" t="n">
        <v>11</v>
      </c>
      <c r="L444" s="34" t="n">
        <v>2</v>
      </c>
      <c r="M444" s="35" t="s">
        <v>164</v>
      </c>
      <c r="N444" s="36" t="s">
        <v>165</v>
      </c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39" t="n">
        <v>45117.375</v>
      </c>
      <c r="Z444" s="39"/>
      <c r="AA444" s="28" t="n">
        <v>3</v>
      </c>
      <c r="AMJ444" s="0"/>
    </row>
    <row r="445" s="2" customFormat="true" ht="12.75" hidden="false" customHeight="true" outlineLevel="0" collapsed="false">
      <c r="A445" s="27" t="s">
        <v>1025</v>
      </c>
      <c r="B445" s="27" t="s">
        <v>395</v>
      </c>
      <c r="C445" s="28" t="s">
        <v>41</v>
      </c>
      <c r="D445" s="27" t="s">
        <v>645</v>
      </c>
      <c r="E445" s="27"/>
      <c r="F445" s="29" t="s">
        <v>1024</v>
      </c>
      <c r="G445" s="30" t="n">
        <v>75015</v>
      </c>
      <c r="H445" s="31" t="s">
        <v>36</v>
      </c>
      <c r="I445" s="32" t="n">
        <v>145793823</v>
      </c>
      <c r="J445" s="33" t="n">
        <v>255</v>
      </c>
      <c r="K445" s="33" t="n">
        <v>10</v>
      </c>
      <c r="L445" s="34" t="n">
        <v>1</v>
      </c>
      <c r="M445" s="35" t="s">
        <v>164</v>
      </c>
      <c r="N445" s="36" t="s">
        <v>165</v>
      </c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39" t="n">
        <v>45117.4166666667</v>
      </c>
      <c r="Z445" s="39"/>
      <c r="AA445" s="28" t="n">
        <v>3</v>
      </c>
      <c r="AMJ445" s="0"/>
    </row>
    <row r="446" s="2" customFormat="true" ht="12.75" hidden="false" customHeight="true" outlineLevel="0" collapsed="false">
      <c r="A446" s="27" t="s">
        <v>1026</v>
      </c>
      <c r="B446" s="27" t="s">
        <v>88</v>
      </c>
      <c r="C446" s="28" t="s">
        <v>178</v>
      </c>
      <c r="D446" s="27" t="s">
        <v>645</v>
      </c>
      <c r="E446" s="27"/>
      <c r="F446" s="29" t="s">
        <v>1027</v>
      </c>
      <c r="G446" s="30" t="n">
        <v>75015</v>
      </c>
      <c r="H446" s="31" t="s">
        <v>36</v>
      </c>
      <c r="I446" s="32" t="n">
        <v>147343247</v>
      </c>
      <c r="J446" s="33" t="n">
        <v>273</v>
      </c>
      <c r="K446" s="33" t="n">
        <v>2</v>
      </c>
      <c r="L446" s="34"/>
      <c r="M446" s="35"/>
      <c r="N446" s="36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9"/>
      <c r="Z446" s="39"/>
      <c r="AA446" s="28"/>
      <c r="AMJ446" s="0"/>
    </row>
    <row r="447" s="2" customFormat="true" ht="12.75" hidden="false" customHeight="true" outlineLevel="0" collapsed="false">
      <c r="A447" s="27" t="s">
        <v>1028</v>
      </c>
      <c r="B447" s="27" t="s">
        <v>1029</v>
      </c>
      <c r="C447" s="28" t="s">
        <v>113</v>
      </c>
      <c r="D447" s="27" t="s">
        <v>645</v>
      </c>
      <c r="E447" s="27"/>
      <c r="F447" s="29" t="s">
        <v>1030</v>
      </c>
      <c r="G447" s="30" t="n">
        <v>75015</v>
      </c>
      <c r="H447" s="31" t="s">
        <v>36</v>
      </c>
      <c r="I447" s="32" t="n">
        <v>140598601</v>
      </c>
      <c r="J447" s="33" t="n">
        <v>51</v>
      </c>
      <c r="K447" s="33"/>
      <c r="L447" s="34"/>
      <c r="M447" s="35"/>
      <c r="N447" s="36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9"/>
      <c r="Z447" s="39"/>
      <c r="AA447" s="28"/>
      <c r="AMJ447" s="0"/>
    </row>
    <row r="448" s="2" customFormat="true" ht="12.75" hidden="false" customHeight="true" outlineLevel="0" collapsed="false">
      <c r="A448" s="27" t="s">
        <v>1031</v>
      </c>
      <c r="B448" s="27" t="s">
        <v>210</v>
      </c>
      <c r="C448" s="28" t="s">
        <v>41</v>
      </c>
      <c r="D448" s="27" t="s">
        <v>645</v>
      </c>
      <c r="E448" s="27"/>
      <c r="F448" s="29" t="s">
        <v>1032</v>
      </c>
      <c r="G448" s="30" t="n">
        <v>75015</v>
      </c>
      <c r="H448" s="31" t="s">
        <v>36</v>
      </c>
      <c r="I448" s="32" t="n">
        <v>140600284</v>
      </c>
      <c r="J448" s="33" t="n">
        <v>258</v>
      </c>
      <c r="K448" s="33" t="n">
        <v>17</v>
      </c>
      <c r="L448" s="34"/>
      <c r="M448" s="35" t="s">
        <v>164</v>
      </c>
      <c r="N448" s="36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9"/>
      <c r="Z448" s="39"/>
      <c r="AA448" s="28"/>
      <c r="AMJ448" s="0"/>
    </row>
    <row r="449" s="2" customFormat="true" ht="12.75" hidden="false" customHeight="true" outlineLevel="0" collapsed="false">
      <c r="A449" s="27" t="s">
        <v>1033</v>
      </c>
      <c r="B449" s="27" t="s">
        <v>1034</v>
      </c>
      <c r="C449" s="28" t="s">
        <v>41</v>
      </c>
      <c r="D449" s="27" t="s">
        <v>645</v>
      </c>
      <c r="E449" s="27"/>
      <c r="F449" s="29" t="s">
        <v>1032</v>
      </c>
      <c r="G449" s="30" t="n">
        <v>75015</v>
      </c>
      <c r="H449" s="31" t="s">
        <v>36</v>
      </c>
      <c r="I449" s="32" t="n">
        <v>140600284</v>
      </c>
      <c r="J449" s="33" t="n">
        <v>93</v>
      </c>
      <c r="K449" s="33" t="n">
        <v>1</v>
      </c>
      <c r="L449" s="34"/>
      <c r="M449" s="35"/>
      <c r="N449" s="36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9"/>
      <c r="Z449" s="39"/>
      <c r="AA449" s="28"/>
      <c r="AMJ449" s="0"/>
    </row>
    <row r="450" s="2" customFormat="true" ht="12.75" hidden="false" customHeight="true" outlineLevel="0" collapsed="false">
      <c r="A450" s="27" t="s">
        <v>1035</v>
      </c>
      <c r="B450" s="27" t="s">
        <v>1036</v>
      </c>
      <c r="C450" s="28" t="s">
        <v>41</v>
      </c>
      <c r="D450" s="27" t="s">
        <v>645</v>
      </c>
      <c r="E450" s="27"/>
      <c r="F450" s="29" t="s">
        <v>1032</v>
      </c>
      <c r="G450" s="30" t="n">
        <v>75015</v>
      </c>
      <c r="H450" s="31" t="s">
        <v>36</v>
      </c>
      <c r="I450" s="32" t="n">
        <v>140600284</v>
      </c>
      <c r="J450" s="33" t="n">
        <v>0</v>
      </c>
      <c r="K450" s="33" t="n">
        <v>1</v>
      </c>
      <c r="L450" s="34"/>
      <c r="M450" s="35"/>
      <c r="N450" s="36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9"/>
      <c r="Z450" s="39"/>
      <c r="AA450" s="28"/>
      <c r="AMJ450" s="0"/>
    </row>
    <row r="451" s="2" customFormat="true" ht="12.75" hidden="false" customHeight="true" outlineLevel="0" collapsed="false">
      <c r="A451" s="27" t="s">
        <v>1037</v>
      </c>
      <c r="B451" s="27" t="s">
        <v>1038</v>
      </c>
      <c r="C451" s="28" t="s">
        <v>33</v>
      </c>
      <c r="D451" s="27" t="s">
        <v>645</v>
      </c>
      <c r="E451" s="27"/>
      <c r="F451" s="29" t="s">
        <v>1032</v>
      </c>
      <c r="G451" s="30" t="n">
        <v>75015</v>
      </c>
      <c r="H451" s="31" t="s">
        <v>36</v>
      </c>
      <c r="I451" s="32" t="n">
        <v>145279972</v>
      </c>
      <c r="J451" s="33" t="n">
        <v>59</v>
      </c>
      <c r="K451" s="33" t="n">
        <v>1</v>
      </c>
      <c r="L451" s="34"/>
      <c r="M451" s="35"/>
      <c r="N451" s="36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9"/>
      <c r="Z451" s="39"/>
      <c r="AA451" s="28"/>
      <c r="AC451" s="2" t="s">
        <v>38</v>
      </c>
      <c r="AMJ451" s="0"/>
    </row>
    <row r="452" s="2" customFormat="true" ht="12.75" hidden="false" customHeight="true" outlineLevel="0" collapsed="false">
      <c r="A452" s="27" t="s">
        <v>1039</v>
      </c>
      <c r="B452" s="27" t="s">
        <v>598</v>
      </c>
      <c r="C452" s="28" t="s">
        <v>41</v>
      </c>
      <c r="D452" s="27" t="s">
        <v>645</v>
      </c>
      <c r="E452" s="27"/>
      <c r="F452" s="29" t="s">
        <v>1040</v>
      </c>
      <c r="G452" s="30" t="n">
        <v>75015</v>
      </c>
      <c r="H452" s="31" t="s">
        <v>36</v>
      </c>
      <c r="I452" s="32" t="n">
        <v>145673905</v>
      </c>
      <c r="J452" s="33" t="n">
        <v>288</v>
      </c>
      <c r="K452" s="33" t="n">
        <v>1</v>
      </c>
      <c r="L452" s="34"/>
      <c r="M452" s="35"/>
      <c r="N452" s="36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9"/>
      <c r="Z452" s="39"/>
      <c r="AA452" s="28"/>
      <c r="AMJ452" s="0"/>
    </row>
    <row r="453" s="2" customFormat="true" ht="12.75" hidden="false" customHeight="true" outlineLevel="0" collapsed="false">
      <c r="A453" s="27" t="s">
        <v>1041</v>
      </c>
      <c r="B453" s="27" t="s">
        <v>601</v>
      </c>
      <c r="C453" s="28" t="s">
        <v>138</v>
      </c>
      <c r="D453" s="27" t="s">
        <v>645</v>
      </c>
      <c r="E453" s="27"/>
      <c r="F453" s="29" t="s">
        <v>1042</v>
      </c>
      <c r="G453" s="30" t="n">
        <v>75015</v>
      </c>
      <c r="H453" s="31" t="s">
        <v>36</v>
      </c>
      <c r="I453" s="32" t="n">
        <v>140609191</v>
      </c>
      <c r="J453" s="33" t="n">
        <v>116</v>
      </c>
      <c r="K453" s="33" t="n">
        <v>2</v>
      </c>
      <c r="L453" s="34" t="n">
        <v>1</v>
      </c>
      <c r="M453" s="43" t="s">
        <v>164</v>
      </c>
      <c r="N453" s="36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39" t="n">
        <v>45132.4791666667</v>
      </c>
      <c r="Z453" s="39"/>
      <c r="AA453" s="28" t="n">
        <v>3</v>
      </c>
      <c r="AMJ453" s="0"/>
    </row>
    <row r="454" s="2" customFormat="true" ht="12.75" hidden="false" customHeight="true" outlineLevel="0" collapsed="false">
      <c r="A454" s="27" t="s">
        <v>1043</v>
      </c>
      <c r="B454" s="27" t="s">
        <v>1044</v>
      </c>
      <c r="C454" s="28" t="s">
        <v>41</v>
      </c>
      <c r="D454" s="27" t="s">
        <v>645</v>
      </c>
      <c r="E454" s="27"/>
      <c r="F454" s="29" t="s">
        <v>1045</v>
      </c>
      <c r="G454" s="30" t="n">
        <v>75015</v>
      </c>
      <c r="H454" s="31" t="s">
        <v>36</v>
      </c>
      <c r="I454" s="32"/>
      <c r="J454" s="33" t="n">
        <v>414</v>
      </c>
      <c r="K454" s="33" t="n">
        <v>3</v>
      </c>
      <c r="L454" s="34"/>
      <c r="M454" s="35"/>
      <c r="N454" s="36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9"/>
      <c r="Z454" s="39"/>
      <c r="AA454" s="28"/>
      <c r="AMJ454" s="0"/>
    </row>
    <row r="455" s="2" customFormat="true" ht="12.75" hidden="false" customHeight="true" outlineLevel="0" collapsed="false">
      <c r="A455" s="27" t="s">
        <v>1046</v>
      </c>
      <c r="B455" s="27" t="s">
        <v>598</v>
      </c>
      <c r="C455" s="28" t="s">
        <v>41</v>
      </c>
      <c r="D455" s="27" t="s">
        <v>645</v>
      </c>
      <c r="E455" s="27"/>
      <c r="F455" s="29" t="s">
        <v>1045</v>
      </c>
      <c r="G455" s="30" t="n">
        <v>75015</v>
      </c>
      <c r="H455" s="31" t="s">
        <v>36</v>
      </c>
      <c r="I455" s="32" t="n">
        <v>148281089</v>
      </c>
      <c r="J455" s="33" t="n">
        <v>352</v>
      </c>
      <c r="K455" s="33" t="n">
        <v>17</v>
      </c>
      <c r="L455" s="34" t="n">
        <v>1</v>
      </c>
      <c r="M455" s="43" t="s">
        <v>155</v>
      </c>
      <c r="N455" s="51" t="s">
        <v>1047</v>
      </c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39"/>
      <c r="Z455" s="39" t="n">
        <v>45236.4583333333</v>
      </c>
      <c r="AA455" s="28" t="n">
        <v>3</v>
      </c>
      <c r="AMJ455" s="0"/>
    </row>
    <row r="456" s="2" customFormat="true" ht="12.75" hidden="false" customHeight="true" outlineLevel="0" collapsed="false">
      <c r="A456" s="27" t="s">
        <v>1048</v>
      </c>
      <c r="B456" s="27" t="s">
        <v>1049</v>
      </c>
      <c r="C456" s="28" t="s">
        <v>41</v>
      </c>
      <c r="D456" s="27" t="s">
        <v>645</v>
      </c>
      <c r="E456" s="27" t="s">
        <v>1050</v>
      </c>
      <c r="F456" s="29" t="s">
        <v>1051</v>
      </c>
      <c r="G456" s="30" t="n">
        <v>75015</v>
      </c>
      <c r="H456" s="31" t="s">
        <v>36</v>
      </c>
      <c r="I456" s="32" t="n">
        <v>987367775</v>
      </c>
      <c r="J456" s="33" t="n">
        <v>276</v>
      </c>
      <c r="K456" s="33" t="n">
        <v>30</v>
      </c>
      <c r="L456" s="34"/>
      <c r="M456" s="52" t="s">
        <v>700</v>
      </c>
      <c r="N456" s="53" t="s">
        <v>110</v>
      </c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9" t="n">
        <v>45134.6458333333</v>
      </c>
      <c r="Z456" s="39"/>
      <c r="AA456" s="28" t="n">
        <v>-1</v>
      </c>
      <c r="AMJ456" s="0"/>
    </row>
    <row r="457" s="2" customFormat="true" ht="12.75" hidden="false" customHeight="true" outlineLevel="0" collapsed="false">
      <c r="A457" s="27" t="s">
        <v>134</v>
      </c>
      <c r="B457" s="27" t="s">
        <v>205</v>
      </c>
      <c r="C457" s="28" t="s">
        <v>41</v>
      </c>
      <c r="D457" s="27" t="s">
        <v>645</v>
      </c>
      <c r="E457" s="27" t="s">
        <v>1052</v>
      </c>
      <c r="F457" s="29" t="s">
        <v>1051</v>
      </c>
      <c r="G457" s="30" t="n">
        <v>75015</v>
      </c>
      <c r="H457" s="31" t="s">
        <v>36</v>
      </c>
      <c r="I457" s="32" t="n">
        <v>987367775</v>
      </c>
      <c r="J457" s="33" t="n">
        <v>269</v>
      </c>
      <c r="K457" s="33" t="n">
        <v>33</v>
      </c>
      <c r="L457" s="34"/>
      <c r="M457" s="44" t="s">
        <v>700</v>
      </c>
      <c r="N457" s="54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9" t="n">
        <v>45124.4166666667</v>
      </c>
      <c r="Z457" s="39"/>
      <c r="AA457" s="28" t="n">
        <v>-1</v>
      </c>
      <c r="AMJ457" s="0"/>
    </row>
    <row r="458" s="2" customFormat="true" ht="12.75" hidden="false" customHeight="true" outlineLevel="0" collapsed="false">
      <c r="A458" s="27" t="s">
        <v>1053</v>
      </c>
      <c r="B458" s="27" t="s">
        <v>1054</v>
      </c>
      <c r="C458" s="28" t="s">
        <v>41</v>
      </c>
      <c r="D458" s="27" t="s">
        <v>645</v>
      </c>
      <c r="E458" s="27" t="s">
        <v>1052</v>
      </c>
      <c r="F458" s="29" t="s">
        <v>1051</v>
      </c>
      <c r="G458" s="30" t="n">
        <v>75015</v>
      </c>
      <c r="H458" s="31" t="s">
        <v>36</v>
      </c>
      <c r="I458" s="32" t="n">
        <v>188321722</v>
      </c>
      <c r="J458" s="33" t="n">
        <v>206</v>
      </c>
      <c r="K458" s="33" t="n">
        <v>31</v>
      </c>
      <c r="L458" s="34"/>
      <c r="M458" s="55" t="s">
        <v>700</v>
      </c>
      <c r="N458" s="53" t="s">
        <v>110</v>
      </c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9" t="n">
        <v>45134.5833333333</v>
      </c>
      <c r="Z458" s="39"/>
      <c r="AA458" s="56" t="n">
        <v>-1</v>
      </c>
      <c r="AMJ458" s="0"/>
    </row>
    <row r="459" s="2" customFormat="true" ht="12.75" hidden="false" customHeight="true" outlineLevel="0" collapsed="false">
      <c r="A459" s="27" t="s">
        <v>1055</v>
      </c>
      <c r="B459" s="27" t="s">
        <v>1056</v>
      </c>
      <c r="C459" s="28" t="s">
        <v>41</v>
      </c>
      <c r="D459" s="27" t="s">
        <v>645</v>
      </c>
      <c r="E459" s="27" t="s">
        <v>1052</v>
      </c>
      <c r="F459" s="29" t="s">
        <v>1051</v>
      </c>
      <c r="G459" s="30" t="n">
        <v>75015</v>
      </c>
      <c r="H459" s="31" t="s">
        <v>36</v>
      </c>
      <c r="I459" s="32" t="n">
        <v>987367775</v>
      </c>
      <c r="J459" s="33" t="n">
        <v>0</v>
      </c>
      <c r="K459" s="33" t="n">
        <v>1</v>
      </c>
      <c r="L459" s="34"/>
      <c r="M459" s="35"/>
      <c r="N459" s="36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9"/>
      <c r="Z459" s="39"/>
      <c r="AA459" s="28"/>
      <c r="AMJ459" s="0"/>
    </row>
    <row r="460" s="2" customFormat="true" ht="12.75" hidden="false" customHeight="true" outlineLevel="0" collapsed="false">
      <c r="A460" s="27" t="s">
        <v>1057</v>
      </c>
      <c r="B460" s="27" t="s">
        <v>1058</v>
      </c>
      <c r="C460" s="28" t="s">
        <v>41</v>
      </c>
      <c r="D460" s="27" t="s">
        <v>645</v>
      </c>
      <c r="E460" s="27" t="s">
        <v>1052</v>
      </c>
      <c r="F460" s="29" t="s">
        <v>1051</v>
      </c>
      <c r="G460" s="30" t="n">
        <v>75015</v>
      </c>
      <c r="H460" s="31" t="s">
        <v>36</v>
      </c>
      <c r="I460" s="32" t="n">
        <v>188321722</v>
      </c>
      <c r="J460" s="33" t="n">
        <v>0</v>
      </c>
      <c r="K460" s="33" t="n">
        <v>4</v>
      </c>
      <c r="L460" s="34"/>
      <c r="M460" s="35"/>
      <c r="N460" s="36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9"/>
      <c r="Z460" s="39"/>
      <c r="AA460" s="28"/>
      <c r="AMJ460" s="0"/>
    </row>
    <row r="461" s="2" customFormat="true" ht="12.75" hidden="false" customHeight="true" outlineLevel="0" collapsed="false">
      <c r="A461" s="27" t="s">
        <v>1059</v>
      </c>
      <c r="B461" s="27" t="s">
        <v>329</v>
      </c>
      <c r="C461" s="28" t="s">
        <v>41</v>
      </c>
      <c r="D461" s="27" t="s">
        <v>645</v>
      </c>
      <c r="E461" s="27"/>
      <c r="F461" s="29" t="s">
        <v>1060</v>
      </c>
      <c r="G461" s="30" t="n">
        <v>75015</v>
      </c>
      <c r="H461" s="31" t="s">
        <v>36</v>
      </c>
      <c r="I461" s="32" t="n">
        <v>145752021</v>
      </c>
      <c r="J461" s="33" t="n">
        <v>390</v>
      </c>
      <c r="K461" s="33" t="n">
        <v>2</v>
      </c>
      <c r="L461" s="34" t="n">
        <v>2</v>
      </c>
      <c r="M461" s="35" t="s">
        <v>164</v>
      </c>
      <c r="N461" s="36" t="s">
        <v>165</v>
      </c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39" t="n">
        <v>45118.4166666667</v>
      </c>
      <c r="Z461" s="39"/>
      <c r="AA461" s="28"/>
      <c r="AMJ461" s="0"/>
    </row>
    <row r="462" s="2" customFormat="true" ht="12.75" hidden="false" customHeight="true" outlineLevel="0" collapsed="false">
      <c r="A462" s="27" t="s">
        <v>1061</v>
      </c>
      <c r="B462" s="27" t="s">
        <v>1062</v>
      </c>
      <c r="C462" s="28" t="s">
        <v>138</v>
      </c>
      <c r="D462" s="27" t="s">
        <v>645</v>
      </c>
      <c r="E462" s="27"/>
      <c r="F462" s="29" t="s">
        <v>1063</v>
      </c>
      <c r="G462" s="30" t="n">
        <v>75015</v>
      </c>
      <c r="H462" s="31" t="s">
        <v>36</v>
      </c>
      <c r="I462" s="32"/>
      <c r="J462" s="33" t="n">
        <v>131</v>
      </c>
      <c r="K462" s="33" t="n">
        <v>3</v>
      </c>
      <c r="L462" s="34"/>
      <c r="M462" s="35"/>
      <c r="N462" s="36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9"/>
      <c r="Z462" s="39"/>
      <c r="AA462" s="28"/>
      <c r="AMJ462" s="0"/>
    </row>
    <row r="463" s="2" customFormat="true" ht="12.75" hidden="false" customHeight="true" outlineLevel="0" collapsed="false">
      <c r="A463" s="27" t="s">
        <v>1064</v>
      </c>
      <c r="B463" s="27" t="s">
        <v>92</v>
      </c>
      <c r="C463" s="28" t="s">
        <v>121</v>
      </c>
      <c r="D463" s="27" t="s">
        <v>645</v>
      </c>
      <c r="E463" s="27"/>
      <c r="F463" s="29" t="s">
        <v>1063</v>
      </c>
      <c r="G463" s="30" t="n">
        <v>75015</v>
      </c>
      <c r="H463" s="31" t="s">
        <v>36</v>
      </c>
      <c r="I463" s="32" t="n">
        <v>153685858</v>
      </c>
      <c r="J463" s="33" t="n">
        <v>125</v>
      </c>
      <c r="K463" s="33" t="n">
        <v>1</v>
      </c>
      <c r="L463" s="34"/>
      <c r="M463" s="35"/>
      <c r="N463" s="36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9"/>
      <c r="Z463" s="39"/>
      <c r="AA463" s="28"/>
      <c r="AMJ463" s="0"/>
    </row>
    <row r="464" s="2" customFormat="true" ht="12.75" hidden="false" customHeight="true" outlineLevel="0" collapsed="false">
      <c r="A464" s="27" t="s">
        <v>1065</v>
      </c>
      <c r="B464" s="27" t="s">
        <v>332</v>
      </c>
      <c r="C464" s="28" t="s">
        <v>121</v>
      </c>
      <c r="D464" s="27" t="s">
        <v>645</v>
      </c>
      <c r="E464" s="27"/>
      <c r="F464" s="29" t="s">
        <v>1063</v>
      </c>
      <c r="G464" s="30" t="n">
        <v>75015</v>
      </c>
      <c r="H464" s="31" t="s">
        <v>36</v>
      </c>
      <c r="I464" s="32"/>
      <c r="J464" s="33" t="n">
        <v>80</v>
      </c>
      <c r="K464" s="33" t="n">
        <v>0</v>
      </c>
      <c r="L464" s="34"/>
      <c r="M464" s="35"/>
      <c r="N464" s="36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9"/>
      <c r="Z464" s="39"/>
      <c r="AA464" s="28"/>
      <c r="AMJ464" s="0"/>
    </row>
    <row r="465" s="2" customFormat="true" ht="12.75" hidden="false" customHeight="true" outlineLevel="0" collapsed="false">
      <c r="A465" s="27" t="s">
        <v>1066</v>
      </c>
      <c r="B465" s="27" t="s">
        <v>1067</v>
      </c>
      <c r="C465" s="28" t="s">
        <v>121</v>
      </c>
      <c r="D465" s="27" t="s">
        <v>645</v>
      </c>
      <c r="E465" s="27"/>
      <c r="F465" s="29" t="s">
        <v>1063</v>
      </c>
      <c r="G465" s="30" t="n">
        <v>75015</v>
      </c>
      <c r="H465" s="31" t="s">
        <v>36</v>
      </c>
      <c r="I465" s="32"/>
      <c r="J465" s="33" t="n">
        <v>64</v>
      </c>
      <c r="K465" s="33" t="n">
        <v>1</v>
      </c>
      <c r="L465" s="34"/>
      <c r="M465" s="35"/>
      <c r="N465" s="36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9"/>
      <c r="Z465" s="39"/>
      <c r="AA465" s="28"/>
      <c r="AMJ465" s="0"/>
    </row>
    <row r="466" s="2" customFormat="true" ht="12.75" hidden="false" customHeight="true" outlineLevel="0" collapsed="false">
      <c r="A466" s="27" t="s">
        <v>1068</v>
      </c>
      <c r="B466" s="27" t="s">
        <v>435</v>
      </c>
      <c r="C466" s="28" t="s">
        <v>33</v>
      </c>
      <c r="D466" s="27" t="s">
        <v>645</v>
      </c>
      <c r="E466" s="27"/>
      <c r="F466" s="29" t="s">
        <v>1069</v>
      </c>
      <c r="G466" s="30" t="n">
        <v>75015</v>
      </c>
      <c r="H466" s="31" t="s">
        <v>36</v>
      </c>
      <c r="I466" s="32" t="n">
        <v>144490353</v>
      </c>
      <c r="J466" s="33" t="n">
        <v>85</v>
      </c>
      <c r="K466" s="33" t="n">
        <v>1</v>
      </c>
      <c r="L466" s="34"/>
      <c r="M466" s="35"/>
      <c r="N466" s="36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9"/>
      <c r="Z466" s="39"/>
      <c r="AA466" s="28"/>
      <c r="AC466" s="2" t="s">
        <v>108</v>
      </c>
      <c r="AE466" s="2" t="s">
        <v>1070</v>
      </c>
      <c r="AMJ466" s="0"/>
    </row>
    <row r="467" s="2" customFormat="true" ht="12.75" hidden="false" customHeight="true" outlineLevel="0" collapsed="false">
      <c r="A467" s="27" t="s">
        <v>1071</v>
      </c>
      <c r="B467" s="27" t="s">
        <v>1072</v>
      </c>
      <c r="C467" s="28" t="s">
        <v>33</v>
      </c>
      <c r="D467" s="27" t="s">
        <v>645</v>
      </c>
      <c r="E467" s="27"/>
      <c r="F467" s="29" t="s">
        <v>1073</v>
      </c>
      <c r="G467" s="30" t="n">
        <v>75015</v>
      </c>
      <c r="H467" s="31" t="s">
        <v>36</v>
      </c>
      <c r="I467" s="32" t="n">
        <v>145301030</v>
      </c>
      <c r="J467" s="33" t="n">
        <v>69</v>
      </c>
      <c r="K467" s="33" t="n">
        <v>0</v>
      </c>
      <c r="L467" s="34"/>
      <c r="M467" s="35"/>
      <c r="N467" s="36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9"/>
      <c r="Z467" s="39"/>
      <c r="AA467" s="28"/>
      <c r="AC467" s="2" t="s">
        <v>38</v>
      </c>
      <c r="AMJ467" s="0"/>
    </row>
    <row r="468" s="2" customFormat="true" ht="12.75" hidden="false" customHeight="true" outlineLevel="0" collapsed="false">
      <c r="A468" s="27" t="s">
        <v>1074</v>
      </c>
      <c r="B468" s="27" t="s">
        <v>596</v>
      </c>
      <c r="C468" s="28" t="s">
        <v>41</v>
      </c>
      <c r="D468" s="27" t="s">
        <v>645</v>
      </c>
      <c r="E468" s="27"/>
      <c r="F468" s="29" t="s">
        <v>1075</v>
      </c>
      <c r="G468" s="30" t="n">
        <v>75015</v>
      </c>
      <c r="H468" s="31" t="s">
        <v>36</v>
      </c>
      <c r="I468" s="32" t="n">
        <v>145306420</v>
      </c>
      <c r="J468" s="33" t="n">
        <v>387</v>
      </c>
      <c r="K468" s="33" t="n">
        <v>1</v>
      </c>
      <c r="L468" s="34"/>
      <c r="M468" s="35"/>
      <c r="N468" s="36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9"/>
      <c r="Z468" s="39"/>
      <c r="AA468" s="28"/>
      <c r="AMJ468" s="0"/>
    </row>
    <row r="469" s="2" customFormat="true" ht="12.75" hidden="false" customHeight="true" outlineLevel="0" collapsed="false">
      <c r="A469" s="27" t="s">
        <v>1076</v>
      </c>
      <c r="B469" s="27" t="s">
        <v>71</v>
      </c>
      <c r="C469" s="28" t="s">
        <v>41</v>
      </c>
      <c r="D469" s="27" t="s">
        <v>645</v>
      </c>
      <c r="E469" s="27"/>
      <c r="F469" s="29" t="s">
        <v>1077</v>
      </c>
      <c r="G469" s="30" t="n">
        <v>75015</v>
      </c>
      <c r="H469" s="31" t="s">
        <v>36</v>
      </c>
      <c r="I469" s="32" t="n">
        <v>140581602</v>
      </c>
      <c r="J469" s="33" t="n">
        <v>250</v>
      </c>
      <c r="K469" s="33" t="n">
        <v>1</v>
      </c>
      <c r="L469" s="34"/>
      <c r="M469" s="35"/>
      <c r="N469" s="36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9"/>
      <c r="Z469" s="39"/>
      <c r="AA469" s="28"/>
      <c r="AMJ469" s="0"/>
    </row>
    <row r="470" s="2" customFormat="true" ht="12.75" hidden="false" customHeight="true" outlineLevel="0" collapsed="false">
      <c r="A470" s="27" t="s">
        <v>1078</v>
      </c>
      <c r="B470" s="27" t="s">
        <v>598</v>
      </c>
      <c r="C470" s="28" t="s">
        <v>138</v>
      </c>
      <c r="D470" s="27" t="s">
        <v>645</v>
      </c>
      <c r="E470" s="27"/>
      <c r="F470" s="29" t="s">
        <v>1079</v>
      </c>
      <c r="G470" s="30" t="n">
        <v>75015</v>
      </c>
      <c r="H470" s="31" t="s">
        <v>36</v>
      </c>
      <c r="I470" s="32" t="n">
        <v>145750816</v>
      </c>
      <c r="J470" s="33" t="n">
        <v>113</v>
      </c>
      <c r="K470" s="33" t="n">
        <v>1</v>
      </c>
      <c r="L470" s="34"/>
      <c r="M470" s="35"/>
      <c r="N470" s="36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9"/>
      <c r="Z470" s="39"/>
      <c r="AA470" s="28"/>
      <c r="AMJ470" s="0"/>
    </row>
    <row r="471" s="2" customFormat="true" ht="12.75" hidden="false" customHeight="true" outlineLevel="0" collapsed="false">
      <c r="A471" s="27" t="s">
        <v>1080</v>
      </c>
      <c r="B471" s="27" t="s">
        <v>633</v>
      </c>
      <c r="C471" s="28" t="s">
        <v>41</v>
      </c>
      <c r="D471" s="27" t="s">
        <v>645</v>
      </c>
      <c r="E471" s="27"/>
      <c r="F471" s="29" t="s">
        <v>1081</v>
      </c>
      <c r="G471" s="30" t="n">
        <v>75015</v>
      </c>
      <c r="H471" s="31" t="s">
        <v>36</v>
      </c>
      <c r="I471" s="32" t="n">
        <v>140299041</v>
      </c>
      <c r="J471" s="33" t="n">
        <v>367</v>
      </c>
      <c r="K471" s="33" t="n">
        <v>1</v>
      </c>
      <c r="L471" s="34"/>
      <c r="M471" s="35"/>
      <c r="N471" s="36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9"/>
      <c r="Z471" s="39"/>
      <c r="AA471" s="28"/>
      <c r="AMJ471" s="0"/>
    </row>
    <row r="472" s="2" customFormat="true" ht="12.75" hidden="false" customHeight="true" outlineLevel="0" collapsed="false">
      <c r="A472" s="27" t="s">
        <v>331</v>
      </c>
      <c r="B472" s="27" t="s">
        <v>1082</v>
      </c>
      <c r="C472" s="28" t="s">
        <v>121</v>
      </c>
      <c r="D472" s="27" t="s">
        <v>645</v>
      </c>
      <c r="E472" s="27"/>
      <c r="F472" s="29" t="s">
        <v>1083</v>
      </c>
      <c r="G472" s="30" t="n">
        <v>75015</v>
      </c>
      <c r="H472" s="31" t="s">
        <v>36</v>
      </c>
      <c r="I472" s="32" t="n">
        <v>140560333</v>
      </c>
      <c r="J472" s="33" t="n">
        <v>119</v>
      </c>
      <c r="K472" s="33" t="n">
        <v>3</v>
      </c>
      <c r="L472" s="34"/>
      <c r="M472" s="35"/>
      <c r="N472" s="36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9"/>
      <c r="Z472" s="39"/>
      <c r="AA472" s="28"/>
      <c r="AMJ472" s="0"/>
    </row>
    <row r="473" s="2" customFormat="true" ht="12.75" hidden="false" customHeight="true" outlineLevel="0" collapsed="false">
      <c r="A473" s="27" t="s">
        <v>1084</v>
      </c>
      <c r="B473" s="27" t="s">
        <v>1085</v>
      </c>
      <c r="C473" s="28" t="s">
        <v>41</v>
      </c>
      <c r="D473" s="27" t="s">
        <v>645</v>
      </c>
      <c r="E473" s="27"/>
      <c r="F473" s="29" t="s">
        <v>1086</v>
      </c>
      <c r="G473" s="30" t="n">
        <v>75015</v>
      </c>
      <c r="H473" s="31" t="s">
        <v>36</v>
      </c>
      <c r="I473" s="32" t="n">
        <v>147343230</v>
      </c>
      <c r="J473" s="33" t="n">
        <v>307</v>
      </c>
      <c r="K473" s="33" t="n">
        <v>1</v>
      </c>
      <c r="L473" s="34"/>
      <c r="M473" s="35"/>
      <c r="N473" s="36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9"/>
      <c r="Z473" s="39"/>
      <c r="AA473" s="28"/>
      <c r="AMJ473" s="0"/>
    </row>
    <row r="474" s="2" customFormat="true" ht="12.75" hidden="false" customHeight="true" outlineLevel="0" collapsed="false">
      <c r="A474" s="27" t="s">
        <v>1087</v>
      </c>
      <c r="B474" s="27" t="s">
        <v>749</v>
      </c>
      <c r="C474" s="28" t="s">
        <v>138</v>
      </c>
      <c r="D474" s="27" t="s">
        <v>645</v>
      </c>
      <c r="E474" s="27"/>
      <c r="F474" s="29" t="s">
        <v>1088</v>
      </c>
      <c r="G474" s="30" t="n">
        <v>75015</v>
      </c>
      <c r="H474" s="31" t="s">
        <v>36</v>
      </c>
      <c r="I474" s="32" t="n">
        <v>140560026</v>
      </c>
      <c r="J474" s="33" t="n">
        <v>109</v>
      </c>
      <c r="K474" s="33" t="n">
        <v>1</v>
      </c>
      <c r="L474" s="34"/>
      <c r="M474" s="35"/>
      <c r="N474" s="36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9"/>
      <c r="Z474" s="39"/>
      <c r="AA474" s="28"/>
      <c r="AMJ474" s="0"/>
    </row>
    <row r="475" s="2" customFormat="true" ht="12.75" hidden="false" customHeight="true" outlineLevel="0" collapsed="false">
      <c r="A475" s="27" t="s">
        <v>1089</v>
      </c>
      <c r="B475" s="27" t="s">
        <v>435</v>
      </c>
      <c r="C475" s="28" t="s">
        <v>41</v>
      </c>
      <c r="D475" s="27" t="s">
        <v>645</v>
      </c>
      <c r="E475" s="27"/>
      <c r="F475" s="29" t="s">
        <v>1090</v>
      </c>
      <c r="G475" s="30" t="n">
        <v>75015</v>
      </c>
      <c r="H475" s="31" t="s">
        <v>36</v>
      </c>
      <c r="I475" s="32" t="n">
        <v>145781000</v>
      </c>
      <c r="J475" s="33" t="n">
        <v>350</v>
      </c>
      <c r="K475" s="33" t="n">
        <v>20</v>
      </c>
      <c r="L475" s="34"/>
      <c r="M475" s="44" t="s">
        <v>321</v>
      </c>
      <c r="N475" s="36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9"/>
      <c r="Z475" s="39"/>
      <c r="AA475" s="28"/>
      <c r="AMJ475" s="0"/>
    </row>
    <row r="476" s="2" customFormat="true" ht="12.75" hidden="false" customHeight="true" outlineLevel="0" collapsed="false">
      <c r="A476" s="27" t="s">
        <v>1091</v>
      </c>
      <c r="B476" s="27" t="s">
        <v>237</v>
      </c>
      <c r="C476" s="28" t="s">
        <v>41</v>
      </c>
      <c r="D476" s="27" t="s">
        <v>645</v>
      </c>
      <c r="E476" s="27"/>
      <c r="F476" s="29" t="s">
        <v>1092</v>
      </c>
      <c r="G476" s="30" t="n">
        <v>75015</v>
      </c>
      <c r="H476" s="31" t="s">
        <v>36</v>
      </c>
      <c r="I476" s="32" t="n">
        <v>147346008</v>
      </c>
      <c r="J476" s="33" t="n">
        <v>302</v>
      </c>
      <c r="K476" s="33" t="n">
        <v>1</v>
      </c>
      <c r="L476" s="34"/>
      <c r="M476" s="35"/>
      <c r="N476" s="36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9"/>
      <c r="Z476" s="39"/>
      <c r="AA476" s="28"/>
      <c r="AMJ476" s="0"/>
    </row>
    <row r="477" s="2" customFormat="true" ht="12.75" hidden="false" customHeight="true" outlineLevel="0" collapsed="false">
      <c r="A477" s="27" t="s">
        <v>1093</v>
      </c>
      <c r="B477" s="27" t="s">
        <v>1094</v>
      </c>
      <c r="C477" s="28" t="s">
        <v>41</v>
      </c>
      <c r="D477" s="27" t="s">
        <v>645</v>
      </c>
      <c r="E477" s="27"/>
      <c r="F477" s="29" t="s">
        <v>1095</v>
      </c>
      <c r="G477" s="30" t="n">
        <v>75015</v>
      </c>
      <c r="H477" s="31" t="s">
        <v>36</v>
      </c>
      <c r="I477" s="32" t="n">
        <v>145755119</v>
      </c>
      <c r="J477" s="33" t="n">
        <v>173</v>
      </c>
      <c r="K477" s="33" t="n">
        <v>2</v>
      </c>
      <c r="L477" s="34"/>
      <c r="M477" s="35"/>
      <c r="N477" s="36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9"/>
      <c r="Z477" s="39"/>
      <c r="AA477" s="28"/>
      <c r="AMJ477" s="0"/>
    </row>
    <row r="478" s="2" customFormat="true" ht="12.75" hidden="false" customHeight="true" outlineLevel="0" collapsed="false">
      <c r="A478" s="27" t="s">
        <v>1096</v>
      </c>
      <c r="B478" s="27" t="s">
        <v>151</v>
      </c>
      <c r="C478" s="28" t="s">
        <v>41</v>
      </c>
      <c r="D478" s="27" t="s">
        <v>645</v>
      </c>
      <c r="E478" s="27"/>
      <c r="F478" s="29" t="s">
        <v>1097</v>
      </c>
      <c r="G478" s="30" t="n">
        <v>75015</v>
      </c>
      <c r="H478" s="31" t="s">
        <v>36</v>
      </c>
      <c r="I478" s="32" t="n">
        <v>184256097</v>
      </c>
      <c r="J478" s="33" t="n">
        <v>260</v>
      </c>
      <c r="K478" s="33" t="n">
        <v>6</v>
      </c>
      <c r="L478" s="34"/>
      <c r="M478" s="35"/>
      <c r="N478" s="36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9"/>
      <c r="Z478" s="39"/>
      <c r="AA478" s="28"/>
      <c r="AMJ478" s="0"/>
    </row>
    <row r="479" s="2" customFormat="true" ht="12.75" hidden="false" customHeight="true" outlineLevel="0" collapsed="false">
      <c r="A479" s="27" t="s">
        <v>1098</v>
      </c>
      <c r="B479" s="27" t="s">
        <v>177</v>
      </c>
      <c r="C479" s="28" t="s">
        <v>41</v>
      </c>
      <c r="D479" s="27" t="s">
        <v>645</v>
      </c>
      <c r="E479" s="27"/>
      <c r="F479" s="29" t="s">
        <v>1097</v>
      </c>
      <c r="G479" s="30" t="n">
        <v>75015</v>
      </c>
      <c r="H479" s="31" t="s">
        <v>36</v>
      </c>
      <c r="I479" s="32" t="n">
        <v>184256097</v>
      </c>
      <c r="J479" s="33" t="n">
        <v>238</v>
      </c>
      <c r="K479" s="33" t="n">
        <v>7</v>
      </c>
      <c r="L479" s="34"/>
      <c r="M479" s="35"/>
      <c r="N479" s="36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9"/>
      <c r="Z479" s="39"/>
      <c r="AA479" s="28"/>
      <c r="AMJ479" s="0"/>
    </row>
    <row r="480" s="2" customFormat="true" ht="12.75" hidden="false" customHeight="true" outlineLevel="0" collapsed="false">
      <c r="A480" s="27" t="s">
        <v>1099</v>
      </c>
      <c r="B480" s="27" t="s">
        <v>1100</v>
      </c>
      <c r="C480" s="28" t="s">
        <v>41</v>
      </c>
      <c r="D480" s="27" t="s">
        <v>645</v>
      </c>
      <c r="E480" s="27"/>
      <c r="F480" s="29" t="s">
        <v>1097</v>
      </c>
      <c r="G480" s="30" t="n">
        <v>75015</v>
      </c>
      <c r="H480" s="31" t="s">
        <v>36</v>
      </c>
      <c r="I480" s="32" t="n">
        <v>184256097</v>
      </c>
      <c r="J480" s="33" t="n">
        <v>0</v>
      </c>
      <c r="K480" s="33" t="n">
        <v>3</v>
      </c>
      <c r="L480" s="34"/>
      <c r="M480" s="35"/>
      <c r="N480" s="36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9"/>
      <c r="Z480" s="39"/>
      <c r="AA480" s="28"/>
      <c r="AMJ480" s="0"/>
    </row>
    <row r="481" s="2" customFormat="true" ht="12.75" hidden="false" customHeight="true" outlineLevel="0" collapsed="false">
      <c r="A481" s="27" t="s">
        <v>1101</v>
      </c>
      <c r="B481" s="27" t="s">
        <v>1067</v>
      </c>
      <c r="C481" s="28" t="s">
        <v>77</v>
      </c>
      <c r="D481" s="27" t="s">
        <v>645</v>
      </c>
      <c r="E481" s="27"/>
      <c r="F481" s="29" t="s">
        <v>1097</v>
      </c>
      <c r="G481" s="30" t="n">
        <v>75015</v>
      </c>
      <c r="H481" s="31" t="s">
        <v>36</v>
      </c>
      <c r="I481" s="32" t="n">
        <v>184256097</v>
      </c>
      <c r="J481" s="33" t="n">
        <v>338</v>
      </c>
      <c r="K481" s="33" t="n">
        <v>1</v>
      </c>
      <c r="L481" s="34"/>
      <c r="M481" s="35"/>
      <c r="N481" s="36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9"/>
      <c r="Z481" s="39"/>
      <c r="AA481" s="28"/>
      <c r="AMJ481" s="0"/>
    </row>
    <row r="482" s="2" customFormat="true" ht="12.75" hidden="false" customHeight="true" outlineLevel="0" collapsed="false">
      <c r="A482" s="27" t="s">
        <v>1102</v>
      </c>
      <c r="B482" s="27" t="s">
        <v>1103</v>
      </c>
      <c r="C482" s="28" t="s">
        <v>41</v>
      </c>
      <c r="D482" s="27" t="s">
        <v>645</v>
      </c>
      <c r="E482" s="27"/>
      <c r="F482" s="29" t="s">
        <v>1104</v>
      </c>
      <c r="G482" s="30" t="n">
        <v>75015</v>
      </c>
      <c r="H482" s="31" t="s">
        <v>36</v>
      </c>
      <c r="I482" s="32" t="n">
        <v>145585265</v>
      </c>
      <c r="J482" s="33" t="n">
        <v>388</v>
      </c>
      <c r="K482" s="33" t="n">
        <v>8</v>
      </c>
      <c r="L482" s="34"/>
      <c r="M482" s="35"/>
      <c r="N482" s="36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9"/>
      <c r="Z482" s="39"/>
      <c r="AA482" s="28"/>
      <c r="AMJ482" s="0"/>
    </row>
    <row r="483" s="2" customFormat="true" ht="12.75" hidden="false" customHeight="true" outlineLevel="0" collapsed="false">
      <c r="A483" s="27" t="s">
        <v>1105</v>
      </c>
      <c r="B483" s="27" t="s">
        <v>527</v>
      </c>
      <c r="C483" s="28" t="s">
        <v>41</v>
      </c>
      <c r="D483" s="27" t="s">
        <v>645</v>
      </c>
      <c r="E483" s="27"/>
      <c r="F483" s="29" t="s">
        <v>1106</v>
      </c>
      <c r="G483" s="30" t="n">
        <v>75015</v>
      </c>
      <c r="H483" s="31" t="s">
        <v>36</v>
      </c>
      <c r="I483" s="32" t="n">
        <v>142504061</v>
      </c>
      <c r="J483" s="33" t="n">
        <v>236</v>
      </c>
      <c r="K483" s="33" t="n">
        <v>0</v>
      </c>
      <c r="L483" s="34"/>
      <c r="M483" s="35"/>
      <c r="N483" s="36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9"/>
      <c r="Z483" s="39"/>
      <c r="AA483" s="28"/>
      <c r="AMJ483" s="0"/>
    </row>
    <row r="484" s="2" customFormat="true" ht="12.75" hidden="false" customHeight="true" outlineLevel="0" collapsed="false">
      <c r="A484" s="27" t="s">
        <v>1107</v>
      </c>
      <c r="B484" s="27" t="s">
        <v>889</v>
      </c>
      <c r="C484" s="28" t="s">
        <v>41</v>
      </c>
      <c r="D484" s="27" t="s">
        <v>645</v>
      </c>
      <c r="E484" s="27"/>
      <c r="F484" s="29" t="s">
        <v>1108</v>
      </c>
      <c r="G484" s="30" t="n">
        <v>75015</v>
      </c>
      <c r="H484" s="31" t="s">
        <v>36</v>
      </c>
      <c r="I484" s="32" t="n">
        <v>140574710</v>
      </c>
      <c r="J484" s="33" t="n">
        <v>175</v>
      </c>
      <c r="K484" s="33" t="n">
        <v>1</v>
      </c>
      <c r="L484" s="34"/>
      <c r="M484" s="35"/>
      <c r="N484" s="36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9"/>
      <c r="Z484" s="39"/>
      <c r="AA484" s="28"/>
      <c r="AMJ484" s="0"/>
    </row>
    <row r="485" s="2" customFormat="true" ht="12.75" hidden="false" customHeight="true" outlineLevel="0" collapsed="false">
      <c r="A485" s="27" t="s">
        <v>1109</v>
      </c>
      <c r="B485" s="27" t="s">
        <v>1110</v>
      </c>
      <c r="C485" s="28" t="s">
        <v>41</v>
      </c>
      <c r="D485" s="27" t="s">
        <v>645</v>
      </c>
      <c r="E485" s="27"/>
      <c r="F485" s="29" t="s">
        <v>1111</v>
      </c>
      <c r="G485" s="30" t="n">
        <v>75015</v>
      </c>
      <c r="H485" s="31" t="s">
        <v>36</v>
      </c>
      <c r="I485" s="32" t="n">
        <v>145667051</v>
      </c>
      <c r="J485" s="33" t="n">
        <v>242</v>
      </c>
      <c r="K485" s="33" t="n">
        <v>1</v>
      </c>
      <c r="L485" s="34"/>
      <c r="M485" s="35"/>
      <c r="N485" s="36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9"/>
      <c r="Z485" s="39"/>
      <c r="AA485" s="28"/>
      <c r="AMJ485" s="0"/>
    </row>
    <row r="486" s="2" customFormat="true" ht="12.75" hidden="false" customHeight="true" outlineLevel="0" collapsed="false">
      <c r="A486" s="27" t="s">
        <v>1112</v>
      </c>
      <c r="B486" s="27" t="s">
        <v>1113</v>
      </c>
      <c r="C486" s="28" t="s">
        <v>41</v>
      </c>
      <c r="D486" s="27" t="s">
        <v>645</v>
      </c>
      <c r="E486" s="27"/>
      <c r="F486" s="29" t="s">
        <v>1114</v>
      </c>
      <c r="G486" s="30" t="n">
        <v>75015</v>
      </c>
      <c r="H486" s="31" t="s">
        <v>36</v>
      </c>
      <c r="I486" s="32" t="n">
        <v>145570500</v>
      </c>
      <c r="J486" s="33" t="n">
        <v>386</v>
      </c>
      <c r="K486" s="33" t="n">
        <v>24</v>
      </c>
      <c r="L486" s="34" t="n">
        <v>3</v>
      </c>
      <c r="M486" s="35" t="s">
        <v>716</v>
      </c>
      <c r="N486" s="36"/>
      <c r="O486" s="41"/>
      <c r="P486" s="41" t="n">
        <v>0.583333333333333</v>
      </c>
      <c r="Q486" s="41"/>
      <c r="R486" s="41" t="n">
        <v>0.583333333333333</v>
      </c>
      <c r="S486" s="41"/>
      <c r="T486" s="41"/>
      <c r="U486" s="41"/>
      <c r="V486" s="41"/>
      <c r="W486" s="41"/>
      <c r="X486" s="41"/>
      <c r="Y486" s="39" t="n">
        <v>45180.5833333333</v>
      </c>
      <c r="Z486" s="39"/>
      <c r="AA486" s="28" t="n">
        <v>3</v>
      </c>
      <c r="AMJ486" s="0"/>
    </row>
    <row r="487" s="2" customFormat="true" ht="12.75" hidden="false" customHeight="true" outlineLevel="0" collapsed="false">
      <c r="A487" s="27" t="s">
        <v>1115</v>
      </c>
      <c r="B487" s="27" t="s">
        <v>124</v>
      </c>
      <c r="C487" s="28" t="s">
        <v>33</v>
      </c>
      <c r="D487" s="27" t="s">
        <v>645</v>
      </c>
      <c r="E487" s="27"/>
      <c r="F487" s="29" t="s">
        <v>1116</v>
      </c>
      <c r="G487" s="30" t="n">
        <v>75015</v>
      </c>
      <c r="H487" s="31" t="s">
        <v>36</v>
      </c>
      <c r="I487" s="32" t="n">
        <v>143066737</v>
      </c>
      <c r="J487" s="33" t="n">
        <v>51</v>
      </c>
      <c r="K487" s="33" t="n">
        <v>1</v>
      </c>
      <c r="L487" s="34"/>
      <c r="M487" s="35"/>
      <c r="N487" s="36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9"/>
      <c r="Z487" s="39"/>
      <c r="AA487" s="28"/>
      <c r="AC487" s="2" t="s">
        <v>38</v>
      </c>
      <c r="AMJ487" s="0"/>
    </row>
    <row r="488" s="2" customFormat="true" ht="12.75" hidden="false" customHeight="true" outlineLevel="0" collapsed="false">
      <c r="A488" s="27" t="s">
        <v>1117</v>
      </c>
      <c r="B488" s="27" t="s">
        <v>1118</v>
      </c>
      <c r="C488" s="28" t="s">
        <v>41</v>
      </c>
      <c r="D488" s="27" t="s">
        <v>645</v>
      </c>
      <c r="E488" s="27"/>
      <c r="F488" s="29" t="s">
        <v>1119</v>
      </c>
      <c r="G488" s="30" t="n">
        <v>75015</v>
      </c>
      <c r="H488" s="31" t="s">
        <v>36</v>
      </c>
      <c r="I488" s="32" t="n">
        <v>145795641</v>
      </c>
      <c r="J488" s="33" t="n">
        <v>265</v>
      </c>
      <c r="K488" s="33" t="n">
        <v>16</v>
      </c>
      <c r="L488" s="34"/>
      <c r="M488" s="35" t="s">
        <v>164</v>
      </c>
      <c r="N488" s="36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9"/>
      <c r="Z488" s="39"/>
      <c r="AA488" s="28"/>
      <c r="AMJ488" s="0"/>
    </row>
    <row r="489" s="2" customFormat="true" ht="12.75" hidden="false" customHeight="true" outlineLevel="0" collapsed="false">
      <c r="A489" s="27" t="s">
        <v>1120</v>
      </c>
      <c r="B489" s="27" t="s">
        <v>1121</v>
      </c>
      <c r="C489" s="28" t="s">
        <v>41</v>
      </c>
      <c r="D489" s="27" t="s">
        <v>645</v>
      </c>
      <c r="E489" s="27"/>
      <c r="F489" s="29" t="s">
        <v>1119</v>
      </c>
      <c r="G489" s="30" t="n">
        <v>75015</v>
      </c>
      <c r="H489" s="31" t="s">
        <v>36</v>
      </c>
      <c r="I489" s="32" t="n">
        <v>145795641</v>
      </c>
      <c r="J489" s="33" t="n">
        <v>81</v>
      </c>
      <c r="K489" s="33" t="n">
        <v>4</v>
      </c>
      <c r="L489" s="34"/>
      <c r="M489" s="35"/>
      <c r="N489" s="36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9"/>
      <c r="Z489" s="39"/>
      <c r="AA489" s="28"/>
      <c r="AMJ489" s="0"/>
    </row>
    <row r="490" s="2" customFormat="true" ht="12.75" hidden="false" customHeight="true" outlineLevel="0" collapsed="false">
      <c r="A490" s="27" t="s">
        <v>1122</v>
      </c>
      <c r="B490" s="27" t="s">
        <v>1123</v>
      </c>
      <c r="C490" s="28" t="s">
        <v>41</v>
      </c>
      <c r="D490" s="27" t="s">
        <v>1124</v>
      </c>
      <c r="E490" s="27"/>
      <c r="F490" s="29" t="s">
        <v>1125</v>
      </c>
      <c r="G490" s="30" t="n">
        <v>75007</v>
      </c>
      <c r="H490" s="31" t="s">
        <v>36</v>
      </c>
      <c r="I490" s="32" t="n">
        <v>145631843</v>
      </c>
      <c r="J490" s="33" t="n">
        <v>316</v>
      </c>
      <c r="K490" s="33" t="n">
        <v>1</v>
      </c>
      <c r="L490" s="34"/>
      <c r="M490" s="35"/>
      <c r="N490" s="36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9"/>
      <c r="Z490" s="39"/>
      <c r="AA490" s="28"/>
      <c r="AMJ490" s="0"/>
    </row>
    <row r="491" s="2" customFormat="true" ht="12.75" hidden="false" customHeight="true" outlineLevel="0" collapsed="false">
      <c r="A491" s="27" t="s">
        <v>1126</v>
      </c>
      <c r="B491" s="27" t="s">
        <v>1127</v>
      </c>
      <c r="C491" s="28" t="s">
        <v>33</v>
      </c>
      <c r="D491" s="27" t="s">
        <v>1124</v>
      </c>
      <c r="E491" s="27"/>
      <c r="F491" s="29" t="s">
        <v>1128</v>
      </c>
      <c r="G491" s="30" t="n">
        <v>75007</v>
      </c>
      <c r="H491" s="31" t="s">
        <v>36</v>
      </c>
      <c r="I491" s="32" t="n">
        <v>142731280</v>
      </c>
      <c r="J491" s="33" t="n">
        <v>51</v>
      </c>
      <c r="K491" s="33" t="n">
        <v>2</v>
      </c>
      <c r="L491" s="34"/>
      <c r="M491" s="35"/>
      <c r="N491" s="36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9"/>
      <c r="Z491" s="39"/>
      <c r="AA491" s="28"/>
      <c r="AC491" s="2" t="s">
        <v>197</v>
      </c>
      <c r="AMJ491" s="0"/>
    </row>
    <row r="492" s="2" customFormat="true" ht="12.75" hidden="false" customHeight="true" outlineLevel="0" collapsed="false">
      <c r="A492" s="27" t="s">
        <v>1129</v>
      </c>
      <c r="B492" s="27" t="s">
        <v>1130</v>
      </c>
      <c r="C492" s="28" t="s">
        <v>41</v>
      </c>
      <c r="D492" s="27" t="s">
        <v>1124</v>
      </c>
      <c r="E492" s="27"/>
      <c r="F492" s="29" t="s">
        <v>1131</v>
      </c>
      <c r="G492" s="30" t="n">
        <v>75007</v>
      </c>
      <c r="H492" s="31" t="s">
        <v>36</v>
      </c>
      <c r="I492" s="32" t="n">
        <v>171282346</v>
      </c>
      <c r="J492" s="33" t="n">
        <v>364</v>
      </c>
      <c r="K492" s="33" t="n">
        <v>2</v>
      </c>
      <c r="L492" s="34"/>
      <c r="M492" s="35"/>
      <c r="N492" s="36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9"/>
      <c r="Z492" s="39"/>
      <c r="AA492" s="28"/>
      <c r="AMJ492" s="0"/>
    </row>
    <row r="493" s="2" customFormat="true" ht="12.75" hidden="false" customHeight="true" outlineLevel="0" collapsed="false">
      <c r="A493" s="27" t="s">
        <v>1132</v>
      </c>
      <c r="B493" s="27" t="s">
        <v>182</v>
      </c>
      <c r="C493" s="28" t="s">
        <v>33</v>
      </c>
      <c r="D493" s="27" t="s">
        <v>1124</v>
      </c>
      <c r="E493" s="27"/>
      <c r="F493" s="29" t="s">
        <v>1133</v>
      </c>
      <c r="G493" s="30" t="n">
        <v>75007</v>
      </c>
      <c r="H493" s="31" t="s">
        <v>36</v>
      </c>
      <c r="I493" s="32" t="n">
        <v>145670091</v>
      </c>
      <c r="J493" s="33" t="n">
        <v>56</v>
      </c>
      <c r="K493" s="33" t="n">
        <v>0</v>
      </c>
      <c r="L493" s="34"/>
      <c r="M493" s="35"/>
      <c r="N493" s="36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9"/>
      <c r="Z493" s="39"/>
      <c r="AA493" s="28"/>
      <c r="AC493" s="2" t="s">
        <v>38</v>
      </c>
      <c r="AMJ493" s="0"/>
    </row>
    <row r="494" s="2" customFormat="true" ht="12.75" hidden="false" customHeight="true" outlineLevel="0" collapsed="false">
      <c r="A494" s="27" t="s">
        <v>862</v>
      </c>
      <c r="B494" s="27" t="s">
        <v>672</v>
      </c>
      <c r="C494" s="28" t="s">
        <v>33</v>
      </c>
      <c r="D494" s="27" t="s">
        <v>1124</v>
      </c>
      <c r="E494" s="27"/>
      <c r="F494" s="29" t="s">
        <v>1133</v>
      </c>
      <c r="G494" s="30" t="n">
        <v>75007</v>
      </c>
      <c r="H494" s="31" t="s">
        <v>36</v>
      </c>
      <c r="I494" s="32" t="n">
        <v>140560540</v>
      </c>
      <c r="J494" s="33" t="n">
        <v>51</v>
      </c>
      <c r="K494" s="33" t="n">
        <v>0</v>
      </c>
      <c r="L494" s="34"/>
      <c r="M494" s="35"/>
      <c r="N494" s="36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9"/>
      <c r="Z494" s="39"/>
      <c r="AA494" s="28"/>
      <c r="AC494" s="2" t="s">
        <v>38</v>
      </c>
      <c r="AMJ494" s="0"/>
    </row>
    <row r="495" s="2" customFormat="true" ht="12.75" hidden="false" customHeight="true" outlineLevel="0" collapsed="false">
      <c r="A495" s="27" t="s">
        <v>1134</v>
      </c>
      <c r="B495" s="27" t="s">
        <v>377</v>
      </c>
      <c r="C495" s="28" t="s">
        <v>41</v>
      </c>
      <c r="D495" s="27" t="s">
        <v>1124</v>
      </c>
      <c r="E495" s="27"/>
      <c r="F495" s="29" t="s">
        <v>1135</v>
      </c>
      <c r="G495" s="30" t="n">
        <v>75007</v>
      </c>
      <c r="H495" s="31" t="s">
        <v>36</v>
      </c>
      <c r="I495" s="32" t="n">
        <v>156060615</v>
      </c>
      <c r="J495" s="33" t="n">
        <v>232</v>
      </c>
      <c r="K495" s="33" t="n">
        <v>1</v>
      </c>
      <c r="L495" s="34"/>
      <c r="M495" s="35"/>
      <c r="N495" s="36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9"/>
      <c r="Z495" s="39"/>
      <c r="AA495" s="28"/>
      <c r="AMJ495" s="0"/>
    </row>
    <row r="496" s="2" customFormat="true" ht="12.75" hidden="false" customHeight="true" outlineLevel="0" collapsed="false">
      <c r="A496" s="27" t="s">
        <v>1136</v>
      </c>
      <c r="B496" s="27" t="s">
        <v>446</v>
      </c>
      <c r="C496" s="28" t="s">
        <v>41</v>
      </c>
      <c r="D496" s="27" t="s">
        <v>1124</v>
      </c>
      <c r="E496" s="27"/>
      <c r="F496" s="29" t="s">
        <v>1135</v>
      </c>
      <c r="G496" s="30" t="n">
        <v>75007</v>
      </c>
      <c r="H496" s="31" t="s">
        <v>36</v>
      </c>
      <c r="I496" s="32" t="n">
        <v>144425861</v>
      </c>
      <c r="J496" s="33" t="n">
        <v>161</v>
      </c>
      <c r="K496" s="33" t="n">
        <v>2</v>
      </c>
      <c r="L496" s="34"/>
      <c r="M496" s="35"/>
      <c r="N496" s="36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9"/>
      <c r="Z496" s="39"/>
      <c r="AA496" s="28"/>
      <c r="AMJ496" s="0"/>
    </row>
    <row r="497" s="2" customFormat="true" ht="12.75" hidden="false" customHeight="true" outlineLevel="0" collapsed="false">
      <c r="A497" s="27" t="s">
        <v>1137</v>
      </c>
      <c r="B497" s="27" t="s">
        <v>1138</v>
      </c>
      <c r="C497" s="28" t="s">
        <v>41</v>
      </c>
      <c r="D497" s="27" t="s">
        <v>1124</v>
      </c>
      <c r="E497" s="27"/>
      <c r="F497" s="29" t="s">
        <v>1139</v>
      </c>
      <c r="G497" s="30" t="n">
        <v>75007</v>
      </c>
      <c r="H497" s="31" t="s">
        <v>36</v>
      </c>
      <c r="I497" s="32"/>
      <c r="J497" s="33" t="n">
        <v>362</v>
      </c>
      <c r="K497" s="33" t="n">
        <v>1</v>
      </c>
      <c r="L497" s="34"/>
      <c r="M497" s="35"/>
      <c r="N497" s="36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9"/>
      <c r="Z497" s="39"/>
      <c r="AA497" s="28"/>
      <c r="AMJ497" s="0"/>
    </row>
    <row r="498" s="2" customFormat="true" ht="12.75" hidden="false" customHeight="true" outlineLevel="0" collapsed="false">
      <c r="A498" s="27" t="s">
        <v>497</v>
      </c>
      <c r="B498" s="27" t="s">
        <v>490</v>
      </c>
      <c r="C498" s="28" t="s">
        <v>41</v>
      </c>
      <c r="D498" s="27" t="s">
        <v>1124</v>
      </c>
      <c r="E498" s="27"/>
      <c r="F498" s="29" t="s">
        <v>1139</v>
      </c>
      <c r="G498" s="30" t="n">
        <v>75007</v>
      </c>
      <c r="H498" s="31" t="s">
        <v>36</v>
      </c>
      <c r="I498" s="32"/>
      <c r="J498" s="33" t="n">
        <v>287</v>
      </c>
      <c r="K498" s="33" t="n">
        <v>2</v>
      </c>
      <c r="L498" s="34" t="n">
        <v>1</v>
      </c>
      <c r="M498" s="35" t="s">
        <v>164</v>
      </c>
      <c r="N498" s="36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39"/>
      <c r="Z498" s="39"/>
      <c r="AA498" s="28"/>
      <c r="AMJ498" s="0"/>
    </row>
    <row r="499" s="2" customFormat="true" ht="12.75" hidden="false" customHeight="true" outlineLevel="0" collapsed="false">
      <c r="A499" s="27" t="s">
        <v>1140</v>
      </c>
      <c r="B499" s="27" t="s">
        <v>1141</v>
      </c>
      <c r="C499" s="28" t="s">
        <v>33</v>
      </c>
      <c r="D499" s="27" t="s">
        <v>1124</v>
      </c>
      <c r="E499" s="27"/>
      <c r="F499" s="29" t="s">
        <v>1139</v>
      </c>
      <c r="G499" s="30" t="n">
        <v>75007</v>
      </c>
      <c r="H499" s="31" t="s">
        <v>36</v>
      </c>
      <c r="I499" s="32"/>
      <c r="J499" s="33" t="n">
        <v>65</v>
      </c>
      <c r="K499" s="33" t="n">
        <v>2</v>
      </c>
      <c r="L499" s="34"/>
      <c r="M499" s="35"/>
      <c r="N499" s="36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9"/>
      <c r="Z499" s="39"/>
      <c r="AA499" s="28"/>
      <c r="AC499" s="2" t="s">
        <v>38</v>
      </c>
      <c r="AMJ499" s="0"/>
    </row>
    <row r="500" s="2" customFormat="true" ht="12.75" hidden="false" customHeight="true" outlineLevel="0" collapsed="false">
      <c r="A500" s="27" t="s">
        <v>1142</v>
      </c>
      <c r="B500" s="27" t="s">
        <v>285</v>
      </c>
      <c r="C500" s="28" t="s">
        <v>33</v>
      </c>
      <c r="D500" s="27" t="s">
        <v>1124</v>
      </c>
      <c r="E500" s="27"/>
      <c r="F500" s="29" t="s">
        <v>1139</v>
      </c>
      <c r="G500" s="30" t="n">
        <v>75007</v>
      </c>
      <c r="H500" s="31" t="s">
        <v>36</v>
      </c>
      <c r="I500" s="32"/>
      <c r="J500" s="33" t="n">
        <v>62</v>
      </c>
      <c r="K500" s="33" t="n">
        <v>0</v>
      </c>
      <c r="L500" s="34"/>
      <c r="M500" s="35"/>
      <c r="N500" s="36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9"/>
      <c r="Z500" s="39"/>
      <c r="AA500" s="28"/>
      <c r="AC500" s="2" t="s">
        <v>38</v>
      </c>
      <c r="AMJ500" s="0"/>
    </row>
    <row r="501" s="2" customFormat="true" ht="12.75" hidden="false" customHeight="true" outlineLevel="0" collapsed="false">
      <c r="A501" s="27" t="s">
        <v>690</v>
      </c>
      <c r="B501" s="27" t="s">
        <v>377</v>
      </c>
      <c r="C501" s="28" t="s">
        <v>41</v>
      </c>
      <c r="D501" s="27" t="s">
        <v>1124</v>
      </c>
      <c r="E501" s="27"/>
      <c r="F501" s="29" t="s">
        <v>1143</v>
      </c>
      <c r="G501" s="30" t="n">
        <v>75007</v>
      </c>
      <c r="H501" s="31" t="s">
        <v>36</v>
      </c>
      <c r="I501" s="32" t="n">
        <v>142841445</v>
      </c>
      <c r="J501" s="33" t="n">
        <v>398</v>
      </c>
      <c r="K501" s="33" t="n">
        <v>1</v>
      </c>
      <c r="L501" s="34"/>
      <c r="M501" s="35"/>
      <c r="N501" s="36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9"/>
      <c r="Z501" s="39"/>
      <c r="AA501" s="28"/>
      <c r="AMJ501" s="0"/>
    </row>
    <row r="502" s="2" customFormat="true" ht="12.75" hidden="false" customHeight="true" outlineLevel="0" collapsed="false">
      <c r="A502" s="27" t="s">
        <v>1144</v>
      </c>
      <c r="B502" s="27" t="s">
        <v>329</v>
      </c>
      <c r="C502" s="28" t="s">
        <v>33</v>
      </c>
      <c r="D502" s="27" t="s">
        <v>1124</v>
      </c>
      <c r="E502" s="27"/>
      <c r="F502" s="29" t="s">
        <v>1143</v>
      </c>
      <c r="G502" s="30" t="n">
        <v>75007</v>
      </c>
      <c r="H502" s="31" t="s">
        <v>36</v>
      </c>
      <c r="I502" s="32" t="n">
        <v>142222595</v>
      </c>
      <c r="J502" s="33" t="n">
        <v>73</v>
      </c>
      <c r="K502" s="33" t="n">
        <v>1</v>
      </c>
      <c r="L502" s="34"/>
      <c r="M502" s="35"/>
      <c r="N502" s="36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9"/>
      <c r="Z502" s="39"/>
      <c r="AA502" s="28"/>
      <c r="AC502" s="2" t="s">
        <v>197</v>
      </c>
      <c r="AMJ502" s="0"/>
    </row>
    <row r="503" s="2" customFormat="true" ht="12.75" hidden="false" customHeight="true" outlineLevel="0" collapsed="false">
      <c r="A503" s="27" t="s">
        <v>1145</v>
      </c>
      <c r="B503" s="27" t="s">
        <v>1146</v>
      </c>
      <c r="C503" s="28" t="s">
        <v>41</v>
      </c>
      <c r="D503" s="27" t="s">
        <v>1124</v>
      </c>
      <c r="E503" s="27"/>
      <c r="F503" s="29" t="s">
        <v>1147</v>
      </c>
      <c r="G503" s="30" t="n">
        <v>75007</v>
      </c>
      <c r="H503" s="31" t="s">
        <v>36</v>
      </c>
      <c r="I503" s="32"/>
      <c r="J503" s="33" t="n">
        <v>306</v>
      </c>
      <c r="K503" s="33" t="n">
        <v>1</v>
      </c>
      <c r="L503" s="34"/>
      <c r="M503" s="35"/>
      <c r="N503" s="36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9"/>
      <c r="Z503" s="39"/>
      <c r="AA503" s="28"/>
      <c r="AMJ503" s="0"/>
    </row>
    <row r="504" s="2" customFormat="true" ht="12.75" hidden="false" customHeight="true" outlineLevel="0" collapsed="false">
      <c r="A504" s="27" t="s">
        <v>1148</v>
      </c>
      <c r="B504" s="27" t="s">
        <v>1149</v>
      </c>
      <c r="C504" s="28" t="s">
        <v>41</v>
      </c>
      <c r="D504" s="27" t="s">
        <v>1124</v>
      </c>
      <c r="E504" s="27"/>
      <c r="F504" s="29" t="s">
        <v>1150</v>
      </c>
      <c r="G504" s="30" t="n">
        <v>75007</v>
      </c>
      <c r="H504" s="31" t="s">
        <v>36</v>
      </c>
      <c r="I504" s="32" t="n">
        <v>143066112</v>
      </c>
      <c r="J504" s="33" t="n">
        <v>946</v>
      </c>
      <c r="K504" s="33" t="n">
        <v>7</v>
      </c>
      <c r="L504" s="34"/>
      <c r="M504" s="35" t="s">
        <v>155</v>
      </c>
      <c r="N504" s="36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9"/>
      <c r="Z504" s="39" t="n">
        <v>45216.7083333333</v>
      </c>
      <c r="AA504" s="28"/>
      <c r="AMJ504" s="0"/>
    </row>
    <row r="505" s="2" customFormat="true" ht="12.75" hidden="false" customHeight="true" outlineLevel="0" collapsed="false">
      <c r="A505" s="27" t="s">
        <v>1151</v>
      </c>
      <c r="B505" s="27" t="s">
        <v>195</v>
      </c>
      <c r="C505" s="28" t="s">
        <v>33</v>
      </c>
      <c r="D505" s="27" t="s">
        <v>1124</v>
      </c>
      <c r="E505" s="27"/>
      <c r="F505" s="29" t="s">
        <v>1152</v>
      </c>
      <c r="G505" s="30" t="n">
        <v>75007</v>
      </c>
      <c r="H505" s="31" t="s">
        <v>36</v>
      </c>
      <c r="I505" s="32" t="n">
        <v>142224155</v>
      </c>
      <c r="J505" s="33" t="n">
        <v>64</v>
      </c>
      <c r="K505" s="33" t="n">
        <v>0</v>
      </c>
      <c r="L505" s="34"/>
      <c r="M505" s="35"/>
      <c r="N505" s="36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9"/>
      <c r="Z505" s="39"/>
      <c r="AA505" s="28"/>
      <c r="AC505" s="2" t="s">
        <v>38</v>
      </c>
      <c r="AMJ505" s="0"/>
    </row>
    <row r="506" s="2" customFormat="true" ht="12.75" hidden="false" customHeight="true" outlineLevel="0" collapsed="false">
      <c r="A506" s="27" t="s">
        <v>1153</v>
      </c>
      <c r="B506" s="27" t="s">
        <v>157</v>
      </c>
      <c r="C506" s="28" t="s">
        <v>178</v>
      </c>
      <c r="D506" s="27" t="s">
        <v>1124</v>
      </c>
      <c r="E506" s="27"/>
      <c r="F506" s="29" t="s">
        <v>1154</v>
      </c>
      <c r="G506" s="30" t="n">
        <v>75017</v>
      </c>
      <c r="H506" s="31" t="s">
        <v>36</v>
      </c>
      <c r="I506" s="32" t="n">
        <v>188405960</v>
      </c>
      <c r="J506" s="33" t="n">
        <v>89</v>
      </c>
      <c r="K506" s="33" t="n">
        <v>25</v>
      </c>
      <c r="L506" s="34" t="n">
        <v>3</v>
      </c>
      <c r="M506" s="43" t="s">
        <v>155</v>
      </c>
      <c r="N506" s="36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39"/>
      <c r="Z506" s="39" t="n">
        <v>45244.5729166667</v>
      </c>
      <c r="AA506" s="28" t="n">
        <v>3</v>
      </c>
      <c r="AMJ506" s="0"/>
    </row>
    <row r="507" s="2" customFormat="true" ht="12.75" hidden="false" customHeight="true" outlineLevel="0" collapsed="false">
      <c r="A507" s="27" t="s">
        <v>1155</v>
      </c>
      <c r="B507" s="27" t="s">
        <v>351</v>
      </c>
      <c r="C507" s="28" t="s">
        <v>121</v>
      </c>
      <c r="D507" s="27" t="s">
        <v>1124</v>
      </c>
      <c r="E507" s="27"/>
      <c r="F507" s="29" t="s">
        <v>1156</v>
      </c>
      <c r="G507" s="30" t="n">
        <v>75007</v>
      </c>
      <c r="H507" s="31" t="s">
        <v>36</v>
      </c>
      <c r="I507" s="32" t="n">
        <v>177855300</v>
      </c>
      <c r="J507" s="33" t="n">
        <v>102</v>
      </c>
      <c r="K507" s="33" t="n">
        <v>6</v>
      </c>
      <c r="L507" s="34"/>
      <c r="M507" s="35"/>
      <c r="N507" s="36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9"/>
      <c r="Z507" s="39"/>
      <c r="AA507" s="28"/>
      <c r="AMJ507" s="0"/>
    </row>
    <row r="508" s="2" customFormat="true" ht="12.75" hidden="false" customHeight="true" outlineLevel="0" collapsed="false">
      <c r="A508" s="27" t="s">
        <v>1157</v>
      </c>
      <c r="B508" s="27" t="s">
        <v>210</v>
      </c>
      <c r="C508" s="28" t="s">
        <v>41</v>
      </c>
      <c r="D508" s="27" t="s">
        <v>1124</v>
      </c>
      <c r="E508" s="27"/>
      <c r="F508" s="29" t="s">
        <v>1158</v>
      </c>
      <c r="G508" s="30" t="n">
        <v>75007</v>
      </c>
      <c r="H508" s="31" t="s">
        <v>36</v>
      </c>
      <c r="I508" s="32" t="n">
        <v>140599182</v>
      </c>
      <c r="J508" s="33" t="n">
        <v>352</v>
      </c>
      <c r="K508" s="33" t="n">
        <v>9</v>
      </c>
      <c r="L508" s="34"/>
      <c r="M508" s="35"/>
      <c r="N508" s="36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9"/>
      <c r="Z508" s="39"/>
      <c r="AA508" s="28"/>
      <c r="AMJ508" s="0"/>
    </row>
    <row r="509" s="2" customFormat="true" ht="12.75" hidden="false" customHeight="true" outlineLevel="0" collapsed="false">
      <c r="A509" s="27" t="s">
        <v>1159</v>
      </c>
      <c r="B509" s="27" t="s">
        <v>1160</v>
      </c>
      <c r="C509" s="28" t="s">
        <v>41</v>
      </c>
      <c r="D509" s="27" t="s">
        <v>1124</v>
      </c>
      <c r="E509" s="27"/>
      <c r="F509" s="29" t="s">
        <v>1161</v>
      </c>
      <c r="G509" s="30" t="n">
        <v>75007</v>
      </c>
      <c r="H509" s="31" t="s">
        <v>36</v>
      </c>
      <c r="I509" s="32" t="n">
        <v>145490706</v>
      </c>
      <c r="J509" s="33" t="n">
        <v>402</v>
      </c>
      <c r="K509" s="33" t="n">
        <v>0</v>
      </c>
      <c r="L509" s="34"/>
      <c r="M509" s="35"/>
      <c r="N509" s="36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9"/>
      <c r="Z509" s="39"/>
      <c r="AA509" s="28"/>
      <c r="AMJ509" s="0"/>
    </row>
    <row r="510" s="2" customFormat="true" ht="12.75" hidden="false" customHeight="true" outlineLevel="0" collapsed="false">
      <c r="A510" s="27" t="s">
        <v>1162</v>
      </c>
      <c r="B510" s="27" t="s">
        <v>1163</v>
      </c>
      <c r="C510" s="28" t="s">
        <v>138</v>
      </c>
      <c r="D510" s="27" t="s">
        <v>1124</v>
      </c>
      <c r="E510" s="27"/>
      <c r="F510" s="29" t="s">
        <v>1164</v>
      </c>
      <c r="G510" s="30" t="n">
        <v>75007</v>
      </c>
      <c r="H510" s="31" t="s">
        <v>36</v>
      </c>
      <c r="I510" s="32" t="n">
        <v>145518232</v>
      </c>
      <c r="J510" s="33" t="n">
        <v>124</v>
      </c>
      <c r="K510" s="33" t="n">
        <v>6</v>
      </c>
      <c r="L510" s="34" t="n">
        <v>3</v>
      </c>
      <c r="M510" s="35" t="s">
        <v>164</v>
      </c>
      <c r="N510" s="36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39"/>
      <c r="Z510" s="39"/>
      <c r="AA510" s="28" t="n">
        <v>3</v>
      </c>
      <c r="AMJ510" s="0"/>
    </row>
    <row r="511" s="2" customFormat="true" ht="12.75" hidden="false" customHeight="true" outlineLevel="0" collapsed="false">
      <c r="A511" s="27" t="s">
        <v>1165</v>
      </c>
      <c r="B511" s="27" t="s">
        <v>1166</v>
      </c>
      <c r="C511" s="28" t="s">
        <v>138</v>
      </c>
      <c r="D511" s="27" t="s">
        <v>1124</v>
      </c>
      <c r="E511" s="27"/>
      <c r="F511" s="29" t="s">
        <v>1164</v>
      </c>
      <c r="G511" s="30" t="n">
        <v>75007</v>
      </c>
      <c r="H511" s="31" t="s">
        <v>36</v>
      </c>
      <c r="I511" s="32" t="n">
        <v>145501945</v>
      </c>
      <c r="J511" s="33" t="n">
        <v>121</v>
      </c>
      <c r="K511" s="33" t="n">
        <v>6</v>
      </c>
      <c r="L511" s="34" t="n">
        <v>3</v>
      </c>
      <c r="M511" s="35" t="s">
        <v>164</v>
      </c>
      <c r="N511" s="36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39"/>
      <c r="Z511" s="39"/>
      <c r="AA511" s="28" t="n">
        <v>3</v>
      </c>
      <c r="AMJ511" s="0"/>
    </row>
    <row r="512" s="2" customFormat="true" ht="12.75" hidden="false" customHeight="true" outlineLevel="0" collapsed="false">
      <c r="A512" s="27" t="s">
        <v>1167</v>
      </c>
      <c r="B512" s="27" t="s">
        <v>88</v>
      </c>
      <c r="C512" s="28" t="s">
        <v>41</v>
      </c>
      <c r="D512" s="27" t="s">
        <v>1124</v>
      </c>
      <c r="E512" s="27"/>
      <c r="F512" s="29" t="s">
        <v>1168</v>
      </c>
      <c r="G512" s="30" t="n">
        <v>75007</v>
      </c>
      <c r="H512" s="31" t="s">
        <v>36</v>
      </c>
      <c r="I512" s="32"/>
      <c r="J512" s="33" t="n">
        <v>244</v>
      </c>
      <c r="K512" s="33" t="n">
        <v>0</v>
      </c>
      <c r="L512" s="34"/>
      <c r="M512" s="35"/>
      <c r="N512" s="36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9"/>
      <c r="Z512" s="39"/>
      <c r="AA512" s="28"/>
      <c r="AMJ512" s="0"/>
    </row>
    <row r="513" s="2" customFormat="true" ht="12.75" hidden="false" customHeight="true" outlineLevel="0" collapsed="false">
      <c r="A513" s="27" t="s">
        <v>1169</v>
      </c>
      <c r="B513" s="27" t="s">
        <v>151</v>
      </c>
      <c r="C513" s="28" t="s">
        <v>41</v>
      </c>
      <c r="D513" s="27" t="s">
        <v>1124</v>
      </c>
      <c r="E513" s="27"/>
      <c r="F513" s="29" t="s">
        <v>1170</v>
      </c>
      <c r="G513" s="30" t="n">
        <v>75007</v>
      </c>
      <c r="H513" s="31" t="s">
        <v>36</v>
      </c>
      <c r="I513" s="32" t="n">
        <v>145240124</v>
      </c>
      <c r="J513" s="33" t="n">
        <v>321</v>
      </c>
      <c r="K513" s="33" t="n">
        <v>0</v>
      </c>
      <c r="L513" s="34"/>
      <c r="M513" s="35"/>
      <c r="N513" s="36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9"/>
      <c r="Z513" s="39"/>
      <c r="AA513" s="28"/>
      <c r="AMJ513" s="0"/>
    </row>
    <row r="514" s="2" customFormat="true" ht="12.75" hidden="false" customHeight="true" outlineLevel="0" collapsed="false">
      <c r="A514" s="27" t="s">
        <v>1171</v>
      </c>
      <c r="B514" s="27" t="s">
        <v>1172</v>
      </c>
      <c r="C514" s="28" t="s">
        <v>41</v>
      </c>
      <c r="D514" s="27" t="s">
        <v>1124</v>
      </c>
      <c r="E514" s="27"/>
      <c r="F514" s="29" t="s">
        <v>1173</v>
      </c>
      <c r="G514" s="30" t="n">
        <v>75007</v>
      </c>
      <c r="H514" s="31" t="s">
        <v>36</v>
      </c>
      <c r="I514" s="32" t="n">
        <v>140543004</v>
      </c>
      <c r="J514" s="33" t="n">
        <v>411</v>
      </c>
      <c r="K514" s="33" t="n">
        <v>1</v>
      </c>
      <c r="L514" s="34"/>
      <c r="M514" s="35"/>
      <c r="N514" s="36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9"/>
      <c r="Z514" s="39"/>
      <c r="AA514" s="28"/>
      <c r="AMJ514" s="0"/>
    </row>
    <row r="515" s="2" customFormat="true" ht="12.75" hidden="false" customHeight="true" outlineLevel="0" collapsed="false">
      <c r="A515" s="27" t="s">
        <v>1174</v>
      </c>
      <c r="B515" s="27" t="s">
        <v>1175</v>
      </c>
      <c r="C515" s="28" t="s">
        <v>33</v>
      </c>
      <c r="D515" s="27" t="s">
        <v>1124</v>
      </c>
      <c r="E515" s="27"/>
      <c r="F515" s="29" t="s">
        <v>1176</v>
      </c>
      <c r="G515" s="30" t="n">
        <v>75007</v>
      </c>
      <c r="H515" s="31" t="s">
        <v>36</v>
      </c>
      <c r="I515" s="32"/>
      <c r="J515" s="33"/>
      <c r="K515" s="33"/>
      <c r="L515" s="34"/>
      <c r="M515" s="35"/>
      <c r="N515" s="36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9"/>
      <c r="Z515" s="39"/>
      <c r="AA515" s="28"/>
      <c r="AC515" s="2" t="s">
        <v>38</v>
      </c>
      <c r="AMJ515" s="0"/>
    </row>
    <row r="516" s="2" customFormat="true" ht="12.75" hidden="false" customHeight="true" outlineLevel="0" collapsed="false">
      <c r="A516" s="27" t="s">
        <v>1177</v>
      </c>
      <c r="B516" s="27" t="s">
        <v>55</v>
      </c>
      <c r="C516" s="28" t="s">
        <v>41</v>
      </c>
      <c r="D516" s="27" t="s">
        <v>1124</v>
      </c>
      <c r="E516" s="27"/>
      <c r="F516" s="29" t="s">
        <v>1178</v>
      </c>
      <c r="G516" s="30" t="n">
        <v>75007</v>
      </c>
      <c r="H516" s="31" t="s">
        <v>36</v>
      </c>
      <c r="I516" s="32" t="n">
        <v>142840920</v>
      </c>
      <c r="J516" s="33" t="n">
        <v>473</v>
      </c>
      <c r="K516" s="33" t="n">
        <v>1</v>
      </c>
      <c r="L516" s="34"/>
      <c r="M516" s="35"/>
      <c r="N516" s="36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9"/>
      <c r="Z516" s="39"/>
      <c r="AA516" s="28"/>
      <c r="AMJ516" s="0"/>
    </row>
    <row r="517" s="2" customFormat="true" ht="12.75" hidden="false" customHeight="true" outlineLevel="0" collapsed="false">
      <c r="A517" s="27" t="s">
        <v>1179</v>
      </c>
      <c r="B517" s="27" t="s">
        <v>1180</v>
      </c>
      <c r="C517" s="28" t="s">
        <v>33</v>
      </c>
      <c r="D517" s="27" t="s">
        <v>1124</v>
      </c>
      <c r="E517" s="27"/>
      <c r="F517" s="29" t="s">
        <v>1181</v>
      </c>
      <c r="G517" s="30" t="n">
        <v>75007</v>
      </c>
      <c r="H517" s="31" t="s">
        <v>36</v>
      </c>
      <c r="I517" s="32" t="n">
        <v>142227070</v>
      </c>
      <c r="J517" s="33" t="n">
        <v>50</v>
      </c>
      <c r="K517" s="33" t="n">
        <v>0</v>
      </c>
      <c r="L517" s="34"/>
      <c r="M517" s="35"/>
      <c r="N517" s="36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9"/>
      <c r="Z517" s="39"/>
      <c r="AA517" s="28"/>
      <c r="AC517" s="2" t="s">
        <v>38</v>
      </c>
      <c r="AMJ517" s="0"/>
    </row>
    <row r="518" s="2" customFormat="true" ht="12.75" hidden="false" customHeight="true" outlineLevel="0" collapsed="false">
      <c r="A518" s="27" t="s">
        <v>1182</v>
      </c>
      <c r="B518" s="27" t="s">
        <v>620</v>
      </c>
      <c r="C518" s="28" t="s">
        <v>33</v>
      </c>
      <c r="D518" s="27" t="s">
        <v>1124</v>
      </c>
      <c r="E518" s="27"/>
      <c r="F518" s="29" t="s">
        <v>1181</v>
      </c>
      <c r="G518" s="30" t="n">
        <v>75007</v>
      </c>
      <c r="H518" s="31" t="s">
        <v>36</v>
      </c>
      <c r="I518" s="32" t="n">
        <v>142227070</v>
      </c>
      <c r="J518" s="33" t="n">
        <v>42</v>
      </c>
      <c r="K518" s="33" t="n">
        <v>1</v>
      </c>
      <c r="L518" s="34"/>
      <c r="M518" s="35"/>
      <c r="N518" s="36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9"/>
      <c r="Z518" s="39"/>
      <c r="AA518" s="28"/>
      <c r="AC518" s="2" t="s">
        <v>38</v>
      </c>
      <c r="AMJ518" s="0"/>
    </row>
    <row r="519" s="2" customFormat="true" ht="12.75" hidden="false" customHeight="true" outlineLevel="0" collapsed="false">
      <c r="A519" s="27" t="s">
        <v>1183</v>
      </c>
      <c r="B519" s="27" t="s">
        <v>157</v>
      </c>
      <c r="C519" s="28" t="s">
        <v>77</v>
      </c>
      <c r="D519" s="27" t="s">
        <v>1124</v>
      </c>
      <c r="E519" s="27"/>
      <c r="F519" s="29" t="s">
        <v>1184</v>
      </c>
      <c r="G519" s="30" t="n">
        <v>75007</v>
      </c>
      <c r="H519" s="31" t="s">
        <v>36</v>
      </c>
      <c r="I519" s="32" t="n">
        <v>140560532</v>
      </c>
      <c r="J519" s="33" t="n">
        <v>754</v>
      </c>
      <c r="K519" s="33" t="n">
        <v>1</v>
      </c>
      <c r="L519" s="34"/>
      <c r="M519" s="35"/>
      <c r="N519" s="36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9"/>
      <c r="Z519" s="39"/>
      <c r="AA519" s="28"/>
      <c r="AMJ519" s="0"/>
    </row>
    <row r="520" s="2" customFormat="true" ht="12.75" hidden="false" customHeight="true" outlineLevel="0" collapsed="false">
      <c r="A520" s="27" t="s">
        <v>1185</v>
      </c>
      <c r="B520" s="27" t="s">
        <v>596</v>
      </c>
      <c r="C520" s="28" t="s">
        <v>41</v>
      </c>
      <c r="D520" s="27" t="s">
        <v>1124</v>
      </c>
      <c r="E520" s="27"/>
      <c r="F520" s="29" t="s">
        <v>1186</v>
      </c>
      <c r="G520" s="30" t="n">
        <v>75007</v>
      </c>
      <c r="H520" s="31" t="s">
        <v>36</v>
      </c>
      <c r="I520" s="32" t="n">
        <v>140610701</v>
      </c>
      <c r="J520" s="33" t="n">
        <v>474</v>
      </c>
      <c r="K520" s="33" t="n">
        <v>1</v>
      </c>
      <c r="L520" s="34"/>
      <c r="M520" s="35"/>
      <c r="N520" s="36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9"/>
      <c r="Z520" s="39"/>
      <c r="AA520" s="28"/>
      <c r="AMJ520" s="0"/>
    </row>
    <row r="521" s="2" customFormat="true" ht="12.75" hidden="false" customHeight="true" outlineLevel="0" collapsed="false">
      <c r="A521" s="27" t="s">
        <v>1187</v>
      </c>
      <c r="B521" s="27" t="s">
        <v>210</v>
      </c>
      <c r="C521" s="28" t="s">
        <v>41</v>
      </c>
      <c r="D521" s="27" t="s">
        <v>1124</v>
      </c>
      <c r="E521" s="27"/>
      <c r="F521" s="29" t="s">
        <v>1188</v>
      </c>
      <c r="G521" s="30" t="n">
        <v>75007</v>
      </c>
      <c r="H521" s="31" t="s">
        <v>36</v>
      </c>
      <c r="I521" s="32" t="n">
        <v>140635826</v>
      </c>
      <c r="J521" s="33" t="n">
        <v>212</v>
      </c>
      <c r="K521" s="33" t="n">
        <v>1</v>
      </c>
      <c r="L521" s="34"/>
      <c r="M521" s="35"/>
      <c r="N521" s="36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9"/>
      <c r="Z521" s="39"/>
      <c r="AA521" s="28"/>
      <c r="AMJ521" s="0"/>
    </row>
    <row r="522" s="2" customFormat="true" ht="12.75" hidden="false" customHeight="true" outlineLevel="0" collapsed="false">
      <c r="A522" s="27" t="s">
        <v>1189</v>
      </c>
      <c r="B522" s="27" t="s">
        <v>740</v>
      </c>
      <c r="C522" s="28" t="s">
        <v>138</v>
      </c>
      <c r="D522" s="27" t="s">
        <v>1124</v>
      </c>
      <c r="E522" s="27"/>
      <c r="F522" s="29" t="s">
        <v>1190</v>
      </c>
      <c r="G522" s="30" t="n">
        <v>75007</v>
      </c>
      <c r="H522" s="31" t="s">
        <v>36</v>
      </c>
      <c r="I522" s="32" t="n">
        <v>143061117</v>
      </c>
      <c r="J522" s="33" t="n">
        <v>205</v>
      </c>
      <c r="K522" s="33" t="n">
        <v>2</v>
      </c>
      <c r="L522" s="34"/>
      <c r="M522" s="35"/>
      <c r="N522" s="36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9"/>
      <c r="Z522" s="39"/>
      <c r="AA522" s="28"/>
      <c r="AMJ522" s="0"/>
    </row>
    <row r="523" s="2" customFormat="true" ht="12.75" hidden="false" customHeight="true" outlineLevel="0" collapsed="false">
      <c r="A523" s="27" t="s">
        <v>1191</v>
      </c>
      <c r="B523" s="27" t="s">
        <v>790</v>
      </c>
      <c r="C523" s="28" t="s">
        <v>33</v>
      </c>
      <c r="D523" s="27" t="s">
        <v>1124</v>
      </c>
      <c r="E523" s="27"/>
      <c r="F523" s="29" t="s">
        <v>1192</v>
      </c>
      <c r="G523" s="30" t="n">
        <v>75007</v>
      </c>
      <c r="H523" s="31" t="s">
        <v>36</v>
      </c>
      <c r="I523" s="32" t="n">
        <v>145555080</v>
      </c>
      <c r="J523" s="33" t="n">
        <v>64</v>
      </c>
      <c r="K523" s="33" t="n">
        <v>0</v>
      </c>
      <c r="L523" s="34"/>
      <c r="M523" s="35"/>
      <c r="N523" s="36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9"/>
      <c r="Z523" s="39"/>
      <c r="AA523" s="28"/>
      <c r="AC523" s="2" t="s">
        <v>38</v>
      </c>
      <c r="AMJ523" s="0"/>
    </row>
    <row r="524" s="2" customFormat="true" ht="12.75" hidden="false" customHeight="true" outlineLevel="0" collapsed="false">
      <c r="A524" s="27" t="s">
        <v>1193</v>
      </c>
      <c r="B524" s="27" t="s">
        <v>1094</v>
      </c>
      <c r="C524" s="28" t="s">
        <v>33</v>
      </c>
      <c r="D524" s="27" t="s">
        <v>1124</v>
      </c>
      <c r="E524" s="27"/>
      <c r="F524" s="29" t="s">
        <v>1194</v>
      </c>
      <c r="G524" s="30" t="n">
        <v>75007</v>
      </c>
      <c r="H524" s="31" t="s">
        <v>36</v>
      </c>
      <c r="I524" s="32"/>
      <c r="J524" s="33" t="n">
        <v>71</v>
      </c>
      <c r="K524" s="33" t="n">
        <v>1</v>
      </c>
      <c r="L524" s="34"/>
      <c r="M524" s="35"/>
      <c r="N524" s="36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9"/>
      <c r="Z524" s="39"/>
      <c r="AA524" s="28"/>
      <c r="AC524" s="2" t="s">
        <v>38</v>
      </c>
      <c r="AMJ524" s="0"/>
    </row>
    <row r="525" s="2" customFormat="true" ht="12.75" hidden="false" customHeight="true" outlineLevel="0" collapsed="false">
      <c r="A525" s="27" t="s">
        <v>1195</v>
      </c>
      <c r="B525" s="27" t="s">
        <v>1196</v>
      </c>
      <c r="C525" s="28" t="s">
        <v>121</v>
      </c>
      <c r="D525" s="27" t="s">
        <v>1124</v>
      </c>
      <c r="E525" s="27"/>
      <c r="F525" s="29" t="s">
        <v>1197</v>
      </c>
      <c r="G525" s="30" t="n">
        <v>75007</v>
      </c>
      <c r="H525" s="31" t="s">
        <v>36</v>
      </c>
      <c r="I525" s="32" t="n">
        <v>142730080</v>
      </c>
      <c r="J525" s="33" t="n">
        <v>102</v>
      </c>
      <c r="K525" s="33" t="n">
        <v>3</v>
      </c>
      <c r="L525" s="34"/>
      <c r="M525" s="35"/>
      <c r="N525" s="36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9"/>
      <c r="Z525" s="39"/>
      <c r="AA525" s="28"/>
      <c r="AMJ525" s="0"/>
    </row>
    <row r="526" s="2" customFormat="true" ht="12.75" hidden="false" customHeight="true" outlineLevel="0" collapsed="false">
      <c r="A526" s="27" t="s">
        <v>1198</v>
      </c>
      <c r="B526" s="27" t="s">
        <v>1199</v>
      </c>
      <c r="C526" s="28" t="s">
        <v>138</v>
      </c>
      <c r="D526" s="27" t="s">
        <v>1124</v>
      </c>
      <c r="E526" s="27"/>
      <c r="F526" s="29" t="s">
        <v>1200</v>
      </c>
      <c r="G526" s="30" t="n">
        <v>75007</v>
      </c>
      <c r="H526" s="31" t="s">
        <v>36</v>
      </c>
      <c r="I526" s="32" t="n">
        <v>147530088</v>
      </c>
      <c r="J526" s="33" t="n">
        <v>96</v>
      </c>
      <c r="K526" s="33" t="n">
        <v>7</v>
      </c>
      <c r="L526" s="34" t="n">
        <v>3</v>
      </c>
      <c r="M526" s="35" t="s">
        <v>164</v>
      </c>
      <c r="N526" s="36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39"/>
      <c r="Z526" s="39"/>
      <c r="AA526" s="28" t="n">
        <v>3</v>
      </c>
      <c r="AMJ526" s="0"/>
    </row>
    <row r="527" s="2" customFormat="true" ht="12.75" hidden="false" customHeight="true" outlineLevel="0" collapsed="false">
      <c r="A527" s="27" t="s">
        <v>1201</v>
      </c>
      <c r="B527" s="27" t="s">
        <v>1202</v>
      </c>
      <c r="C527" s="28" t="s">
        <v>138</v>
      </c>
      <c r="D527" s="27" t="s">
        <v>1124</v>
      </c>
      <c r="E527" s="27"/>
      <c r="F527" s="29" t="s">
        <v>1203</v>
      </c>
      <c r="G527" s="30" t="n">
        <v>75007</v>
      </c>
      <c r="H527" s="31" t="s">
        <v>36</v>
      </c>
      <c r="I527" s="32" t="n">
        <v>145550810</v>
      </c>
      <c r="J527" s="33" t="n">
        <v>149</v>
      </c>
      <c r="K527" s="33" t="n">
        <v>1</v>
      </c>
      <c r="L527" s="34"/>
      <c r="M527" s="35"/>
      <c r="N527" s="36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9"/>
      <c r="Z527" s="39"/>
      <c r="AA527" s="28"/>
      <c r="AMJ527" s="0"/>
    </row>
    <row r="528" s="2" customFormat="true" ht="12.75" hidden="false" customHeight="true" outlineLevel="0" collapsed="false">
      <c r="A528" s="27" t="s">
        <v>1204</v>
      </c>
      <c r="B528" s="27" t="s">
        <v>1205</v>
      </c>
      <c r="C528" s="28" t="s">
        <v>41</v>
      </c>
      <c r="D528" s="27" t="s">
        <v>1124</v>
      </c>
      <c r="E528" s="27"/>
      <c r="F528" s="29" t="s">
        <v>1206</v>
      </c>
      <c r="G528" s="30" t="n">
        <v>75007</v>
      </c>
      <c r="H528" s="31" t="s">
        <v>36</v>
      </c>
      <c r="I528" s="32" t="n">
        <v>140564024</v>
      </c>
      <c r="J528" s="33" t="n">
        <v>211</v>
      </c>
      <c r="K528" s="33" t="n">
        <v>1</v>
      </c>
      <c r="L528" s="34"/>
      <c r="M528" s="35"/>
      <c r="N528" s="36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9"/>
      <c r="Z528" s="39"/>
      <c r="AA528" s="28"/>
      <c r="AMJ528" s="0"/>
    </row>
    <row r="529" s="2" customFormat="true" ht="11.25" hidden="false" customHeight="true" outlineLevel="0" collapsed="false">
      <c r="A529" s="27" t="s">
        <v>1207</v>
      </c>
      <c r="B529" s="27" t="s">
        <v>55</v>
      </c>
      <c r="C529" s="28" t="s">
        <v>138</v>
      </c>
      <c r="D529" s="27" t="s">
        <v>1124</v>
      </c>
      <c r="E529" s="27"/>
      <c r="F529" s="29" t="s">
        <v>1208</v>
      </c>
      <c r="G529" s="30" t="n">
        <v>75007</v>
      </c>
      <c r="H529" s="31" t="s">
        <v>36</v>
      </c>
      <c r="I529" s="32" t="n">
        <v>145480760</v>
      </c>
      <c r="J529" s="33" t="n">
        <v>120</v>
      </c>
      <c r="K529" s="33" t="n">
        <v>0</v>
      </c>
      <c r="L529" s="34"/>
      <c r="M529" s="35"/>
      <c r="N529" s="36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9"/>
      <c r="Z529" s="39"/>
      <c r="AA529" s="28"/>
      <c r="AMJ529" s="0"/>
    </row>
    <row r="530" s="2" customFormat="true" ht="12.75" hidden="false" customHeight="true" outlineLevel="0" collapsed="false">
      <c r="A530" s="27" t="s">
        <v>1209</v>
      </c>
      <c r="B530" s="27" t="s">
        <v>103</v>
      </c>
      <c r="C530" s="28" t="s">
        <v>138</v>
      </c>
      <c r="D530" s="27" t="s">
        <v>1124</v>
      </c>
      <c r="E530" s="27"/>
      <c r="F530" s="29" t="s">
        <v>1208</v>
      </c>
      <c r="G530" s="30" t="n">
        <v>75007</v>
      </c>
      <c r="H530" s="31" t="s">
        <v>36</v>
      </c>
      <c r="I530" s="32" t="n">
        <v>145480760</v>
      </c>
      <c r="J530" s="33" t="n">
        <v>110</v>
      </c>
      <c r="K530" s="33" t="n">
        <v>0</v>
      </c>
      <c r="L530" s="34"/>
      <c r="M530" s="35"/>
      <c r="N530" s="36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9"/>
      <c r="Z530" s="39"/>
      <c r="AA530" s="28"/>
      <c r="AMJ530" s="0"/>
    </row>
    <row r="531" s="2" customFormat="true" ht="12.75" hidden="false" customHeight="true" outlineLevel="0" collapsed="false">
      <c r="A531" s="27" t="s">
        <v>1210</v>
      </c>
      <c r="B531" s="27" t="s">
        <v>1211</v>
      </c>
      <c r="C531" s="28" t="s">
        <v>41</v>
      </c>
      <c r="D531" s="27" t="s">
        <v>1124</v>
      </c>
      <c r="E531" s="27"/>
      <c r="F531" s="29" t="s">
        <v>1212</v>
      </c>
      <c r="G531" s="30" t="n">
        <v>75007</v>
      </c>
      <c r="H531" s="31" t="s">
        <v>36</v>
      </c>
      <c r="I531" s="32" t="n">
        <v>142757312</v>
      </c>
      <c r="J531" s="33"/>
      <c r="K531" s="33"/>
      <c r="L531" s="34"/>
      <c r="M531" s="35"/>
      <c r="N531" s="36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9"/>
      <c r="Z531" s="39"/>
      <c r="AA531" s="28"/>
      <c r="AMJ531" s="0"/>
    </row>
    <row r="532" s="2" customFormat="true" ht="12.75" hidden="false" customHeight="true" outlineLevel="0" collapsed="false">
      <c r="A532" s="27" t="s">
        <v>1213</v>
      </c>
      <c r="B532" s="27" t="s">
        <v>830</v>
      </c>
      <c r="C532" s="28" t="s">
        <v>41</v>
      </c>
      <c r="D532" s="27" t="s">
        <v>1124</v>
      </c>
      <c r="E532" s="27"/>
      <c r="F532" s="29" t="s">
        <v>1212</v>
      </c>
      <c r="G532" s="30" t="n">
        <v>75007</v>
      </c>
      <c r="H532" s="31" t="s">
        <v>36</v>
      </c>
      <c r="I532" s="32" t="n">
        <v>142757312</v>
      </c>
      <c r="J532" s="33"/>
      <c r="K532" s="33"/>
      <c r="L532" s="34"/>
      <c r="M532" s="35"/>
      <c r="N532" s="36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9"/>
      <c r="Z532" s="39"/>
      <c r="AA532" s="28"/>
      <c r="AMJ532" s="0"/>
    </row>
    <row r="533" s="2" customFormat="true" ht="12.75" hidden="false" customHeight="true" outlineLevel="0" collapsed="false">
      <c r="A533" s="27" t="s">
        <v>1214</v>
      </c>
      <c r="B533" s="27" t="s">
        <v>151</v>
      </c>
      <c r="C533" s="28" t="s">
        <v>41</v>
      </c>
      <c r="D533" s="27" t="s">
        <v>1124</v>
      </c>
      <c r="E533" s="27"/>
      <c r="F533" s="29" t="s">
        <v>1215</v>
      </c>
      <c r="G533" s="30" t="n">
        <v>75007</v>
      </c>
      <c r="H533" s="31" t="s">
        <v>36</v>
      </c>
      <c r="I533" s="32" t="n">
        <v>145512331</v>
      </c>
      <c r="J533" s="33" t="n">
        <v>429</v>
      </c>
      <c r="K533" s="33" t="n">
        <v>46</v>
      </c>
      <c r="L533" s="34" t="n">
        <v>4</v>
      </c>
      <c r="M533" s="35" t="s">
        <v>716</v>
      </c>
      <c r="N533" s="36"/>
      <c r="O533" s="41"/>
      <c r="P533" s="41" t="n">
        <v>0.583333333333333</v>
      </c>
      <c r="Q533" s="41"/>
      <c r="R533" s="41" t="n">
        <v>0.583333333333333</v>
      </c>
      <c r="S533" s="41"/>
      <c r="T533" s="41" t="n">
        <v>0.583333333333333</v>
      </c>
      <c r="U533" s="41"/>
      <c r="V533" s="41" t="n">
        <v>0.583333333333333</v>
      </c>
      <c r="W533" s="41"/>
      <c r="X533" s="41" t="n">
        <v>0.583333333333333</v>
      </c>
      <c r="Y533" s="39" t="n">
        <v>45128.5833333333</v>
      </c>
      <c r="Z533" s="39"/>
      <c r="AA533" s="28" t="n">
        <v>4</v>
      </c>
      <c r="AMJ533" s="0"/>
    </row>
    <row r="534" s="2" customFormat="true" ht="12.75" hidden="false" customHeight="true" outlineLevel="0" collapsed="false">
      <c r="A534" s="27" t="s">
        <v>1216</v>
      </c>
      <c r="B534" s="27" t="s">
        <v>633</v>
      </c>
      <c r="C534" s="28" t="s">
        <v>33</v>
      </c>
      <c r="D534" s="27" t="s">
        <v>1124</v>
      </c>
      <c r="E534" s="27"/>
      <c r="F534" s="29" t="s">
        <v>1217</v>
      </c>
      <c r="G534" s="30" t="n">
        <v>75007</v>
      </c>
      <c r="H534" s="31" t="s">
        <v>36</v>
      </c>
      <c r="I534" s="32" t="n">
        <v>140569030</v>
      </c>
      <c r="J534" s="33" t="n">
        <v>58</v>
      </c>
      <c r="K534" s="33" t="n">
        <v>0</v>
      </c>
      <c r="L534" s="34"/>
      <c r="M534" s="35"/>
      <c r="N534" s="36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9"/>
      <c r="Z534" s="39"/>
      <c r="AA534" s="28"/>
      <c r="AC534" s="2" t="s">
        <v>38</v>
      </c>
      <c r="AMJ534" s="0"/>
    </row>
    <row r="535" s="2" customFormat="true" ht="12.75" hidden="false" customHeight="true" outlineLevel="0" collapsed="false">
      <c r="A535" s="27" t="s">
        <v>1218</v>
      </c>
      <c r="B535" s="27" t="s">
        <v>210</v>
      </c>
      <c r="C535" s="28" t="s">
        <v>33</v>
      </c>
      <c r="D535" s="27" t="s">
        <v>1124</v>
      </c>
      <c r="E535" s="27"/>
      <c r="F535" s="29" t="s">
        <v>1219</v>
      </c>
      <c r="G535" s="30" t="n">
        <v>75007</v>
      </c>
      <c r="H535" s="31" t="s">
        <v>36</v>
      </c>
      <c r="I535" s="32" t="n">
        <v>142840959</v>
      </c>
      <c r="J535" s="33" t="n">
        <v>55</v>
      </c>
      <c r="K535" s="33" t="n">
        <v>0</v>
      </c>
      <c r="L535" s="34"/>
      <c r="M535" s="35"/>
      <c r="N535" s="36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9"/>
      <c r="Z535" s="39"/>
      <c r="AA535" s="28"/>
      <c r="AC535" s="2" t="s">
        <v>38</v>
      </c>
      <c r="AMJ535" s="0"/>
    </row>
    <row r="536" s="2" customFormat="true" ht="12.75" hidden="false" customHeight="true" outlineLevel="0" collapsed="false">
      <c r="A536" s="27" t="s">
        <v>1220</v>
      </c>
      <c r="B536" s="27" t="s">
        <v>103</v>
      </c>
      <c r="C536" s="28" t="s">
        <v>138</v>
      </c>
      <c r="D536" s="27" t="s">
        <v>1124</v>
      </c>
      <c r="E536" s="27"/>
      <c r="F536" s="29" t="s">
        <v>1221</v>
      </c>
      <c r="G536" s="30" t="n">
        <v>75007</v>
      </c>
      <c r="H536" s="31" t="s">
        <v>36</v>
      </c>
      <c r="I536" s="32"/>
      <c r="J536" s="33" t="n">
        <v>114</v>
      </c>
      <c r="K536" s="33" t="n">
        <v>3</v>
      </c>
      <c r="L536" s="34" t="n">
        <v>1</v>
      </c>
      <c r="M536" s="35" t="s">
        <v>164</v>
      </c>
      <c r="N536" s="36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39"/>
      <c r="Z536" s="39"/>
      <c r="AA536" s="28" t="n">
        <v>3</v>
      </c>
      <c r="AMJ536" s="0"/>
    </row>
    <row r="537" s="2" customFormat="true" ht="12.75" hidden="false" customHeight="true" outlineLevel="0" collapsed="false">
      <c r="A537" s="27" t="s">
        <v>1222</v>
      </c>
      <c r="B537" s="27" t="s">
        <v>1223</v>
      </c>
      <c r="C537" s="28" t="s">
        <v>138</v>
      </c>
      <c r="D537" s="27" t="s">
        <v>1124</v>
      </c>
      <c r="E537" s="27"/>
      <c r="F537" s="29" t="s">
        <v>1221</v>
      </c>
      <c r="G537" s="30" t="n">
        <v>75007</v>
      </c>
      <c r="H537" s="31" t="s">
        <v>36</v>
      </c>
      <c r="I537" s="32"/>
      <c r="J537" s="33" t="n">
        <v>113</v>
      </c>
      <c r="K537" s="33" t="n">
        <v>5</v>
      </c>
      <c r="L537" s="34" t="n">
        <v>1</v>
      </c>
      <c r="M537" s="35" t="s">
        <v>164</v>
      </c>
      <c r="N537" s="36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39"/>
      <c r="Z537" s="39"/>
      <c r="AA537" s="28" t="n">
        <v>3</v>
      </c>
      <c r="AMJ537" s="0"/>
    </row>
    <row r="538" s="2" customFormat="true" ht="12.75" hidden="false" customHeight="true" outlineLevel="0" collapsed="false">
      <c r="A538" s="27" t="s">
        <v>1224</v>
      </c>
      <c r="B538" s="27" t="s">
        <v>884</v>
      </c>
      <c r="C538" s="28" t="s">
        <v>138</v>
      </c>
      <c r="D538" s="27" t="s">
        <v>1124</v>
      </c>
      <c r="E538" s="27"/>
      <c r="F538" s="29" t="s">
        <v>1225</v>
      </c>
      <c r="G538" s="30" t="n">
        <v>75007</v>
      </c>
      <c r="H538" s="31" t="s">
        <v>36</v>
      </c>
      <c r="I538" s="32" t="n">
        <v>147539801</v>
      </c>
      <c r="J538" s="33" t="n">
        <v>157</v>
      </c>
      <c r="K538" s="33" t="n">
        <v>2</v>
      </c>
      <c r="L538" s="34" t="n">
        <v>2</v>
      </c>
      <c r="M538" s="35" t="s">
        <v>164</v>
      </c>
      <c r="N538" s="36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39"/>
      <c r="Z538" s="39"/>
      <c r="AA538" s="28" t="n">
        <v>3</v>
      </c>
      <c r="AMJ538" s="0"/>
    </row>
    <row r="539" s="2" customFormat="true" ht="12.75" hidden="false" customHeight="true" outlineLevel="0" collapsed="false">
      <c r="A539" s="27" t="s">
        <v>1226</v>
      </c>
      <c r="B539" s="27" t="s">
        <v>1227</v>
      </c>
      <c r="C539" s="28" t="s">
        <v>33</v>
      </c>
      <c r="D539" s="27" t="s">
        <v>1124</v>
      </c>
      <c r="E539" s="27"/>
      <c r="F539" s="29" t="s">
        <v>1228</v>
      </c>
      <c r="G539" s="30" t="n">
        <v>75007</v>
      </c>
      <c r="H539" s="31" t="s">
        <v>36</v>
      </c>
      <c r="I539" s="32" t="n">
        <v>147832317</v>
      </c>
      <c r="J539" s="33" t="n">
        <v>65</v>
      </c>
      <c r="K539" s="33" t="n">
        <v>1</v>
      </c>
      <c r="L539" s="34"/>
      <c r="M539" s="35"/>
      <c r="N539" s="36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9"/>
      <c r="Z539" s="39"/>
      <c r="AA539" s="28"/>
      <c r="AC539" s="2" t="s">
        <v>38</v>
      </c>
      <c r="AMJ539" s="0"/>
    </row>
    <row r="540" s="2" customFormat="true" ht="12.75" hidden="false" customHeight="true" outlineLevel="0" collapsed="false">
      <c r="A540" s="27" t="s">
        <v>1229</v>
      </c>
      <c r="B540" s="27" t="s">
        <v>1230</v>
      </c>
      <c r="C540" s="28" t="s">
        <v>41</v>
      </c>
      <c r="D540" s="27" t="s">
        <v>1124</v>
      </c>
      <c r="E540" s="27"/>
      <c r="F540" s="29" t="s">
        <v>1231</v>
      </c>
      <c r="G540" s="30" t="n">
        <v>75007</v>
      </c>
      <c r="H540" s="31" t="s">
        <v>36</v>
      </c>
      <c r="I540" s="32" t="n">
        <v>145480636</v>
      </c>
      <c r="J540" s="33" t="n">
        <v>212</v>
      </c>
      <c r="K540" s="33" t="n">
        <v>0</v>
      </c>
      <c r="L540" s="34"/>
      <c r="M540" s="35"/>
      <c r="N540" s="36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9"/>
      <c r="Z540" s="39"/>
      <c r="AA540" s="28"/>
      <c r="AMJ540" s="0"/>
    </row>
    <row r="541" s="2" customFormat="true" ht="12.75" hidden="false" customHeight="true" outlineLevel="0" collapsed="false">
      <c r="A541" s="27" t="s">
        <v>1232</v>
      </c>
      <c r="B541" s="27" t="s">
        <v>1233</v>
      </c>
      <c r="C541" s="28" t="s">
        <v>41</v>
      </c>
      <c r="D541" s="27" t="s">
        <v>1124</v>
      </c>
      <c r="E541" s="27"/>
      <c r="F541" s="29" t="s">
        <v>1234</v>
      </c>
      <c r="G541" s="30" t="n">
        <v>75007</v>
      </c>
      <c r="H541" s="31" t="s">
        <v>36</v>
      </c>
      <c r="I541" s="32"/>
      <c r="J541" s="33" t="n">
        <v>400</v>
      </c>
      <c r="K541" s="33"/>
      <c r="L541" s="34"/>
      <c r="M541" s="35"/>
      <c r="N541" s="36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9"/>
      <c r="Z541" s="39"/>
      <c r="AA541" s="28"/>
      <c r="AMJ541" s="0"/>
    </row>
    <row r="542" s="2" customFormat="true" ht="12.75" hidden="false" customHeight="true" outlineLevel="0" collapsed="false">
      <c r="A542" s="27" t="s">
        <v>1235</v>
      </c>
      <c r="B542" s="27" t="s">
        <v>1236</v>
      </c>
      <c r="C542" s="28" t="s">
        <v>178</v>
      </c>
      <c r="D542" s="27" t="s">
        <v>1124</v>
      </c>
      <c r="E542" s="27" t="s">
        <v>1237</v>
      </c>
      <c r="F542" s="29" t="s">
        <v>1238</v>
      </c>
      <c r="G542" s="30" t="n">
        <v>75007</v>
      </c>
      <c r="H542" s="31" t="s">
        <v>36</v>
      </c>
      <c r="I542" s="32"/>
      <c r="J542" s="33" t="n">
        <v>439</v>
      </c>
      <c r="K542" s="33" t="n">
        <v>2</v>
      </c>
      <c r="L542" s="34"/>
      <c r="M542" s="44" t="s">
        <v>321</v>
      </c>
      <c r="N542" s="36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9"/>
      <c r="Z542" s="39"/>
      <c r="AA542" s="28"/>
      <c r="AMJ542" s="0"/>
    </row>
    <row r="543" s="2" customFormat="true" ht="12.75" hidden="false" customHeight="true" outlineLevel="0" collapsed="false">
      <c r="A543" s="27" t="s">
        <v>1239</v>
      </c>
      <c r="B543" s="27" t="s">
        <v>266</v>
      </c>
      <c r="C543" s="28" t="s">
        <v>178</v>
      </c>
      <c r="D543" s="27" t="s">
        <v>1124</v>
      </c>
      <c r="E543" s="27" t="s">
        <v>1237</v>
      </c>
      <c r="F543" s="29" t="s">
        <v>1238</v>
      </c>
      <c r="G543" s="30" t="n">
        <v>75007</v>
      </c>
      <c r="H543" s="31" t="s">
        <v>36</v>
      </c>
      <c r="I543" s="32"/>
      <c r="J543" s="33" t="n">
        <v>256</v>
      </c>
      <c r="K543" s="33" t="n">
        <v>9</v>
      </c>
      <c r="L543" s="34"/>
      <c r="M543" s="44" t="s">
        <v>321</v>
      </c>
      <c r="N543" s="36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9"/>
      <c r="Z543" s="39"/>
      <c r="AA543" s="28"/>
      <c r="AMJ543" s="0"/>
    </row>
    <row r="544" s="2" customFormat="true" ht="12.75" hidden="false" customHeight="true" outlineLevel="0" collapsed="false">
      <c r="A544" s="27" t="s">
        <v>1240</v>
      </c>
      <c r="B544" s="27" t="s">
        <v>266</v>
      </c>
      <c r="C544" s="28" t="s">
        <v>41</v>
      </c>
      <c r="D544" s="27" t="s">
        <v>1124</v>
      </c>
      <c r="E544" s="27"/>
      <c r="F544" s="29" t="s">
        <v>1241</v>
      </c>
      <c r="G544" s="30" t="n">
        <v>75007</v>
      </c>
      <c r="H544" s="31" t="s">
        <v>36</v>
      </c>
      <c r="I544" s="32" t="n">
        <v>145483907</v>
      </c>
      <c r="J544" s="33" t="n">
        <v>412</v>
      </c>
      <c r="K544" s="33" t="n">
        <v>1</v>
      </c>
      <c r="L544" s="34"/>
      <c r="M544" s="35"/>
      <c r="N544" s="36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9"/>
      <c r="Z544" s="39"/>
      <c r="AA544" s="28"/>
      <c r="AMJ544" s="0"/>
    </row>
    <row r="545" s="2" customFormat="true" ht="12.75" hidden="false" customHeight="true" outlineLevel="0" collapsed="false">
      <c r="A545" s="27" t="s">
        <v>1242</v>
      </c>
      <c r="B545" s="27" t="s">
        <v>639</v>
      </c>
      <c r="C545" s="28" t="s">
        <v>33</v>
      </c>
      <c r="D545" s="27" t="s">
        <v>1124</v>
      </c>
      <c r="E545" s="27"/>
      <c r="F545" s="29" t="s">
        <v>1241</v>
      </c>
      <c r="G545" s="30" t="n">
        <v>75007</v>
      </c>
      <c r="H545" s="31" t="s">
        <v>36</v>
      </c>
      <c r="I545" s="32" t="n">
        <v>149577000</v>
      </c>
      <c r="J545" s="33" t="n">
        <v>69</v>
      </c>
      <c r="K545" s="33" t="n">
        <v>1</v>
      </c>
      <c r="L545" s="34"/>
      <c r="M545" s="35"/>
      <c r="N545" s="36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9"/>
      <c r="Z545" s="39"/>
      <c r="AA545" s="28"/>
      <c r="AC545" s="2" t="s">
        <v>38</v>
      </c>
      <c r="AMJ545" s="0"/>
    </row>
    <row r="546" s="2" customFormat="true" ht="12.75" hidden="false" customHeight="true" outlineLevel="0" collapsed="false">
      <c r="A546" s="27" t="s">
        <v>1243</v>
      </c>
      <c r="B546" s="27" t="s">
        <v>527</v>
      </c>
      <c r="C546" s="28" t="s">
        <v>33</v>
      </c>
      <c r="D546" s="27" t="s">
        <v>1124</v>
      </c>
      <c r="E546" s="27"/>
      <c r="F546" s="29" t="s">
        <v>1241</v>
      </c>
      <c r="G546" s="30" t="n">
        <v>75007</v>
      </c>
      <c r="H546" s="31" t="s">
        <v>36</v>
      </c>
      <c r="I546" s="32"/>
      <c r="J546" s="33" t="n">
        <v>52</v>
      </c>
      <c r="K546" s="33" t="n">
        <v>1</v>
      </c>
      <c r="L546" s="34"/>
      <c r="M546" s="35"/>
      <c r="N546" s="36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9"/>
      <c r="Z546" s="39"/>
      <c r="AA546" s="28"/>
      <c r="AC546" s="2" t="s">
        <v>38</v>
      </c>
      <c r="AMJ546" s="0"/>
    </row>
    <row r="547" s="2" customFormat="true" ht="12.75" hidden="false" customHeight="true" outlineLevel="0" collapsed="false">
      <c r="A547" s="27" t="s">
        <v>1244</v>
      </c>
      <c r="B547" s="27" t="s">
        <v>1245</v>
      </c>
      <c r="C547" s="28" t="s">
        <v>41</v>
      </c>
      <c r="D547" s="27" t="s">
        <v>1124</v>
      </c>
      <c r="E547" s="27"/>
      <c r="F547" s="29" t="s">
        <v>1246</v>
      </c>
      <c r="G547" s="30" t="n">
        <v>75007</v>
      </c>
      <c r="H547" s="31" t="s">
        <v>36</v>
      </c>
      <c r="I547" s="32"/>
      <c r="J547" s="33" t="n">
        <v>240</v>
      </c>
      <c r="K547" s="33" t="n">
        <v>1</v>
      </c>
      <c r="L547" s="34"/>
      <c r="M547" s="35"/>
      <c r="N547" s="36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9"/>
      <c r="Z547" s="39"/>
      <c r="AA547" s="28"/>
      <c r="AMJ547" s="0"/>
    </row>
    <row r="548" s="2" customFormat="true" ht="12.75" hidden="false" customHeight="true" outlineLevel="0" collapsed="false">
      <c r="A548" s="27" t="s">
        <v>1247</v>
      </c>
      <c r="B548" s="27" t="s">
        <v>329</v>
      </c>
      <c r="C548" s="28" t="s">
        <v>41</v>
      </c>
      <c r="D548" s="27" t="s">
        <v>1124</v>
      </c>
      <c r="E548" s="27"/>
      <c r="F548" s="29" t="s">
        <v>1248</v>
      </c>
      <c r="G548" s="30" t="n">
        <v>75007</v>
      </c>
      <c r="H548" s="31" t="s">
        <v>36</v>
      </c>
      <c r="I548" s="32" t="n">
        <v>144183333</v>
      </c>
      <c r="J548" s="33" t="n">
        <v>472</v>
      </c>
      <c r="K548" s="33" t="n">
        <v>0</v>
      </c>
      <c r="L548" s="34"/>
      <c r="M548" s="35"/>
      <c r="N548" s="36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9"/>
      <c r="Z548" s="39"/>
      <c r="AA548" s="28"/>
      <c r="AMJ548" s="0"/>
    </row>
    <row r="549" s="2" customFormat="true" ht="12.75" hidden="false" customHeight="true" outlineLevel="0" collapsed="false">
      <c r="A549" s="27" t="s">
        <v>1249</v>
      </c>
      <c r="B549" s="27" t="s">
        <v>1250</v>
      </c>
      <c r="C549" s="28" t="s">
        <v>33</v>
      </c>
      <c r="D549" s="27" t="s">
        <v>1124</v>
      </c>
      <c r="E549" s="27"/>
      <c r="F549" s="29" t="s">
        <v>1251</v>
      </c>
      <c r="G549" s="30" t="n">
        <v>75007</v>
      </c>
      <c r="H549" s="31" t="s">
        <v>36</v>
      </c>
      <c r="I549" s="32" t="n">
        <v>145552505</v>
      </c>
      <c r="J549" s="33" t="n">
        <v>71</v>
      </c>
      <c r="K549" s="33" t="n">
        <v>0</v>
      </c>
      <c r="L549" s="34"/>
      <c r="M549" s="35"/>
      <c r="N549" s="36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9"/>
      <c r="Z549" s="39"/>
      <c r="AA549" s="28"/>
      <c r="AC549" s="2" t="s">
        <v>38</v>
      </c>
      <c r="AMJ549" s="0"/>
    </row>
    <row r="550" s="2" customFormat="true" ht="12.75" hidden="false" customHeight="true" outlineLevel="0" collapsed="false">
      <c r="A550" s="27" t="s">
        <v>1252</v>
      </c>
      <c r="B550" s="27" t="s">
        <v>449</v>
      </c>
      <c r="C550" s="28" t="s">
        <v>33</v>
      </c>
      <c r="D550" s="27" t="s">
        <v>1124</v>
      </c>
      <c r="E550" s="27"/>
      <c r="F550" s="29" t="s">
        <v>1253</v>
      </c>
      <c r="G550" s="30" t="n">
        <v>75007</v>
      </c>
      <c r="H550" s="31" t="s">
        <v>36</v>
      </c>
      <c r="I550" s="32" t="n">
        <v>164602435</v>
      </c>
      <c r="J550" s="33" t="n">
        <v>63</v>
      </c>
      <c r="K550" s="33" t="n">
        <v>1</v>
      </c>
      <c r="L550" s="34"/>
      <c r="M550" s="35"/>
      <c r="N550" s="36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9"/>
      <c r="Z550" s="39"/>
      <c r="AA550" s="28"/>
      <c r="AC550" s="2" t="s">
        <v>38</v>
      </c>
      <c r="AMJ550" s="0"/>
    </row>
    <row r="551" s="2" customFormat="true" ht="12.75" hidden="false" customHeight="true" outlineLevel="0" collapsed="false">
      <c r="A551" s="27" t="s">
        <v>1254</v>
      </c>
      <c r="B551" s="27" t="s">
        <v>106</v>
      </c>
      <c r="C551" s="28" t="s">
        <v>41</v>
      </c>
      <c r="D551" s="27" t="s">
        <v>1124</v>
      </c>
      <c r="E551" s="27"/>
      <c r="F551" s="29" t="s">
        <v>1255</v>
      </c>
      <c r="G551" s="30" t="n">
        <v>75007</v>
      </c>
      <c r="H551" s="31" t="s">
        <v>36</v>
      </c>
      <c r="I551" s="32" t="n">
        <v>145668405</v>
      </c>
      <c r="J551" s="33" t="n">
        <v>652</v>
      </c>
      <c r="K551" s="33" t="n">
        <v>27</v>
      </c>
      <c r="L551" s="34" t="n">
        <v>1</v>
      </c>
      <c r="M551" s="43" t="s">
        <v>155</v>
      </c>
      <c r="N551" s="36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39" t="n">
        <v>45135.4375</v>
      </c>
      <c r="Z551" s="39" t="n">
        <v>45223.4375</v>
      </c>
      <c r="AA551" s="28" t="n">
        <v>3</v>
      </c>
      <c r="AMJ551" s="0"/>
    </row>
    <row r="552" s="2" customFormat="true" ht="12.75" hidden="false" customHeight="true" outlineLevel="0" collapsed="false">
      <c r="A552" s="27" t="s">
        <v>1256</v>
      </c>
      <c r="B552" s="27" t="s">
        <v>88</v>
      </c>
      <c r="C552" s="28" t="s">
        <v>41</v>
      </c>
      <c r="D552" s="27" t="s">
        <v>1124</v>
      </c>
      <c r="E552" s="27"/>
      <c r="F552" s="29" t="s">
        <v>1255</v>
      </c>
      <c r="G552" s="30" t="n">
        <v>75007</v>
      </c>
      <c r="H552" s="31" t="s">
        <v>36</v>
      </c>
      <c r="I552" s="32" t="n">
        <v>147837302</v>
      </c>
      <c r="J552" s="33" t="n">
        <v>459</v>
      </c>
      <c r="K552" s="33" t="n">
        <v>12</v>
      </c>
      <c r="L552" s="34" t="n">
        <v>1</v>
      </c>
      <c r="M552" s="35" t="s">
        <v>164</v>
      </c>
      <c r="N552" s="36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39"/>
      <c r="Z552" s="39"/>
      <c r="AA552" s="28" t="n">
        <v>3</v>
      </c>
      <c r="AMJ552" s="0"/>
    </row>
    <row r="553" s="2" customFormat="true" ht="12.75" hidden="false" customHeight="true" outlineLevel="0" collapsed="false">
      <c r="A553" s="27" t="s">
        <v>1257</v>
      </c>
      <c r="B553" s="27" t="s">
        <v>1258</v>
      </c>
      <c r="C553" s="28" t="s">
        <v>138</v>
      </c>
      <c r="D553" s="27" t="s">
        <v>1124</v>
      </c>
      <c r="E553" s="27"/>
      <c r="F553" s="29" t="s">
        <v>1259</v>
      </c>
      <c r="G553" s="30" t="n">
        <v>75007</v>
      </c>
      <c r="H553" s="31" t="s">
        <v>36</v>
      </c>
      <c r="I553" s="32"/>
      <c r="J553" s="33" t="n">
        <v>232</v>
      </c>
      <c r="K553" s="33" t="n">
        <v>1</v>
      </c>
      <c r="L553" s="34" t="n">
        <v>1</v>
      </c>
      <c r="M553" s="35" t="s">
        <v>164</v>
      </c>
      <c r="N553" s="36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39"/>
      <c r="Z553" s="39"/>
      <c r="AA553" s="28" t="n">
        <v>2</v>
      </c>
      <c r="AMJ553" s="0"/>
    </row>
    <row r="554" s="2" customFormat="true" ht="12.75" hidden="false" customHeight="true" outlineLevel="0" collapsed="false">
      <c r="A554" s="27" t="s">
        <v>1260</v>
      </c>
      <c r="B554" s="27" t="s">
        <v>1261</v>
      </c>
      <c r="C554" s="28" t="s">
        <v>138</v>
      </c>
      <c r="D554" s="27" t="s">
        <v>1124</v>
      </c>
      <c r="E554" s="27"/>
      <c r="F554" s="29" t="s">
        <v>1259</v>
      </c>
      <c r="G554" s="30" t="n">
        <v>75007</v>
      </c>
      <c r="H554" s="31" t="s">
        <v>36</v>
      </c>
      <c r="I554" s="32" t="n">
        <v>145630000</v>
      </c>
      <c r="J554" s="33" t="n">
        <v>196</v>
      </c>
      <c r="K554" s="33" t="n">
        <v>1</v>
      </c>
      <c r="L554" s="34"/>
      <c r="M554" s="35"/>
      <c r="N554" s="36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9"/>
      <c r="Z554" s="39"/>
      <c r="AA554" s="28"/>
      <c r="AMJ554" s="0"/>
    </row>
    <row r="555" s="2" customFormat="true" ht="12.75" hidden="false" customHeight="true" outlineLevel="0" collapsed="false">
      <c r="A555" s="27" t="s">
        <v>1262</v>
      </c>
      <c r="B555" s="27" t="s">
        <v>1263</v>
      </c>
      <c r="C555" s="28" t="s">
        <v>138</v>
      </c>
      <c r="D555" s="27" t="s">
        <v>1124</v>
      </c>
      <c r="E555" s="27"/>
      <c r="F555" s="29" t="s">
        <v>1259</v>
      </c>
      <c r="G555" s="30" t="n">
        <v>75007</v>
      </c>
      <c r="H555" s="31" t="s">
        <v>36</v>
      </c>
      <c r="I555" s="32" t="n">
        <v>178958325</v>
      </c>
      <c r="J555" s="33" t="n">
        <v>122</v>
      </c>
      <c r="K555" s="33" t="n">
        <v>1</v>
      </c>
      <c r="L555" s="34" t="n">
        <v>3</v>
      </c>
      <c r="M555" s="35" t="s">
        <v>164</v>
      </c>
      <c r="N555" s="36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39"/>
      <c r="Z555" s="39"/>
      <c r="AA555" s="28" t="n">
        <v>2</v>
      </c>
      <c r="AMJ555" s="0"/>
    </row>
    <row r="556" s="2" customFormat="true" ht="12.75" hidden="false" customHeight="true" outlineLevel="0" collapsed="false">
      <c r="A556" s="27" t="s">
        <v>1264</v>
      </c>
      <c r="B556" s="27" t="s">
        <v>1236</v>
      </c>
      <c r="C556" s="28" t="s">
        <v>138</v>
      </c>
      <c r="D556" s="27" t="s">
        <v>1124</v>
      </c>
      <c r="E556" s="27"/>
      <c r="F556" s="29" t="s">
        <v>1259</v>
      </c>
      <c r="G556" s="30" t="n">
        <v>75007</v>
      </c>
      <c r="H556" s="31" t="s">
        <v>36</v>
      </c>
      <c r="I556" s="32"/>
      <c r="J556" s="33" t="n">
        <v>104</v>
      </c>
      <c r="K556" s="33" t="n">
        <v>1</v>
      </c>
      <c r="L556" s="34"/>
      <c r="M556" s="35"/>
      <c r="N556" s="36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9"/>
      <c r="Z556" s="39"/>
      <c r="AA556" s="28"/>
      <c r="AMJ556" s="0"/>
    </row>
    <row r="557" s="2" customFormat="true" ht="12.75" hidden="false" customHeight="true" outlineLevel="0" collapsed="false">
      <c r="A557" s="27" t="s">
        <v>1265</v>
      </c>
      <c r="B557" s="27" t="s">
        <v>1266</v>
      </c>
      <c r="C557" s="28" t="s">
        <v>138</v>
      </c>
      <c r="D557" s="27" t="s">
        <v>1124</v>
      </c>
      <c r="E557" s="27"/>
      <c r="F557" s="29" t="s">
        <v>1267</v>
      </c>
      <c r="G557" s="30" t="n">
        <v>75007</v>
      </c>
      <c r="H557" s="31" t="s">
        <v>36</v>
      </c>
      <c r="I557" s="32" t="n">
        <v>145440095</v>
      </c>
      <c r="J557" s="33" t="n">
        <v>130</v>
      </c>
      <c r="K557" s="33" t="n">
        <v>4</v>
      </c>
      <c r="L557" s="34" t="n">
        <v>2</v>
      </c>
      <c r="M557" s="35" t="s">
        <v>164</v>
      </c>
      <c r="N557" s="36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39"/>
      <c r="Z557" s="39"/>
      <c r="AA557" s="28" t="n">
        <v>3</v>
      </c>
      <c r="AMJ557" s="0"/>
    </row>
    <row r="558" s="2" customFormat="true" ht="12.75" hidden="false" customHeight="true" outlineLevel="0" collapsed="false">
      <c r="A558" s="27" t="s">
        <v>1268</v>
      </c>
      <c r="B558" s="27" t="s">
        <v>639</v>
      </c>
      <c r="C558" s="28" t="s">
        <v>33</v>
      </c>
      <c r="D558" s="27" t="s">
        <v>1124</v>
      </c>
      <c r="E558" s="27"/>
      <c r="F558" s="29" t="s">
        <v>1269</v>
      </c>
      <c r="G558" s="30" t="n">
        <v>75007</v>
      </c>
      <c r="H558" s="31" t="s">
        <v>36</v>
      </c>
      <c r="I558" s="32" t="n">
        <v>145492262</v>
      </c>
      <c r="J558" s="33" t="n">
        <v>64</v>
      </c>
      <c r="K558" s="33" t="n">
        <v>1</v>
      </c>
      <c r="L558" s="34"/>
      <c r="M558" s="35"/>
      <c r="N558" s="36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9"/>
      <c r="Z558" s="39"/>
      <c r="AA558" s="28"/>
      <c r="AC558" s="2" t="s">
        <v>38</v>
      </c>
      <c r="AMJ558" s="0"/>
    </row>
    <row r="559" s="2" customFormat="true" ht="12.75" hidden="false" customHeight="true" outlineLevel="0" collapsed="false">
      <c r="A559" s="27" t="s">
        <v>1270</v>
      </c>
      <c r="B559" s="27" t="s">
        <v>160</v>
      </c>
      <c r="C559" s="28" t="s">
        <v>41</v>
      </c>
      <c r="D559" s="27" t="s">
        <v>1124</v>
      </c>
      <c r="E559" s="27"/>
      <c r="F559" s="29" t="s">
        <v>1271</v>
      </c>
      <c r="G559" s="30" t="n">
        <v>75007</v>
      </c>
      <c r="H559" s="31" t="s">
        <v>36</v>
      </c>
      <c r="I559" s="32" t="n">
        <v>147050099</v>
      </c>
      <c r="J559" s="33" t="n">
        <v>428</v>
      </c>
      <c r="K559" s="33" t="n">
        <v>13</v>
      </c>
      <c r="L559" s="34" t="n">
        <v>1</v>
      </c>
      <c r="M559" s="35" t="s">
        <v>164</v>
      </c>
      <c r="N559" s="36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39"/>
      <c r="Z559" s="39"/>
      <c r="AA559" s="28" t="n">
        <v>3</v>
      </c>
      <c r="AMJ559" s="0"/>
    </row>
    <row r="560" s="2" customFormat="true" ht="12.75" hidden="false" customHeight="true" outlineLevel="0" collapsed="false">
      <c r="A560" s="27" t="s">
        <v>1272</v>
      </c>
      <c r="B560" s="27" t="s">
        <v>842</v>
      </c>
      <c r="C560" s="28" t="s">
        <v>41</v>
      </c>
      <c r="D560" s="27" t="s">
        <v>1124</v>
      </c>
      <c r="E560" s="27"/>
      <c r="F560" s="29" t="s">
        <v>1271</v>
      </c>
      <c r="G560" s="30" t="n">
        <v>75007</v>
      </c>
      <c r="H560" s="31" t="s">
        <v>36</v>
      </c>
      <c r="I560" s="32" t="n">
        <v>147050099</v>
      </c>
      <c r="J560" s="33" t="n">
        <v>125</v>
      </c>
      <c r="K560" s="33" t="n">
        <v>1</v>
      </c>
      <c r="L560" s="34"/>
      <c r="M560" s="35"/>
      <c r="N560" s="36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9"/>
      <c r="Z560" s="39"/>
      <c r="AA560" s="28"/>
      <c r="AMJ560" s="0"/>
    </row>
    <row r="561" s="2" customFormat="true" ht="12.75" hidden="false" customHeight="true" outlineLevel="0" collapsed="false">
      <c r="A561" s="27" t="s">
        <v>1273</v>
      </c>
      <c r="B561" s="27" t="s">
        <v>1274</v>
      </c>
      <c r="C561" s="28" t="s">
        <v>113</v>
      </c>
      <c r="D561" s="27" t="s">
        <v>1124</v>
      </c>
      <c r="E561" s="27"/>
      <c r="F561" s="29" t="s">
        <v>1271</v>
      </c>
      <c r="G561" s="30" t="n">
        <v>75007</v>
      </c>
      <c r="H561" s="31" t="s">
        <v>36</v>
      </c>
      <c r="I561" s="32" t="n">
        <v>146222184</v>
      </c>
      <c r="J561" s="33" t="n">
        <v>51</v>
      </c>
      <c r="K561" s="33" t="n">
        <v>1</v>
      </c>
      <c r="L561" s="34"/>
      <c r="M561" s="35"/>
      <c r="N561" s="36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9"/>
      <c r="Z561" s="39"/>
      <c r="AA561" s="28"/>
      <c r="AMJ561" s="0"/>
    </row>
    <row r="562" s="2" customFormat="true" ht="12.75" hidden="false" customHeight="true" outlineLevel="0" collapsed="false">
      <c r="A562" s="27" t="s">
        <v>1275</v>
      </c>
      <c r="B562" s="27" t="s">
        <v>842</v>
      </c>
      <c r="C562" s="28" t="s">
        <v>33</v>
      </c>
      <c r="D562" s="27" t="s">
        <v>1124</v>
      </c>
      <c r="E562" s="27"/>
      <c r="F562" s="29" t="s">
        <v>1271</v>
      </c>
      <c r="G562" s="30" t="n">
        <v>75007</v>
      </c>
      <c r="H562" s="31" t="s">
        <v>36</v>
      </c>
      <c r="I562" s="32" t="n">
        <v>147055141</v>
      </c>
      <c r="J562" s="33" t="n">
        <v>69</v>
      </c>
      <c r="K562" s="33" t="n">
        <v>1</v>
      </c>
      <c r="L562" s="34"/>
      <c r="M562" s="35"/>
      <c r="N562" s="36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9"/>
      <c r="Z562" s="39"/>
      <c r="AA562" s="28"/>
      <c r="AC562" s="2" t="s">
        <v>197</v>
      </c>
      <c r="AMJ562" s="0"/>
    </row>
    <row r="563" s="2" customFormat="true" ht="12.75" hidden="false" customHeight="true" outlineLevel="0" collapsed="false">
      <c r="A563" s="27" t="s">
        <v>1276</v>
      </c>
      <c r="B563" s="27" t="s">
        <v>1118</v>
      </c>
      <c r="C563" s="28" t="s">
        <v>41</v>
      </c>
      <c r="D563" s="27" t="s">
        <v>1124</v>
      </c>
      <c r="E563" s="27"/>
      <c r="F563" s="29" t="s">
        <v>1277</v>
      </c>
      <c r="G563" s="30" t="n">
        <v>75007</v>
      </c>
      <c r="H563" s="31" t="s">
        <v>36</v>
      </c>
      <c r="I563" s="32" t="n">
        <v>153598800</v>
      </c>
      <c r="J563" s="33" t="n">
        <v>293</v>
      </c>
      <c r="K563" s="33" t="n">
        <v>1</v>
      </c>
      <c r="L563" s="34"/>
      <c r="M563" s="35"/>
      <c r="N563" s="36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9"/>
      <c r="Z563" s="39"/>
      <c r="AA563" s="28"/>
      <c r="AMJ563" s="0"/>
    </row>
    <row r="564" s="2" customFormat="true" ht="12.75" hidden="false" customHeight="true" outlineLevel="0" collapsed="false">
      <c r="A564" s="27" t="s">
        <v>1278</v>
      </c>
      <c r="B564" s="27" t="s">
        <v>1279</v>
      </c>
      <c r="C564" s="28" t="s">
        <v>41</v>
      </c>
      <c r="D564" s="27" t="s">
        <v>1124</v>
      </c>
      <c r="E564" s="27"/>
      <c r="F564" s="29" t="s">
        <v>1280</v>
      </c>
      <c r="G564" s="30" t="n">
        <v>75007</v>
      </c>
      <c r="H564" s="31" t="s">
        <v>36</v>
      </c>
      <c r="I564" s="32"/>
      <c r="J564" s="33" t="n">
        <v>385</v>
      </c>
      <c r="K564" s="33" t="n">
        <v>1</v>
      </c>
      <c r="L564" s="34"/>
      <c r="M564" s="35"/>
      <c r="N564" s="36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9"/>
      <c r="Z564" s="39"/>
      <c r="AA564" s="28"/>
      <c r="AMJ564" s="0"/>
    </row>
    <row r="565" s="2" customFormat="true" ht="12.75" hidden="false" customHeight="true" outlineLevel="0" collapsed="false">
      <c r="A565" s="27" t="s">
        <v>1281</v>
      </c>
      <c r="B565" s="27" t="s">
        <v>106</v>
      </c>
      <c r="C565" s="28" t="s">
        <v>41</v>
      </c>
      <c r="D565" s="27" t="s">
        <v>1124</v>
      </c>
      <c r="E565" s="27"/>
      <c r="F565" s="29" t="s">
        <v>1282</v>
      </c>
      <c r="G565" s="30" t="n">
        <v>75007</v>
      </c>
      <c r="H565" s="31" t="s">
        <v>36</v>
      </c>
      <c r="I565" s="32" t="n">
        <v>145669902</v>
      </c>
      <c r="J565" s="33" t="n">
        <v>542</v>
      </c>
      <c r="K565" s="33" t="n">
        <v>28</v>
      </c>
      <c r="L565" s="34" t="n">
        <v>2</v>
      </c>
      <c r="M565" s="35" t="s">
        <v>716</v>
      </c>
      <c r="N565" s="36"/>
      <c r="O565" s="41"/>
      <c r="P565" s="41" t="n">
        <v>0.625</v>
      </c>
      <c r="Q565" s="41"/>
      <c r="R565" s="41" t="n">
        <v>0.625</v>
      </c>
      <c r="S565" s="41"/>
      <c r="T565" s="41"/>
      <c r="U565" s="41"/>
      <c r="V565" s="41"/>
      <c r="W565" s="41"/>
      <c r="X565" s="41"/>
      <c r="Y565" s="39" t="n">
        <v>45180.6666666667</v>
      </c>
      <c r="Z565" s="39"/>
      <c r="AA565" s="28" t="n">
        <v>3</v>
      </c>
      <c r="AMJ565" s="0"/>
    </row>
    <row r="566" s="2" customFormat="true" ht="12.75" hidden="false" customHeight="true" outlineLevel="0" collapsed="false">
      <c r="A566" s="27" t="s">
        <v>1283</v>
      </c>
      <c r="B566" s="27" t="s">
        <v>398</v>
      </c>
      <c r="C566" s="28" t="s">
        <v>41</v>
      </c>
      <c r="D566" s="27" t="s">
        <v>1124</v>
      </c>
      <c r="E566" s="27"/>
      <c r="F566" s="29" t="s">
        <v>1282</v>
      </c>
      <c r="G566" s="30" t="n">
        <v>75007</v>
      </c>
      <c r="H566" s="31" t="s">
        <v>36</v>
      </c>
      <c r="I566" s="32" t="n">
        <v>145552900</v>
      </c>
      <c r="J566" s="33" t="n">
        <v>195</v>
      </c>
      <c r="K566" s="33" t="n">
        <v>1</v>
      </c>
      <c r="L566" s="34"/>
      <c r="M566" s="35"/>
      <c r="N566" s="36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9"/>
      <c r="Z566" s="39"/>
      <c r="AA566" s="28"/>
      <c r="AMJ566" s="0"/>
    </row>
    <row r="567" s="2" customFormat="true" ht="12.75" hidden="false" customHeight="true" outlineLevel="0" collapsed="false">
      <c r="A567" s="27" t="s">
        <v>1284</v>
      </c>
      <c r="B567" s="27" t="s">
        <v>195</v>
      </c>
      <c r="C567" s="28" t="s">
        <v>121</v>
      </c>
      <c r="D567" s="27" t="s">
        <v>1124</v>
      </c>
      <c r="E567" s="27"/>
      <c r="F567" s="29" t="s">
        <v>1282</v>
      </c>
      <c r="G567" s="30" t="n">
        <v>75007</v>
      </c>
      <c r="H567" s="31" t="s">
        <v>36</v>
      </c>
      <c r="I567" s="32"/>
      <c r="J567" s="33" t="n">
        <v>275</v>
      </c>
      <c r="K567" s="33" t="n">
        <v>4</v>
      </c>
      <c r="L567" s="34"/>
      <c r="M567" s="35"/>
      <c r="N567" s="36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9"/>
      <c r="Z567" s="39"/>
      <c r="AA567" s="28"/>
      <c r="AMJ567" s="0"/>
    </row>
    <row r="568" s="2" customFormat="true" ht="12.75" hidden="false" customHeight="true" outlineLevel="0" collapsed="false">
      <c r="A568" s="27" t="s">
        <v>1285</v>
      </c>
      <c r="B568" s="27" t="s">
        <v>1286</v>
      </c>
      <c r="C568" s="28" t="s">
        <v>121</v>
      </c>
      <c r="D568" s="27" t="s">
        <v>1124</v>
      </c>
      <c r="E568" s="27"/>
      <c r="F568" s="29" t="s">
        <v>1282</v>
      </c>
      <c r="G568" s="30" t="n">
        <v>75007</v>
      </c>
      <c r="H568" s="31" t="s">
        <v>36</v>
      </c>
      <c r="I568" s="32" t="n">
        <v>145552900</v>
      </c>
      <c r="J568" s="33" t="n">
        <v>90</v>
      </c>
      <c r="K568" s="33" t="n">
        <v>2</v>
      </c>
      <c r="L568" s="34"/>
      <c r="M568" s="35"/>
      <c r="N568" s="36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9"/>
      <c r="Z568" s="39"/>
      <c r="AA568" s="28"/>
      <c r="AMJ568" s="0"/>
    </row>
    <row r="569" s="2" customFormat="true" ht="12.75" hidden="false" customHeight="true" outlineLevel="0" collapsed="false">
      <c r="A569" s="27" t="s">
        <v>1287</v>
      </c>
      <c r="B569" s="27" t="s">
        <v>55</v>
      </c>
      <c r="C569" s="28" t="s">
        <v>178</v>
      </c>
      <c r="D569" s="27" t="s">
        <v>1124</v>
      </c>
      <c r="E569" s="27" t="s">
        <v>1288</v>
      </c>
      <c r="F569" s="29" t="s">
        <v>1289</v>
      </c>
      <c r="G569" s="30" t="n">
        <v>75007</v>
      </c>
      <c r="H569" s="31" t="s">
        <v>36</v>
      </c>
      <c r="I569" s="32" t="n">
        <v>140611122</v>
      </c>
      <c r="J569" s="33" t="n">
        <v>329</v>
      </c>
      <c r="K569" s="33" t="n">
        <v>1</v>
      </c>
      <c r="L569" s="34"/>
      <c r="M569" s="35"/>
      <c r="N569" s="36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9"/>
      <c r="Z569" s="39"/>
      <c r="AA569" s="28"/>
      <c r="AMJ569" s="0"/>
    </row>
    <row r="570" s="2" customFormat="true" ht="12.75" hidden="false" customHeight="true" outlineLevel="0" collapsed="false">
      <c r="A570" s="27" t="s">
        <v>1290</v>
      </c>
      <c r="B570" s="27" t="s">
        <v>1291</v>
      </c>
      <c r="C570" s="28" t="s">
        <v>178</v>
      </c>
      <c r="D570" s="27" t="s">
        <v>1124</v>
      </c>
      <c r="E570" s="27" t="s">
        <v>1288</v>
      </c>
      <c r="F570" s="29" t="s">
        <v>1289</v>
      </c>
      <c r="G570" s="30" t="n">
        <v>75007</v>
      </c>
      <c r="H570" s="31" t="s">
        <v>36</v>
      </c>
      <c r="I570" s="32" t="n">
        <v>140611122</v>
      </c>
      <c r="J570" s="33" t="n">
        <v>269</v>
      </c>
      <c r="K570" s="33" t="n">
        <v>1</v>
      </c>
      <c r="L570" s="34"/>
      <c r="M570" s="35"/>
      <c r="N570" s="36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9"/>
      <c r="Z570" s="39"/>
      <c r="AA570" s="28"/>
      <c r="AMJ570" s="0"/>
    </row>
    <row r="571" s="2" customFormat="true" ht="12.75" hidden="false" customHeight="true" outlineLevel="0" collapsed="false">
      <c r="A571" s="27" t="s">
        <v>1292</v>
      </c>
      <c r="B571" s="27" t="s">
        <v>1293</v>
      </c>
      <c r="C571" s="28" t="s">
        <v>138</v>
      </c>
      <c r="D571" s="27" t="s">
        <v>1124</v>
      </c>
      <c r="E571" s="27" t="s">
        <v>1288</v>
      </c>
      <c r="F571" s="29" t="s">
        <v>1289</v>
      </c>
      <c r="G571" s="30" t="n">
        <v>75007</v>
      </c>
      <c r="H571" s="31" t="s">
        <v>36</v>
      </c>
      <c r="I571" s="32" t="n">
        <v>140611122</v>
      </c>
      <c r="J571" s="33" t="n">
        <v>131</v>
      </c>
      <c r="K571" s="33" t="n">
        <v>1</v>
      </c>
      <c r="L571" s="34"/>
      <c r="M571" s="35"/>
      <c r="N571" s="36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9"/>
      <c r="Z571" s="39"/>
      <c r="AA571" s="28"/>
      <c r="AMJ571" s="0"/>
    </row>
    <row r="572" s="2" customFormat="true" ht="12.75" hidden="false" customHeight="true" outlineLevel="0" collapsed="false">
      <c r="A572" s="27" t="s">
        <v>1294</v>
      </c>
      <c r="B572" s="27" t="s">
        <v>277</v>
      </c>
      <c r="C572" s="28" t="s">
        <v>138</v>
      </c>
      <c r="D572" s="27" t="s">
        <v>1124</v>
      </c>
      <c r="E572" s="27" t="s">
        <v>1288</v>
      </c>
      <c r="F572" s="29" t="s">
        <v>1289</v>
      </c>
      <c r="G572" s="30" t="n">
        <v>75007</v>
      </c>
      <c r="H572" s="31" t="s">
        <v>36</v>
      </c>
      <c r="I572" s="32" t="n">
        <v>140611122</v>
      </c>
      <c r="J572" s="33" t="n">
        <v>115</v>
      </c>
      <c r="K572" s="33" t="n">
        <v>2</v>
      </c>
      <c r="L572" s="34"/>
      <c r="M572" s="35"/>
      <c r="N572" s="36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9"/>
      <c r="Z572" s="39"/>
      <c r="AA572" s="28"/>
      <c r="AMJ572" s="0"/>
    </row>
    <row r="573" s="2" customFormat="true" ht="12.75" hidden="false" customHeight="true" outlineLevel="0" collapsed="false">
      <c r="A573" s="27" t="s">
        <v>1295</v>
      </c>
      <c r="B573" s="27" t="s">
        <v>763</v>
      </c>
      <c r="C573" s="28" t="s">
        <v>138</v>
      </c>
      <c r="D573" s="27" t="s">
        <v>1124</v>
      </c>
      <c r="E573" s="27" t="s">
        <v>1288</v>
      </c>
      <c r="F573" s="29" t="s">
        <v>1289</v>
      </c>
      <c r="G573" s="30" t="n">
        <v>75007</v>
      </c>
      <c r="H573" s="31" t="s">
        <v>36</v>
      </c>
      <c r="I573" s="32" t="n">
        <v>140611122</v>
      </c>
      <c r="J573" s="33" t="n">
        <v>114</v>
      </c>
      <c r="K573" s="33" t="n">
        <v>4</v>
      </c>
      <c r="L573" s="34"/>
      <c r="M573" s="35"/>
      <c r="N573" s="36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9"/>
      <c r="Z573" s="39"/>
      <c r="AA573" s="28"/>
      <c r="AMJ573" s="0"/>
    </row>
    <row r="574" s="2" customFormat="true" ht="12.75" hidden="false" customHeight="true" outlineLevel="0" collapsed="false">
      <c r="A574" s="27" t="s">
        <v>1296</v>
      </c>
      <c r="B574" s="27" t="s">
        <v>1297</v>
      </c>
      <c r="C574" s="28" t="s">
        <v>138</v>
      </c>
      <c r="D574" s="27" t="s">
        <v>1124</v>
      </c>
      <c r="E574" s="27" t="s">
        <v>1288</v>
      </c>
      <c r="F574" s="29" t="s">
        <v>1289</v>
      </c>
      <c r="G574" s="30" t="n">
        <v>75007</v>
      </c>
      <c r="H574" s="31" t="s">
        <v>36</v>
      </c>
      <c r="I574" s="32" t="n">
        <v>140611122</v>
      </c>
      <c r="J574" s="33" t="n">
        <v>113</v>
      </c>
      <c r="K574" s="33" t="n">
        <v>1</v>
      </c>
      <c r="L574" s="34"/>
      <c r="M574" s="35"/>
      <c r="N574" s="36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9"/>
      <c r="Z574" s="39"/>
      <c r="AA574" s="28"/>
      <c r="AMJ574" s="0"/>
    </row>
    <row r="575" s="2" customFormat="true" ht="12.75" hidden="false" customHeight="true" outlineLevel="0" collapsed="false">
      <c r="A575" s="27" t="s">
        <v>1298</v>
      </c>
      <c r="B575" s="27" t="s">
        <v>1299</v>
      </c>
      <c r="C575" s="28" t="s">
        <v>41</v>
      </c>
      <c r="D575" s="27" t="s">
        <v>1124</v>
      </c>
      <c r="E575" s="27"/>
      <c r="F575" s="29" t="s">
        <v>1300</v>
      </c>
      <c r="G575" s="30" t="n">
        <v>75007</v>
      </c>
      <c r="H575" s="31" t="s">
        <v>36</v>
      </c>
      <c r="I575" s="32" t="n">
        <v>145557991</v>
      </c>
      <c r="J575" s="33" t="n">
        <v>430</v>
      </c>
      <c r="K575" s="33" t="n">
        <v>1</v>
      </c>
      <c r="L575" s="34"/>
      <c r="M575" s="35"/>
      <c r="N575" s="36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9"/>
      <c r="Z575" s="39"/>
      <c r="AA575" s="28"/>
      <c r="AMJ575" s="0"/>
    </row>
    <row r="576" s="2" customFormat="true" ht="12.75" hidden="false" customHeight="true" outlineLevel="0" collapsed="false">
      <c r="A576" s="27" t="s">
        <v>1301</v>
      </c>
      <c r="B576" s="27" t="s">
        <v>1302</v>
      </c>
      <c r="C576" s="28" t="s">
        <v>33</v>
      </c>
      <c r="D576" s="27" t="s">
        <v>1124</v>
      </c>
      <c r="E576" s="27"/>
      <c r="F576" s="29" t="s">
        <v>1303</v>
      </c>
      <c r="G576" s="30" t="n">
        <v>75007</v>
      </c>
      <c r="H576" s="31" t="s">
        <v>36</v>
      </c>
      <c r="I576" s="32"/>
      <c r="J576" s="33" t="n">
        <v>56</v>
      </c>
      <c r="K576" s="33" t="n">
        <v>1</v>
      </c>
      <c r="L576" s="34"/>
      <c r="M576" s="35"/>
      <c r="N576" s="36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9"/>
      <c r="Z576" s="39"/>
      <c r="AA576" s="28"/>
      <c r="AC576" s="2" t="s">
        <v>38</v>
      </c>
      <c r="AMJ576" s="0"/>
    </row>
    <row r="577" s="2" customFormat="true" ht="12.75" hidden="false" customHeight="true" outlineLevel="0" collapsed="false">
      <c r="A577" s="27" t="s">
        <v>1304</v>
      </c>
      <c r="B577" s="27" t="s">
        <v>1305</v>
      </c>
      <c r="C577" s="28" t="s">
        <v>33</v>
      </c>
      <c r="D577" s="27" t="s">
        <v>1124</v>
      </c>
      <c r="E577" s="27"/>
      <c r="F577" s="29" t="s">
        <v>1306</v>
      </c>
      <c r="G577" s="30" t="n">
        <v>75007</v>
      </c>
      <c r="H577" s="31" t="s">
        <v>36</v>
      </c>
      <c r="I577" s="32"/>
      <c r="J577" s="33" t="n">
        <v>51</v>
      </c>
      <c r="K577" s="33" t="n">
        <v>1</v>
      </c>
      <c r="L577" s="34"/>
      <c r="M577" s="35"/>
      <c r="N577" s="36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9"/>
      <c r="Z577" s="39"/>
      <c r="AA577" s="28"/>
      <c r="AC577" s="2" t="s">
        <v>38</v>
      </c>
      <c r="AMJ577" s="0"/>
    </row>
    <row r="578" s="2" customFormat="true" ht="12.75" hidden="false" customHeight="true" outlineLevel="0" collapsed="false">
      <c r="A578" s="27" t="s">
        <v>1307</v>
      </c>
      <c r="B578" s="27" t="s">
        <v>53</v>
      </c>
      <c r="C578" s="28" t="s">
        <v>33</v>
      </c>
      <c r="D578" s="27" t="s">
        <v>1124</v>
      </c>
      <c r="E578" s="27"/>
      <c r="F578" s="29" t="s">
        <v>1306</v>
      </c>
      <c r="G578" s="30" t="n">
        <v>75007</v>
      </c>
      <c r="H578" s="31" t="s">
        <v>36</v>
      </c>
      <c r="I578" s="32"/>
      <c r="J578" s="33" t="n">
        <v>44</v>
      </c>
      <c r="K578" s="33" t="n">
        <v>2</v>
      </c>
      <c r="L578" s="34"/>
      <c r="M578" s="35"/>
      <c r="N578" s="36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9"/>
      <c r="Z578" s="39"/>
      <c r="AA578" s="28"/>
      <c r="AC578" s="2" t="s">
        <v>197</v>
      </c>
      <c r="AMJ578" s="0"/>
    </row>
    <row r="579" s="2" customFormat="true" ht="12.75" hidden="false" customHeight="true" outlineLevel="0" collapsed="false">
      <c r="A579" s="27" t="s">
        <v>1308</v>
      </c>
      <c r="B579" s="27" t="s">
        <v>406</v>
      </c>
      <c r="C579" s="28" t="s">
        <v>41</v>
      </c>
      <c r="D579" s="27" t="s">
        <v>1124</v>
      </c>
      <c r="E579" s="27"/>
      <c r="F579" s="29" t="s">
        <v>1309</v>
      </c>
      <c r="G579" s="30" t="n">
        <v>75007</v>
      </c>
      <c r="H579" s="31" t="s">
        <v>36</v>
      </c>
      <c r="I579" s="32" t="n">
        <v>144423928</v>
      </c>
      <c r="J579" s="33" t="n">
        <v>212</v>
      </c>
      <c r="K579" s="33" t="n">
        <v>0</v>
      </c>
      <c r="L579" s="34"/>
      <c r="M579" s="35"/>
      <c r="N579" s="36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9"/>
      <c r="Z579" s="39"/>
      <c r="AA579" s="28"/>
      <c r="AMJ579" s="0"/>
    </row>
    <row r="580" s="2" customFormat="true" ht="12.75" hidden="false" customHeight="true" outlineLevel="0" collapsed="false">
      <c r="A580" s="27" t="s">
        <v>1310</v>
      </c>
      <c r="B580" s="27" t="s">
        <v>1311</v>
      </c>
      <c r="C580" s="28" t="s">
        <v>41</v>
      </c>
      <c r="D580" s="27" t="s">
        <v>1124</v>
      </c>
      <c r="E580" s="27"/>
      <c r="F580" s="29" t="s">
        <v>1312</v>
      </c>
      <c r="G580" s="30" t="n">
        <v>75007</v>
      </c>
      <c r="H580" s="31" t="s">
        <v>36</v>
      </c>
      <c r="I580" s="32" t="n">
        <v>153860570</v>
      </c>
      <c r="J580" s="33" t="n">
        <v>215</v>
      </c>
      <c r="K580" s="33" t="n">
        <v>1</v>
      </c>
      <c r="L580" s="34"/>
      <c r="M580" s="35"/>
      <c r="N580" s="36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9"/>
      <c r="Z580" s="39"/>
      <c r="AA580" s="28"/>
      <c r="AMJ580" s="0"/>
    </row>
    <row r="581" s="2" customFormat="true" ht="12.75" hidden="false" customHeight="true" outlineLevel="0" collapsed="false">
      <c r="A581" s="27" t="s">
        <v>1313</v>
      </c>
      <c r="B581" s="27" t="s">
        <v>790</v>
      </c>
      <c r="C581" s="28" t="s">
        <v>41</v>
      </c>
      <c r="D581" s="27" t="s">
        <v>1124</v>
      </c>
      <c r="E581" s="27"/>
      <c r="F581" s="29" t="s">
        <v>1312</v>
      </c>
      <c r="G581" s="30" t="n">
        <v>75007</v>
      </c>
      <c r="H581" s="31" t="s">
        <v>36</v>
      </c>
      <c r="I581" s="32" t="n">
        <v>153860570</v>
      </c>
      <c r="J581" s="33" t="n">
        <v>199</v>
      </c>
      <c r="K581" s="33" t="n">
        <v>1</v>
      </c>
      <c r="L581" s="34"/>
      <c r="M581" s="35"/>
      <c r="N581" s="36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9"/>
      <c r="Z581" s="39"/>
      <c r="AA581" s="28"/>
      <c r="AMJ581" s="0"/>
    </row>
    <row r="582" s="2" customFormat="true" ht="12.75" hidden="false" customHeight="true" outlineLevel="0" collapsed="false">
      <c r="A582" s="27" t="s">
        <v>1314</v>
      </c>
      <c r="B582" s="27" t="s">
        <v>714</v>
      </c>
      <c r="C582" s="28" t="s">
        <v>33</v>
      </c>
      <c r="D582" s="27" t="s">
        <v>1124</v>
      </c>
      <c r="E582" s="27"/>
      <c r="F582" s="29" t="s">
        <v>1315</v>
      </c>
      <c r="G582" s="30" t="n">
        <v>75007</v>
      </c>
      <c r="H582" s="31" t="s">
        <v>36</v>
      </c>
      <c r="I582" s="32" t="n">
        <v>147346007</v>
      </c>
      <c r="J582" s="33" t="n">
        <v>69</v>
      </c>
      <c r="K582" s="33" t="n">
        <v>1</v>
      </c>
      <c r="L582" s="34"/>
      <c r="M582" s="35"/>
      <c r="N582" s="36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9"/>
      <c r="Z582" s="39"/>
      <c r="AA582" s="28"/>
      <c r="AC582" s="2" t="s">
        <v>38</v>
      </c>
      <c r="AMJ582" s="0"/>
    </row>
    <row r="583" s="2" customFormat="true" ht="12.75" hidden="false" customHeight="true" outlineLevel="0" collapsed="false">
      <c r="A583" s="27" t="s">
        <v>1316</v>
      </c>
      <c r="B583" s="27" t="s">
        <v>1317</v>
      </c>
      <c r="C583" s="28" t="s">
        <v>33</v>
      </c>
      <c r="D583" s="27" t="s">
        <v>1124</v>
      </c>
      <c r="E583" s="27"/>
      <c r="F583" s="29" t="s">
        <v>1318</v>
      </c>
      <c r="G583" s="30" t="n">
        <v>75007</v>
      </c>
      <c r="H583" s="31" t="s">
        <v>36</v>
      </c>
      <c r="I583" s="32" t="n">
        <v>146331800</v>
      </c>
      <c r="J583" s="33" t="n">
        <v>70</v>
      </c>
      <c r="K583" s="33" t="n">
        <v>0</v>
      </c>
      <c r="L583" s="34"/>
      <c r="M583" s="35"/>
      <c r="N583" s="36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9"/>
      <c r="Z583" s="39"/>
      <c r="AA583" s="28"/>
      <c r="AC583" s="2" t="s">
        <v>38</v>
      </c>
      <c r="AMJ583" s="0"/>
    </row>
    <row r="584" s="2" customFormat="true" ht="12.75" hidden="false" customHeight="true" outlineLevel="0" collapsed="false">
      <c r="A584" s="27" t="s">
        <v>1319</v>
      </c>
      <c r="B584" s="27" t="s">
        <v>1118</v>
      </c>
      <c r="C584" s="28" t="s">
        <v>33</v>
      </c>
      <c r="D584" s="27" t="s">
        <v>1124</v>
      </c>
      <c r="E584" s="27"/>
      <c r="F584" s="29" t="s">
        <v>1318</v>
      </c>
      <c r="G584" s="30" t="n">
        <v>75007</v>
      </c>
      <c r="H584" s="31" t="s">
        <v>36</v>
      </c>
      <c r="I584" s="32" t="n">
        <v>146331800</v>
      </c>
      <c r="J584" s="33" t="n">
        <v>64</v>
      </c>
      <c r="K584" s="33" t="n">
        <v>1</v>
      </c>
      <c r="L584" s="34"/>
      <c r="M584" s="35"/>
      <c r="N584" s="36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9"/>
      <c r="Z584" s="39"/>
      <c r="AA584" s="28"/>
      <c r="AC584" s="2" t="s">
        <v>38</v>
      </c>
      <c r="AMJ584" s="0"/>
    </row>
    <row r="585" s="2" customFormat="true" ht="12.75" hidden="false" customHeight="true" outlineLevel="0" collapsed="false">
      <c r="A585" s="27" t="s">
        <v>1320</v>
      </c>
      <c r="B585" s="27" t="s">
        <v>344</v>
      </c>
      <c r="C585" s="28" t="s">
        <v>33</v>
      </c>
      <c r="D585" s="27" t="s">
        <v>1124</v>
      </c>
      <c r="E585" s="27"/>
      <c r="F585" s="29" t="s">
        <v>1318</v>
      </c>
      <c r="G585" s="30" t="n">
        <v>75007</v>
      </c>
      <c r="H585" s="31" t="s">
        <v>36</v>
      </c>
      <c r="I585" s="32" t="n">
        <v>146331800</v>
      </c>
      <c r="J585" s="33" t="n">
        <v>51</v>
      </c>
      <c r="K585" s="33" t="n">
        <v>1</v>
      </c>
      <c r="L585" s="34"/>
      <c r="M585" s="35"/>
      <c r="N585" s="36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9"/>
      <c r="Z585" s="39"/>
      <c r="AA585" s="28"/>
      <c r="AC585" s="2" t="s">
        <v>38</v>
      </c>
      <c r="AMJ585" s="0"/>
    </row>
    <row r="586" s="2" customFormat="true" ht="12.75" hidden="false" customHeight="true" outlineLevel="0" collapsed="false">
      <c r="A586" s="27" t="s">
        <v>1321</v>
      </c>
      <c r="B586" s="27" t="s">
        <v>1322</v>
      </c>
      <c r="C586" s="28" t="s">
        <v>33</v>
      </c>
      <c r="D586" s="27" t="s">
        <v>1124</v>
      </c>
      <c r="E586" s="27"/>
      <c r="F586" s="29" t="s">
        <v>1323</v>
      </c>
      <c r="G586" s="30" t="n">
        <v>75007</v>
      </c>
      <c r="H586" s="31" t="s">
        <v>36</v>
      </c>
      <c r="I586" s="32" t="n">
        <v>142841174</v>
      </c>
      <c r="J586" s="33" t="n">
        <v>400</v>
      </c>
      <c r="K586" s="33"/>
      <c r="L586" s="34"/>
      <c r="M586" s="35"/>
      <c r="N586" s="36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9"/>
      <c r="Z586" s="39"/>
      <c r="AA586" s="28"/>
      <c r="AC586" s="2" t="s">
        <v>197</v>
      </c>
      <c r="AMJ586" s="0"/>
    </row>
    <row r="587" s="2" customFormat="true" ht="12.75" hidden="false" customHeight="true" outlineLevel="0" collapsed="false">
      <c r="A587" s="27" t="s">
        <v>1324</v>
      </c>
      <c r="B587" s="27" t="s">
        <v>669</v>
      </c>
      <c r="C587" s="28" t="s">
        <v>138</v>
      </c>
      <c r="D587" s="27" t="s">
        <v>1124</v>
      </c>
      <c r="E587" s="27"/>
      <c r="F587" s="29" t="s">
        <v>1325</v>
      </c>
      <c r="G587" s="30" t="n">
        <v>75007</v>
      </c>
      <c r="H587" s="31" t="s">
        <v>36</v>
      </c>
      <c r="I587" s="32"/>
      <c r="J587" s="33" t="n">
        <v>119</v>
      </c>
      <c r="K587" s="33" t="n">
        <v>10</v>
      </c>
      <c r="L587" s="34" t="n">
        <v>2</v>
      </c>
      <c r="M587" s="35" t="s">
        <v>164</v>
      </c>
      <c r="N587" s="36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39"/>
      <c r="Z587" s="39"/>
      <c r="AA587" s="28" t="n">
        <v>3</v>
      </c>
      <c r="AMJ587" s="0"/>
    </row>
    <row r="588" s="2" customFormat="true" ht="12.75" hidden="false" customHeight="true" outlineLevel="0" collapsed="false">
      <c r="A588" s="27" t="s">
        <v>1326</v>
      </c>
      <c r="B588" s="27" t="s">
        <v>465</v>
      </c>
      <c r="C588" s="28" t="s">
        <v>138</v>
      </c>
      <c r="D588" s="27" t="s">
        <v>1124</v>
      </c>
      <c r="E588" s="27"/>
      <c r="F588" s="29" t="s">
        <v>1325</v>
      </c>
      <c r="G588" s="30" t="n">
        <v>75007</v>
      </c>
      <c r="H588" s="31" t="s">
        <v>36</v>
      </c>
      <c r="I588" s="32"/>
      <c r="J588" s="33" t="n">
        <v>91</v>
      </c>
      <c r="K588" s="33" t="n">
        <v>1</v>
      </c>
      <c r="L588" s="34"/>
      <c r="M588" s="35"/>
      <c r="N588" s="36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9"/>
      <c r="Z588" s="39"/>
      <c r="AA588" s="28"/>
      <c r="AMJ588" s="0"/>
    </row>
    <row r="589" s="2" customFormat="true" ht="12.75" hidden="false" customHeight="true" outlineLevel="0" collapsed="false">
      <c r="A589" s="27" t="s">
        <v>803</v>
      </c>
      <c r="B589" s="27" t="s">
        <v>415</v>
      </c>
      <c r="C589" s="28" t="s">
        <v>33</v>
      </c>
      <c r="D589" s="27" t="s">
        <v>1124</v>
      </c>
      <c r="E589" s="27"/>
      <c r="F589" s="29" t="s">
        <v>1327</v>
      </c>
      <c r="G589" s="30" t="n">
        <v>75007</v>
      </c>
      <c r="H589" s="31" t="s">
        <v>36</v>
      </c>
      <c r="I589" s="32" t="n">
        <v>147074170</v>
      </c>
      <c r="J589" s="33" t="n">
        <v>62</v>
      </c>
      <c r="K589" s="33" t="n">
        <v>0</v>
      </c>
      <c r="L589" s="34"/>
      <c r="M589" s="35"/>
      <c r="N589" s="36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9"/>
      <c r="Z589" s="39"/>
      <c r="AA589" s="28"/>
      <c r="AC589" s="2" t="s">
        <v>38</v>
      </c>
      <c r="AMJ589" s="0"/>
    </row>
    <row r="590" s="2" customFormat="true" ht="12.75" hidden="false" customHeight="true" outlineLevel="0" collapsed="false">
      <c r="A590" s="27" t="s">
        <v>1328</v>
      </c>
      <c r="B590" s="27" t="s">
        <v>1329</v>
      </c>
      <c r="C590" s="28" t="s">
        <v>41</v>
      </c>
      <c r="D590" s="27" t="s">
        <v>1124</v>
      </c>
      <c r="E590" s="27"/>
      <c r="F590" s="29" t="s">
        <v>1330</v>
      </c>
      <c r="G590" s="30" t="n">
        <v>75007</v>
      </c>
      <c r="H590" s="31" t="s">
        <v>36</v>
      </c>
      <c r="I590" s="32" t="n">
        <v>145486013</v>
      </c>
      <c r="J590" s="33" t="n">
        <v>394</v>
      </c>
      <c r="K590" s="33" t="n">
        <v>1</v>
      </c>
      <c r="L590" s="34"/>
      <c r="M590" s="35"/>
      <c r="N590" s="36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9"/>
      <c r="Z590" s="39"/>
      <c r="AA590" s="28"/>
      <c r="AMJ590" s="0"/>
    </row>
    <row r="591" s="2" customFormat="true" ht="12.75" hidden="false" customHeight="true" outlineLevel="0" collapsed="false">
      <c r="A591" s="27" t="s">
        <v>1331</v>
      </c>
      <c r="B591" s="27" t="s">
        <v>299</v>
      </c>
      <c r="C591" s="28" t="s">
        <v>138</v>
      </c>
      <c r="D591" s="27" t="s">
        <v>1124</v>
      </c>
      <c r="E591" s="27"/>
      <c r="F591" s="29" t="s">
        <v>1332</v>
      </c>
      <c r="G591" s="30" t="n">
        <v>75007</v>
      </c>
      <c r="H591" s="31" t="s">
        <v>36</v>
      </c>
      <c r="I591" s="32"/>
      <c r="J591" s="33" t="n">
        <v>116</v>
      </c>
      <c r="K591" s="33" t="n">
        <v>3</v>
      </c>
      <c r="L591" s="34"/>
      <c r="M591" s="35"/>
      <c r="N591" s="36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9"/>
      <c r="Z591" s="39"/>
      <c r="AA591" s="28"/>
      <c r="AMJ591" s="0"/>
    </row>
    <row r="592" s="2" customFormat="true" ht="12.75" hidden="false" customHeight="true" outlineLevel="0" collapsed="false">
      <c r="A592" s="27" t="s">
        <v>1333</v>
      </c>
      <c r="B592" s="27" t="s">
        <v>1334</v>
      </c>
      <c r="C592" s="28" t="s">
        <v>113</v>
      </c>
      <c r="D592" s="27" t="s">
        <v>1124</v>
      </c>
      <c r="E592" s="27"/>
      <c r="F592" s="29" t="s">
        <v>1335</v>
      </c>
      <c r="G592" s="30" t="n">
        <v>75007</v>
      </c>
      <c r="H592" s="31" t="s">
        <v>36</v>
      </c>
      <c r="I592" s="32" t="n">
        <v>153869377</v>
      </c>
      <c r="J592" s="33" t="n">
        <v>51</v>
      </c>
      <c r="K592" s="33" t="n">
        <v>0</v>
      </c>
      <c r="L592" s="34"/>
      <c r="M592" s="35"/>
      <c r="N592" s="36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9"/>
      <c r="Z592" s="39"/>
      <c r="AA592" s="28"/>
      <c r="AMJ592" s="0"/>
    </row>
    <row r="593" s="2" customFormat="true" ht="12.75" hidden="false" customHeight="true" outlineLevel="0" collapsed="false">
      <c r="A593" s="27" t="s">
        <v>1336</v>
      </c>
      <c r="B593" s="27" t="s">
        <v>344</v>
      </c>
      <c r="C593" s="28" t="s">
        <v>41</v>
      </c>
      <c r="D593" s="27" t="s">
        <v>1124</v>
      </c>
      <c r="E593" s="27"/>
      <c r="F593" s="29" t="s">
        <v>1337</v>
      </c>
      <c r="G593" s="30" t="n">
        <v>75007</v>
      </c>
      <c r="H593" s="31" t="s">
        <v>36</v>
      </c>
      <c r="I593" s="32" t="n">
        <v>143351871</v>
      </c>
      <c r="J593" s="33" t="n">
        <v>368</v>
      </c>
      <c r="K593" s="33" t="n">
        <v>1</v>
      </c>
      <c r="L593" s="34"/>
      <c r="M593" s="35"/>
      <c r="N593" s="36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9"/>
      <c r="Z593" s="39"/>
      <c r="AA593" s="28"/>
      <c r="AMJ593" s="0"/>
    </row>
    <row r="594" s="2" customFormat="true" ht="12.75" hidden="false" customHeight="true" outlineLevel="0" collapsed="false">
      <c r="A594" s="27" t="s">
        <v>1338</v>
      </c>
      <c r="B594" s="27" t="s">
        <v>884</v>
      </c>
      <c r="C594" s="28" t="s">
        <v>41</v>
      </c>
      <c r="D594" s="27" t="s">
        <v>1124</v>
      </c>
      <c r="E594" s="27"/>
      <c r="F594" s="29" t="s">
        <v>1339</v>
      </c>
      <c r="G594" s="30" t="n">
        <v>75007</v>
      </c>
      <c r="H594" s="31" t="s">
        <v>36</v>
      </c>
      <c r="I594" s="32" t="n">
        <v>143061116</v>
      </c>
      <c r="J594" s="33" t="n">
        <v>226</v>
      </c>
      <c r="K594" s="33" t="n">
        <v>1</v>
      </c>
      <c r="L594" s="34"/>
      <c r="M594" s="35"/>
      <c r="N594" s="36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9"/>
      <c r="Z594" s="39"/>
      <c r="AA594" s="28"/>
      <c r="AMJ594" s="0"/>
    </row>
    <row r="595" s="2" customFormat="true" ht="12.75" hidden="false" customHeight="true" outlineLevel="0" collapsed="false">
      <c r="A595" s="27" t="s">
        <v>1340</v>
      </c>
      <c r="B595" s="27" t="s">
        <v>1341</v>
      </c>
      <c r="C595" s="28" t="s">
        <v>121</v>
      </c>
      <c r="D595" s="27" t="s">
        <v>1124</v>
      </c>
      <c r="E595" s="27"/>
      <c r="F595" s="29" t="s">
        <v>1342</v>
      </c>
      <c r="G595" s="30" t="n">
        <v>75007</v>
      </c>
      <c r="H595" s="31" t="s">
        <v>36</v>
      </c>
      <c r="I595" s="32" t="n">
        <v>157022981</v>
      </c>
      <c r="J595" s="33" t="n">
        <v>219</v>
      </c>
      <c r="K595" s="33" t="n">
        <v>2</v>
      </c>
      <c r="L595" s="34"/>
      <c r="M595" s="35"/>
      <c r="N595" s="36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9"/>
      <c r="Z595" s="39"/>
      <c r="AA595" s="28"/>
      <c r="AMJ595" s="0"/>
    </row>
    <row r="596" s="2" customFormat="true" ht="12.75" hidden="false" customHeight="true" outlineLevel="0" collapsed="false">
      <c r="A596" s="27" t="s">
        <v>1343</v>
      </c>
      <c r="B596" s="27" t="s">
        <v>475</v>
      </c>
      <c r="C596" s="28" t="s">
        <v>178</v>
      </c>
      <c r="D596" s="27" t="s">
        <v>1124</v>
      </c>
      <c r="E596" s="27"/>
      <c r="F596" s="29" t="s">
        <v>1344</v>
      </c>
      <c r="G596" s="30" t="n">
        <v>75007</v>
      </c>
      <c r="H596" s="31" t="s">
        <v>36</v>
      </c>
      <c r="I596" s="32" t="n">
        <v>145654200</v>
      </c>
      <c r="J596" s="33" t="n">
        <v>275</v>
      </c>
      <c r="K596" s="33" t="n">
        <v>2</v>
      </c>
      <c r="L596" s="34"/>
      <c r="M596" s="35"/>
      <c r="N596" s="36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9"/>
      <c r="Z596" s="39"/>
      <c r="AA596" s="28"/>
      <c r="AMJ596" s="0"/>
    </row>
    <row r="597" s="2" customFormat="true" ht="12.75" hidden="false" customHeight="true" outlineLevel="0" collapsed="false">
      <c r="A597" s="27" t="s">
        <v>1345</v>
      </c>
      <c r="B597" s="27" t="s">
        <v>401</v>
      </c>
      <c r="C597" s="28" t="s">
        <v>121</v>
      </c>
      <c r="D597" s="27" t="s">
        <v>1124</v>
      </c>
      <c r="E597" s="27"/>
      <c r="F597" s="29" t="s">
        <v>1346</v>
      </c>
      <c r="G597" s="30" t="n">
        <v>75007</v>
      </c>
      <c r="H597" s="31" t="s">
        <v>36</v>
      </c>
      <c r="I597" s="32" t="n">
        <v>140443946</v>
      </c>
      <c r="J597" s="33" t="n">
        <v>252</v>
      </c>
      <c r="K597" s="33" t="n">
        <v>1</v>
      </c>
      <c r="L597" s="34"/>
      <c r="M597" s="35"/>
      <c r="N597" s="36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9"/>
      <c r="Z597" s="39"/>
      <c r="AA597" s="28"/>
      <c r="AMJ597" s="0"/>
    </row>
    <row r="598" s="2" customFormat="true" ht="12.75" hidden="false" customHeight="true" outlineLevel="0" collapsed="false">
      <c r="A598" s="27" t="s">
        <v>1347</v>
      </c>
      <c r="B598" s="27" t="s">
        <v>417</v>
      </c>
      <c r="C598" s="28" t="s">
        <v>41</v>
      </c>
      <c r="D598" s="27" t="s">
        <v>1124</v>
      </c>
      <c r="E598" s="27"/>
      <c r="F598" s="29" t="s">
        <v>1348</v>
      </c>
      <c r="G598" s="30" t="n">
        <v>75007</v>
      </c>
      <c r="H598" s="31" t="s">
        <v>36</v>
      </c>
      <c r="I598" s="32" t="n">
        <v>145490245</v>
      </c>
      <c r="J598" s="33" t="n">
        <v>317</v>
      </c>
      <c r="K598" s="33" t="n">
        <v>1</v>
      </c>
      <c r="L598" s="34"/>
      <c r="M598" s="35"/>
      <c r="N598" s="36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9"/>
      <c r="Z598" s="39"/>
      <c r="AA598" s="28"/>
      <c r="AMJ598" s="0"/>
    </row>
    <row r="599" s="2" customFormat="true" ht="12.75" hidden="false" customHeight="true" outlineLevel="0" collapsed="false">
      <c r="A599" s="27" t="s">
        <v>1349</v>
      </c>
      <c r="B599" s="27" t="s">
        <v>470</v>
      </c>
      <c r="C599" s="28" t="s">
        <v>33</v>
      </c>
      <c r="D599" s="27" t="s">
        <v>1124</v>
      </c>
      <c r="E599" s="27"/>
      <c r="F599" s="29" t="s">
        <v>1350</v>
      </c>
      <c r="G599" s="30" t="n">
        <v>75007</v>
      </c>
      <c r="H599" s="31" t="s">
        <v>36</v>
      </c>
      <c r="I599" s="32" t="n">
        <v>173718062</v>
      </c>
      <c r="J599" s="33" t="n">
        <v>56</v>
      </c>
      <c r="K599" s="33" t="n">
        <v>1</v>
      </c>
      <c r="L599" s="34"/>
      <c r="M599" s="35"/>
      <c r="N599" s="36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9"/>
      <c r="Z599" s="39"/>
      <c r="AA599" s="28"/>
      <c r="AC599" s="2" t="s">
        <v>38</v>
      </c>
      <c r="AMJ599" s="0"/>
    </row>
    <row r="600" s="2" customFormat="true" ht="12.75" hidden="false" customHeight="true" outlineLevel="0" collapsed="false">
      <c r="A600" s="27" t="s">
        <v>1351</v>
      </c>
      <c r="B600" s="27" t="s">
        <v>598</v>
      </c>
      <c r="C600" s="28" t="s">
        <v>33</v>
      </c>
      <c r="D600" s="27" t="s">
        <v>1124</v>
      </c>
      <c r="E600" s="27"/>
      <c r="F600" s="29" t="s">
        <v>1352</v>
      </c>
      <c r="G600" s="30" t="n">
        <v>75007</v>
      </c>
      <c r="H600" s="31" t="s">
        <v>36</v>
      </c>
      <c r="I600" s="32" t="n">
        <v>145665672</v>
      </c>
      <c r="J600" s="33" t="n">
        <v>55</v>
      </c>
      <c r="K600" s="33" t="n">
        <v>0</v>
      </c>
      <c r="L600" s="34"/>
      <c r="M600" s="35"/>
      <c r="N600" s="36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9"/>
      <c r="Z600" s="39"/>
      <c r="AA600" s="28"/>
      <c r="AC600" s="2" t="s">
        <v>38</v>
      </c>
      <c r="AMJ600" s="0"/>
    </row>
    <row r="601" s="2" customFormat="true" ht="12.75" hidden="false" customHeight="true" outlineLevel="0" collapsed="false">
      <c r="A601" s="27" t="s">
        <v>1353</v>
      </c>
      <c r="B601" s="27" t="s">
        <v>160</v>
      </c>
      <c r="C601" s="28" t="s">
        <v>33</v>
      </c>
      <c r="D601" s="27" t="s">
        <v>1124</v>
      </c>
      <c r="E601" s="27"/>
      <c r="F601" s="29" t="s">
        <v>1354</v>
      </c>
      <c r="G601" s="30" t="n">
        <v>75007</v>
      </c>
      <c r="H601" s="31" t="s">
        <v>36</v>
      </c>
      <c r="I601" s="32" t="n">
        <v>145510626</v>
      </c>
      <c r="J601" s="33" t="n">
        <v>65</v>
      </c>
      <c r="K601" s="33" t="n">
        <v>1</v>
      </c>
      <c r="L601" s="34"/>
      <c r="M601" s="35"/>
      <c r="N601" s="36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9"/>
      <c r="Z601" s="39"/>
      <c r="AA601" s="28"/>
      <c r="AC601" s="2" t="s">
        <v>38</v>
      </c>
      <c r="AMJ601" s="0"/>
    </row>
    <row r="602" s="2" customFormat="true" ht="12.75" hidden="false" customHeight="true" outlineLevel="0" collapsed="false">
      <c r="A602" s="27" t="s">
        <v>1355</v>
      </c>
      <c r="B602" s="27" t="s">
        <v>558</v>
      </c>
      <c r="C602" s="28" t="s">
        <v>33</v>
      </c>
      <c r="D602" s="27" t="s">
        <v>1124</v>
      </c>
      <c r="E602" s="27"/>
      <c r="F602" s="29" t="s">
        <v>1354</v>
      </c>
      <c r="G602" s="30" t="n">
        <v>75007</v>
      </c>
      <c r="H602" s="31" t="s">
        <v>36</v>
      </c>
      <c r="I602" s="32" t="n">
        <v>145515730</v>
      </c>
      <c r="J602" s="33" t="n">
        <v>51</v>
      </c>
      <c r="K602" s="33" t="n">
        <v>0</v>
      </c>
      <c r="L602" s="34"/>
      <c r="M602" s="35"/>
      <c r="N602" s="36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9"/>
      <c r="Z602" s="39"/>
      <c r="AA602" s="28"/>
      <c r="AC602" s="2" t="s">
        <v>38</v>
      </c>
      <c r="AMJ602" s="0"/>
    </row>
    <row r="603" s="2" customFormat="true" ht="12.75" hidden="false" customHeight="true" outlineLevel="0" collapsed="false">
      <c r="A603" s="27" t="s">
        <v>1356</v>
      </c>
      <c r="B603" s="27" t="s">
        <v>1357</v>
      </c>
      <c r="C603" s="28" t="s">
        <v>41</v>
      </c>
      <c r="D603" s="27" t="s">
        <v>1124</v>
      </c>
      <c r="E603" s="27"/>
      <c r="F603" s="29" t="s">
        <v>1358</v>
      </c>
      <c r="G603" s="30" t="n">
        <v>75007</v>
      </c>
      <c r="H603" s="31" t="s">
        <v>36</v>
      </c>
      <c r="I603" s="32"/>
      <c r="J603" s="33" t="n">
        <v>164</v>
      </c>
      <c r="K603" s="33" t="n">
        <v>0</v>
      </c>
      <c r="L603" s="34"/>
      <c r="M603" s="35"/>
      <c r="N603" s="36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9"/>
      <c r="Z603" s="39"/>
      <c r="AA603" s="28"/>
      <c r="AMJ603" s="0"/>
    </row>
    <row r="604" s="2" customFormat="true" ht="12.75" hidden="false" customHeight="true" outlineLevel="0" collapsed="false">
      <c r="A604" s="27" t="s">
        <v>1359</v>
      </c>
      <c r="B604" s="27" t="s">
        <v>525</v>
      </c>
      <c r="C604" s="28" t="s">
        <v>138</v>
      </c>
      <c r="D604" s="27" t="s">
        <v>1124</v>
      </c>
      <c r="E604" s="27"/>
      <c r="F604" s="29" t="s">
        <v>1360</v>
      </c>
      <c r="G604" s="30" t="n">
        <v>75007</v>
      </c>
      <c r="H604" s="31" t="s">
        <v>36</v>
      </c>
      <c r="I604" s="32" t="n">
        <v>145502022</v>
      </c>
      <c r="J604" s="33" t="n">
        <v>125</v>
      </c>
      <c r="K604" s="33" t="n">
        <v>5</v>
      </c>
      <c r="L604" s="34" t="n">
        <v>2</v>
      </c>
      <c r="M604" s="35" t="s">
        <v>164</v>
      </c>
      <c r="N604" s="36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39"/>
      <c r="Z604" s="39"/>
      <c r="AA604" s="28" t="n">
        <v>3</v>
      </c>
      <c r="AMJ604" s="0"/>
    </row>
    <row r="605" s="2" customFormat="true" ht="12.75" hidden="false" customHeight="true" outlineLevel="0" collapsed="false">
      <c r="A605" s="27" t="s">
        <v>1361</v>
      </c>
      <c r="B605" s="27" t="s">
        <v>1362</v>
      </c>
      <c r="C605" s="28" t="s">
        <v>41</v>
      </c>
      <c r="D605" s="27" t="s">
        <v>1124</v>
      </c>
      <c r="E605" s="27"/>
      <c r="F605" s="29" t="s">
        <v>1360</v>
      </c>
      <c r="G605" s="30" t="n">
        <v>75007</v>
      </c>
      <c r="H605" s="31" t="s">
        <v>36</v>
      </c>
      <c r="I605" s="32" t="n">
        <v>147059809</v>
      </c>
      <c r="J605" s="33" t="n">
        <v>308</v>
      </c>
      <c r="K605" s="33" t="n">
        <v>2</v>
      </c>
      <c r="L605" s="34"/>
      <c r="M605" s="35"/>
      <c r="N605" s="36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9"/>
      <c r="Z605" s="39"/>
      <c r="AA605" s="28"/>
      <c r="AMJ605" s="0"/>
    </row>
    <row r="606" s="2" customFormat="true" ht="12.75" hidden="false" customHeight="true" outlineLevel="0" collapsed="false">
      <c r="A606" s="27" t="s">
        <v>1363</v>
      </c>
      <c r="B606" s="27" t="s">
        <v>53</v>
      </c>
      <c r="C606" s="28" t="s">
        <v>41</v>
      </c>
      <c r="D606" s="27" t="s">
        <v>1124</v>
      </c>
      <c r="E606" s="27"/>
      <c r="F606" s="29" t="s">
        <v>1360</v>
      </c>
      <c r="G606" s="30" t="n">
        <v>75007</v>
      </c>
      <c r="H606" s="31" t="s">
        <v>36</v>
      </c>
      <c r="I606" s="32" t="n">
        <v>147059809</v>
      </c>
      <c r="J606" s="33" t="n">
        <v>125</v>
      </c>
      <c r="K606" s="33" t="n">
        <v>1</v>
      </c>
      <c r="L606" s="34"/>
      <c r="M606" s="35"/>
      <c r="N606" s="36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9"/>
      <c r="Z606" s="39"/>
      <c r="AA606" s="28"/>
      <c r="AMJ606" s="0"/>
    </row>
    <row r="607" s="2" customFormat="true" ht="12.75" hidden="false" customHeight="true" outlineLevel="0" collapsed="false">
      <c r="A607" s="27" t="s">
        <v>1364</v>
      </c>
      <c r="B607" s="27" t="s">
        <v>88</v>
      </c>
      <c r="C607" s="28" t="s">
        <v>33</v>
      </c>
      <c r="D607" s="27" t="s">
        <v>1124</v>
      </c>
      <c r="E607" s="27"/>
      <c r="F607" s="29" t="s">
        <v>1365</v>
      </c>
      <c r="G607" s="30" t="n">
        <v>75007</v>
      </c>
      <c r="H607" s="31" t="s">
        <v>36</v>
      </c>
      <c r="I607" s="32" t="n">
        <v>149270580</v>
      </c>
      <c r="J607" s="33" t="n">
        <v>65</v>
      </c>
      <c r="K607" s="33" t="n">
        <v>1</v>
      </c>
      <c r="L607" s="34"/>
      <c r="M607" s="35"/>
      <c r="N607" s="36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9"/>
      <c r="Z607" s="39"/>
      <c r="AA607" s="28"/>
      <c r="AC607" s="2" t="s">
        <v>38</v>
      </c>
      <c r="AMJ607" s="0"/>
    </row>
    <row r="608" s="2" customFormat="true" ht="12.75" hidden="false" customHeight="true" outlineLevel="0" collapsed="false">
      <c r="A608" s="27" t="s">
        <v>1366</v>
      </c>
      <c r="B608" s="27" t="s">
        <v>790</v>
      </c>
      <c r="C608" s="28" t="s">
        <v>33</v>
      </c>
      <c r="D608" s="27" t="s">
        <v>1124</v>
      </c>
      <c r="E608" s="27"/>
      <c r="F608" s="29" t="s">
        <v>1367</v>
      </c>
      <c r="G608" s="30" t="n">
        <v>75007</v>
      </c>
      <c r="H608" s="31" t="s">
        <v>36</v>
      </c>
      <c r="I608" s="32" t="n">
        <v>145519080</v>
      </c>
      <c r="J608" s="33" t="n">
        <v>58</v>
      </c>
      <c r="K608" s="33" t="n">
        <v>1</v>
      </c>
      <c r="L608" s="34"/>
      <c r="M608" s="35"/>
      <c r="N608" s="36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9"/>
      <c r="Z608" s="39"/>
      <c r="AA608" s="28"/>
      <c r="AC608" s="2" t="s">
        <v>197</v>
      </c>
      <c r="AMJ608" s="0"/>
    </row>
    <row r="609" s="2" customFormat="true" ht="12.75" hidden="false" customHeight="true" outlineLevel="0" collapsed="false">
      <c r="A609" s="27" t="s">
        <v>1368</v>
      </c>
      <c r="B609" s="27" t="s">
        <v>1369</v>
      </c>
      <c r="C609" s="28" t="s">
        <v>33</v>
      </c>
      <c r="D609" s="27" t="s">
        <v>1124</v>
      </c>
      <c r="E609" s="27"/>
      <c r="F609" s="29" t="s">
        <v>1370</v>
      </c>
      <c r="G609" s="30" t="n">
        <v>75007</v>
      </c>
      <c r="H609" s="31" t="s">
        <v>36</v>
      </c>
      <c r="I609" s="32" t="n">
        <v>147056857</v>
      </c>
      <c r="J609" s="33" t="n">
        <v>51</v>
      </c>
      <c r="K609" s="33" t="n">
        <v>0</v>
      </c>
      <c r="L609" s="34"/>
      <c r="M609" s="35"/>
      <c r="N609" s="36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9"/>
      <c r="Z609" s="39"/>
      <c r="AA609" s="28"/>
      <c r="AC609" s="2" t="s">
        <v>38</v>
      </c>
      <c r="AMJ609" s="0"/>
    </row>
    <row r="610" s="2" customFormat="true" ht="12.75" hidden="false" customHeight="true" outlineLevel="0" collapsed="false">
      <c r="A610" s="27" t="s">
        <v>1371</v>
      </c>
      <c r="B610" s="27" t="s">
        <v>88</v>
      </c>
      <c r="C610" s="28" t="s">
        <v>41</v>
      </c>
      <c r="D610" s="27" t="s">
        <v>1124</v>
      </c>
      <c r="E610" s="27"/>
      <c r="F610" s="29" t="s">
        <v>1372</v>
      </c>
      <c r="G610" s="30" t="n">
        <v>75007</v>
      </c>
      <c r="H610" s="31" t="s">
        <v>36</v>
      </c>
      <c r="I610" s="32" t="n">
        <v>147835657</v>
      </c>
      <c r="J610" s="33" t="n">
        <v>837</v>
      </c>
      <c r="K610" s="33" t="n">
        <v>21</v>
      </c>
      <c r="L610" s="34" t="n">
        <v>3</v>
      </c>
      <c r="M610" s="35" t="s">
        <v>716</v>
      </c>
      <c r="N610" s="57" t="s">
        <v>1373</v>
      </c>
      <c r="O610" s="41"/>
      <c r="P610" s="41"/>
      <c r="Q610" s="41"/>
      <c r="R610" s="41"/>
      <c r="S610" s="41" t="n">
        <v>0.5</v>
      </c>
      <c r="T610" s="41"/>
      <c r="U610" s="41"/>
      <c r="V610" s="41"/>
      <c r="W610" s="41"/>
      <c r="X610" s="41"/>
      <c r="Y610" s="39" t="n">
        <v>45128.5833333333</v>
      </c>
      <c r="Z610" s="39"/>
      <c r="AA610" s="28" t="n">
        <v>3</v>
      </c>
      <c r="AMJ610" s="0"/>
    </row>
    <row r="611" s="2" customFormat="true" ht="12.75" hidden="false" customHeight="true" outlineLevel="0" collapsed="false">
      <c r="A611" s="27" t="s">
        <v>1374</v>
      </c>
      <c r="B611" s="27" t="s">
        <v>157</v>
      </c>
      <c r="C611" s="28" t="s">
        <v>33</v>
      </c>
      <c r="D611" s="27" t="s">
        <v>1124</v>
      </c>
      <c r="E611" s="27"/>
      <c r="F611" s="29" t="s">
        <v>1375</v>
      </c>
      <c r="G611" s="30" t="n">
        <v>75007</v>
      </c>
      <c r="H611" s="31" t="s">
        <v>36</v>
      </c>
      <c r="I611" s="32" t="n">
        <v>147839157</v>
      </c>
      <c r="J611" s="33" t="n">
        <v>60</v>
      </c>
      <c r="K611" s="33" t="n">
        <v>1</v>
      </c>
      <c r="L611" s="34"/>
      <c r="M611" s="35"/>
      <c r="N611" s="36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9"/>
      <c r="Z611" s="39"/>
      <c r="AA611" s="28"/>
      <c r="AC611" s="2" t="s">
        <v>38</v>
      </c>
      <c r="AMJ611" s="0"/>
    </row>
    <row r="612" s="2" customFormat="true" ht="12.75" hidden="false" customHeight="true" outlineLevel="0" collapsed="false">
      <c r="A612" s="27" t="s">
        <v>1376</v>
      </c>
      <c r="B612" s="27" t="s">
        <v>250</v>
      </c>
      <c r="C612" s="28" t="s">
        <v>33</v>
      </c>
      <c r="D612" s="27" t="s">
        <v>1124</v>
      </c>
      <c r="E612" s="27" t="s">
        <v>1377</v>
      </c>
      <c r="F612" s="29" t="s">
        <v>1378</v>
      </c>
      <c r="G612" s="30" t="n">
        <v>75007</v>
      </c>
      <c r="H612" s="31" t="s">
        <v>36</v>
      </c>
      <c r="I612" s="32" t="n">
        <v>145656400</v>
      </c>
      <c r="J612" s="33" t="n">
        <v>52</v>
      </c>
      <c r="K612" s="33" t="n">
        <v>2</v>
      </c>
      <c r="L612" s="34"/>
      <c r="M612" s="35"/>
      <c r="N612" s="36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9"/>
      <c r="Z612" s="39"/>
      <c r="AA612" s="28"/>
      <c r="AC612" s="2" t="s">
        <v>38</v>
      </c>
      <c r="AMJ612" s="0"/>
    </row>
    <row r="613" s="2" customFormat="true" ht="12.75" hidden="false" customHeight="true" outlineLevel="0" collapsed="false">
      <c r="A613" s="27" t="s">
        <v>1379</v>
      </c>
      <c r="B613" s="27" t="s">
        <v>1380</v>
      </c>
      <c r="C613" s="28" t="s">
        <v>33</v>
      </c>
      <c r="D613" s="27" t="s">
        <v>1124</v>
      </c>
      <c r="E613" s="27" t="s">
        <v>1377</v>
      </c>
      <c r="F613" s="29" t="s">
        <v>1378</v>
      </c>
      <c r="G613" s="30" t="n">
        <v>75007</v>
      </c>
      <c r="H613" s="31" t="s">
        <v>36</v>
      </c>
      <c r="I613" s="32" t="n">
        <v>145656400</v>
      </c>
      <c r="J613" s="33" t="n">
        <v>44</v>
      </c>
      <c r="K613" s="33" t="n">
        <v>1</v>
      </c>
      <c r="L613" s="34"/>
      <c r="M613" s="35"/>
      <c r="N613" s="36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9"/>
      <c r="Z613" s="39"/>
      <c r="AA613" s="28"/>
      <c r="AC613" s="2" t="s">
        <v>197</v>
      </c>
      <c r="AMJ613" s="0"/>
    </row>
    <row r="614" s="2" customFormat="true" ht="12.75" hidden="false" customHeight="true" outlineLevel="0" collapsed="false">
      <c r="A614" s="27" t="s">
        <v>1381</v>
      </c>
      <c r="B614" s="27" t="s">
        <v>688</v>
      </c>
      <c r="C614" s="28" t="s">
        <v>33</v>
      </c>
      <c r="D614" s="27" t="s">
        <v>1124</v>
      </c>
      <c r="E614" s="27" t="s">
        <v>1377</v>
      </c>
      <c r="F614" s="29" t="s">
        <v>1378</v>
      </c>
      <c r="G614" s="30" t="n">
        <v>75007</v>
      </c>
      <c r="H614" s="31" t="s">
        <v>36</v>
      </c>
      <c r="I614" s="32" t="n">
        <v>145656400</v>
      </c>
      <c r="J614" s="33" t="n">
        <v>43</v>
      </c>
      <c r="K614" s="33" t="n">
        <v>1</v>
      </c>
      <c r="L614" s="34"/>
      <c r="M614" s="35"/>
      <c r="N614" s="36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9"/>
      <c r="Z614" s="39"/>
      <c r="AA614" s="28"/>
      <c r="AC614" s="27" t="s">
        <v>38</v>
      </c>
      <c r="AD614" s="27"/>
      <c r="AE614" s="27"/>
      <c r="AMJ614" s="0"/>
    </row>
    <row r="615" s="2" customFormat="true" ht="12.75" hidden="false" customHeight="true" outlineLevel="0" collapsed="false">
      <c r="A615" s="27" t="s">
        <v>1382</v>
      </c>
      <c r="B615" s="27" t="s">
        <v>1383</v>
      </c>
      <c r="C615" s="28" t="s">
        <v>33</v>
      </c>
      <c r="D615" s="27" t="s">
        <v>1124</v>
      </c>
      <c r="E615" s="27" t="s">
        <v>1377</v>
      </c>
      <c r="F615" s="29" t="s">
        <v>1378</v>
      </c>
      <c r="G615" s="30" t="n">
        <v>75007</v>
      </c>
      <c r="H615" s="31" t="s">
        <v>36</v>
      </c>
      <c r="I615" s="32" t="n">
        <v>145656400</v>
      </c>
      <c r="J615" s="33" t="n">
        <v>43</v>
      </c>
      <c r="K615" s="33" t="n">
        <v>1</v>
      </c>
      <c r="L615" s="34"/>
      <c r="M615" s="35"/>
      <c r="N615" s="36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9"/>
      <c r="Z615" s="39"/>
      <c r="AA615" s="28"/>
      <c r="AC615" s="2" t="s">
        <v>38</v>
      </c>
      <c r="AMJ615" s="0"/>
    </row>
    <row r="616" s="2" customFormat="true" ht="12.75" hidden="false" customHeight="true" outlineLevel="0" collapsed="false">
      <c r="A616" s="27" t="s">
        <v>1384</v>
      </c>
      <c r="B616" s="27" t="s">
        <v>1279</v>
      </c>
      <c r="C616" s="28" t="s">
        <v>33</v>
      </c>
      <c r="D616" s="27" t="s">
        <v>1124</v>
      </c>
      <c r="E616" s="27" t="s">
        <v>1377</v>
      </c>
      <c r="F616" s="29" t="s">
        <v>1378</v>
      </c>
      <c r="G616" s="30" t="n">
        <v>75007</v>
      </c>
      <c r="H616" s="31" t="s">
        <v>36</v>
      </c>
      <c r="I616" s="32" t="n">
        <v>145656400</v>
      </c>
      <c r="J616" s="33" t="n">
        <v>42</v>
      </c>
      <c r="K616" s="33" t="n">
        <v>1</v>
      </c>
      <c r="L616" s="34"/>
      <c r="M616" s="35"/>
      <c r="N616" s="36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9"/>
      <c r="Z616" s="39"/>
      <c r="AA616" s="28"/>
      <c r="AC616" s="2" t="s">
        <v>38</v>
      </c>
      <c r="AMJ616" s="0"/>
    </row>
    <row r="617" s="2" customFormat="true" ht="12.75" hidden="false" customHeight="true" outlineLevel="0" collapsed="false">
      <c r="A617" s="27" t="s">
        <v>1385</v>
      </c>
      <c r="B617" s="27" t="s">
        <v>1386</v>
      </c>
      <c r="C617" s="28" t="s">
        <v>113</v>
      </c>
      <c r="D617" s="27" t="s">
        <v>1124</v>
      </c>
      <c r="E617" s="27"/>
      <c r="F617" s="29" t="s">
        <v>1387</v>
      </c>
      <c r="G617" s="30" t="n">
        <v>75007</v>
      </c>
      <c r="H617" s="31" t="s">
        <v>36</v>
      </c>
      <c r="I617" s="32" t="n">
        <v>181224204</v>
      </c>
      <c r="J617" s="33"/>
      <c r="K617" s="33"/>
      <c r="L617" s="34"/>
      <c r="M617" s="35"/>
      <c r="N617" s="36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9"/>
      <c r="Z617" s="39"/>
      <c r="AA617" s="28"/>
      <c r="AMJ617" s="0"/>
    </row>
    <row r="618" s="2" customFormat="true" ht="12.75" hidden="false" customHeight="true" outlineLevel="0" collapsed="false">
      <c r="A618" s="27" t="s">
        <v>1388</v>
      </c>
      <c r="B618" s="27" t="s">
        <v>133</v>
      </c>
      <c r="C618" s="28" t="s">
        <v>33</v>
      </c>
      <c r="D618" s="27" t="s">
        <v>1124</v>
      </c>
      <c r="E618" s="27"/>
      <c r="F618" s="29" t="s">
        <v>1389</v>
      </c>
      <c r="G618" s="30" t="n">
        <v>75007</v>
      </c>
      <c r="H618" s="31" t="s">
        <v>36</v>
      </c>
      <c r="I618" s="32" t="n">
        <v>987745284</v>
      </c>
      <c r="J618" s="33" t="n">
        <v>29</v>
      </c>
      <c r="K618" s="33" t="n">
        <v>1</v>
      </c>
      <c r="L618" s="34"/>
      <c r="M618" s="35"/>
      <c r="N618" s="36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9"/>
      <c r="Z618" s="39"/>
      <c r="AA618" s="28"/>
      <c r="AC618" s="2" t="s">
        <v>38</v>
      </c>
      <c r="AMJ618" s="0"/>
    </row>
    <row r="619" s="2" customFormat="true" ht="12.75" hidden="false" customHeight="true" outlineLevel="0" collapsed="false">
      <c r="A619" s="27" t="s">
        <v>1390</v>
      </c>
      <c r="B619" s="27" t="s">
        <v>1391</v>
      </c>
      <c r="C619" s="28" t="s">
        <v>41</v>
      </c>
      <c r="D619" s="27" t="s">
        <v>1124</v>
      </c>
      <c r="E619" s="27"/>
      <c r="F619" s="29" t="s">
        <v>1392</v>
      </c>
      <c r="G619" s="30" t="n">
        <v>75007</v>
      </c>
      <c r="H619" s="31" t="s">
        <v>36</v>
      </c>
      <c r="I619" s="32"/>
      <c r="J619" s="33" t="n">
        <v>356</v>
      </c>
      <c r="K619" s="33" t="n">
        <v>13</v>
      </c>
      <c r="L619" s="34" t="n">
        <v>2</v>
      </c>
      <c r="M619" s="35" t="s">
        <v>164</v>
      </c>
      <c r="N619" s="36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39"/>
      <c r="Z619" s="39"/>
      <c r="AA619" s="28" t="n">
        <v>3</v>
      </c>
      <c r="AMJ619" s="0"/>
    </row>
    <row r="620" s="2" customFormat="true" ht="12.75" hidden="false" customHeight="true" outlineLevel="0" collapsed="false">
      <c r="A620" s="27" t="s">
        <v>1393</v>
      </c>
      <c r="B620" s="27" t="s">
        <v>984</v>
      </c>
      <c r="C620" s="28" t="s">
        <v>113</v>
      </c>
      <c r="D620" s="27" t="s">
        <v>1124</v>
      </c>
      <c r="E620" s="27"/>
      <c r="F620" s="29" t="s">
        <v>1394</v>
      </c>
      <c r="G620" s="30" t="n">
        <v>75007</v>
      </c>
      <c r="H620" s="31" t="s">
        <v>36</v>
      </c>
      <c r="I620" s="32" t="n">
        <v>144499919</v>
      </c>
      <c r="J620" s="33" t="n">
        <v>51</v>
      </c>
      <c r="K620" s="33" t="n">
        <v>1</v>
      </c>
      <c r="L620" s="34"/>
      <c r="M620" s="35"/>
      <c r="N620" s="36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9"/>
      <c r="Z620" s="39"/>
      <c r="AA620" s="28"/>
      <c r="AMJ620" s="0"/>
    </row>
    <row r="621" s="2" customFormat="true" ht="12.75" hidden="false" customHeight="true" outlineLevel="0" collapsed="false">
      <c r="A621" s="27" t="s">
        <v>1395</v>
      </c>
      <c r="B621" s="27" t="s">
        <v>751</v>
      </c>
      <c r="C621" s="28" t="s">
        <v>33</v>
      </c>
      <c r="D621" s="27" t="s">
        <v>1124</v>
      </c>
      <c r="E621" s="27"/>
      <c r="F621" s="29" t="s">
        <v>1394</v>
      </c>
      <c r="G621" s="30" t="n">
        <v>75007</v>
      </c>
      <c r="H621" s="31" t="s">
        <v>36</v>
      </c>
      <c r="I621" s="32" t="n">
        <v>144499919</v>
      </c>
      <c r="J621" s="33" t="n">
        <v>34</v>
      </c>
      <c r="K621" s="33" t="n">
        <v>1</v>
      </c>
      <c r="L621" s="34"/>
      <c r="M621" s="35"/>
      <c r="N621" s="36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9"/>
      <c r="Z621" s="39"/>
      <c r="AA621" s="28"/>
      <c r="AC621" s="2" t="s">
        <v>38</v>
      </c>
      <c r="AMJ621" s="0"/>
    </row>
    <row r="622" s="2" customFormat="true" ht="12.75" hidden="false" customHeight="true" outlineLevel="0" collapsed="false">
      <c r="A622" s="27" t="s">
        <v>1396</v>
      </c>
      <c r="B622" s="27" t="s">
        <v>55</v>
      </c>
      <c r="C622" s="28" t="s">
        <v>33</v>
      </c>
      <c r="D622" s="27" t="s">
        <v>1124</v>
      </c>
      <c r="E622" s="27"/>
      <c r="F622" s="29" t="s">
        <v>1397</v>
      </c>
      <c r="G622" s="30" t="n">
        <v>75007</v>
      </c>
      <c r="H622" s="31" t="s">
        <v>36</v>
      </c>
      <c r="I622" s="32" t="n">
        <v>143060057</v>
      </c>
      <c r="J622" s="33" t="n">
        <v>75</v>
      </c>
      <c r="K622" s="33" t="n">
        <v>2</v>
      </c>
      <c r="L622" s="34"/>
      <c r="M622" s="35"/>
      <c r="N622" s="36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9"/>
      <c r="Z622" s="39"/>
      <c r="AA622" s="28"/>
      <c r="AC622" s="2" t="s">
        <v>38</v>
      </c>
      <c r="AMJ622" s="0"/>
    </row>
    <row r="623" s="2" customFormat="true" ht="12.75" hidden="false" customHeight="true" outlineLevel="0" collapsed="false">
      <c r="A623" s="27" t="s">
        <v>1398</v>
      </c>
      <c r="B623" s="27" t="s">
        <v>195</v>
      </c>
      <c r="C623" s="28" t="s">
        <v>33</v>
      </c>
      <c r="D623" s="27" t="s">
        <v>1124</v>
      </c>
      <c r="E623" s="27"/>
      <c r="F623" s="29" t="s">
        <v>1399</v>
      </c>
      <c r="G623" s="30" t="n">
        <v>75007</v>
      </c>
      <c r="H623" s="31" t="s">
        <v>36</v>
      </c>
      <c r="I623" s="32"/>
      <c r="J623" s="33" t="n">
        <v>51</v>
      </c>
      <c r="K623" s="33" t="n">
        <v>1</v>
      </c>
      <c r="L623" s="34"/>
      <c r="M623" s="35"/>
      <c r="N623" s="36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9"/>
      <c r="Z623" s="39"/>
      <c r="AA623" s="28"/>
      <c r="AC623" s="2" t="s">
        <v>197</v>
      </c>
      <c r="AMJ623" s="0"/>
    </row>
    <row r="624" s="2" customFormat="true" ht="12.75" hidden="false" customHeight="true" outlineLevel="0" collapsed="false">
      <c r="A624" s="27" t="s">
        <v>1400</v>
      </c>
      <c r="B624" s="27" t="s">
        <v>88</v>
      </c>
      <c r="C624" s="28" t="s">
        <v>41</v>
      </c>
      <c r="D624" s="27" t="s">
        <v>1124</v>
      </c>
      <c r="E624" s="27"/>
      <c r="F624" s="29" t="s">
        <v>1401</v>
      </c>
      <c r="G624" s="30" t="n">
        <v>75007</v>
      </c>
      <c r="H624" s="31" t="s">
        <v>36</v>
      </c>
      <c r="I624" s="32" t="n">
        <v>144189482</v>
      </c>
      <c r="J624" s="33" t="n">
        <v>508</v>
      </c>
      <c r="K624" s="33" t="n">
        <v>10</v>
      </c>
      <c r="L624" s="34" t="n">
        <v>1</v>
      </c>
      <c r="M624" s="35" t="s">
        <v>164</v>
      </c>
      <c r="N624" s="36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39"/>
      <c r="Z624" s="39"/>
      <c r="AA624" s="28" t="n">
        <v>3</v>
      </c>
      <c r="AMJ624" s="0"/>
    </row>
    <row r="625" s="2" customFormat="true" ht="12.75" hidden="false" customHeight="true" outlineLevel="0" collapsed="false">
      <c r="A625" s="27" t="s">
        <v>1402</v>
      </c>
      <c r="B625" s="27" t="s">
        <v>377</v>
      </c>
      <c r="C625" s="28" t="s">
        <v>121</v>
      </c>
      <c r="D625" s="27" t="s">
        <v>1124</v>
      </c>
      <c r="E625" s="27"/>
      <c r="F625" s="29" t="s">
        <v>1401</v>
      </c>
      <c r="G625" s="30" t="n">
        <v>75007</v>
      </c>
      <c r="H625" s="31" t="s">
        <v>36</v>
      </c>
      <c r="I625" s="32"/>
      <c r="J625" s="33" t="n">
        <v>95</v>
      </c>
      <c r="K625" s="33" t="n">
        <v>4</v>
      </c>
      <c r="L625" s="34" t="n">
        <v>1</v>
      </c>
      <c r="M625" s="35" t="s">
        <v>164</v>
      </c>
      <c r="N625" s="36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39"/>
      <c r="Z625" s="39"/>
      <c r="AA625" s="28" t="n">
        <v>3</v>
      </c>
      <c r="AMJ625" s="0"/>
    </row>
    <row r="626" s="2" customFormat="true" ht="12.75" hidden="false" customHeight="true" outlineLevel="0" collapsed="false">
      <c r="A626" s="27" t="s">
        <v>1403</v>
      </c>
      <c r="B626" s="27" t="s">
        <v>596</v>
      </c>
      <c r="C626" s="28" t="s">
        <v>178</v>
      </c>
      <c r="D626" s="27" t="s">
        <v>1124</v>
      </c>
      <c r="E626" s="27" t="s">
        <v>1404</v>
      </c>
      <c r="F626" s="29" t="s">
        <v>1405</v>
      </c>
      <c r="G626" s="30" t="n">
        <v>75007</v>
      </c>
      <c r="H626" s="31" t="s">
        <v>36</v>
      </c>
      <c r="I626" s="32" t="n">
        <v>145679144</v>
      </c>
      <c r="J626" s="33" t="n">
        <v>309</v>
      </c>
      <c r="K626" s="33" t="n">
        <v>8</v>
      </c>
      <c r="L626" s="34"/>
      <c r="M626" s="35"/>
      <c r="N626" s="36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9"/>
      <c r="Z626" s="39"/>
      <c r="AA626" s="28"/>
      <c r="AMJ626" s="0"/>
    </row>
    <row r="627" s="2" customFormat="true" ht="12.75" hidden="false" customHeight="true" outlineLevel="0" collapsed="false">
      <c r="A627" s="27" t="s">
        <v>1406</v>
      </c>
      <c r="B627" s="27" t="s">
        <v>88</v>
      </c>
      <c r="C627" s="28" t="s">
        <v>178</v>
      </c>
      <c r="D627" s="27" t="s">
        <v>1124</v>
      </c>
      <c r="E627" s="27" t="s">
        <v>1404</v>
      </c>
      <c r="F627" s="29" t="s">
        <v>1405</v>
      </c>
      <c r="G627" s="30" t="n">
        <v>75007</v>
      </c>
      <c r="H627" s="31" t="s">
        <v>36</v>
      </c>
      <c r="I627" s="32" t="n">
        <v>145679144</v>
      </c>
      <c r="J627" s="33" t="n">
        <v>303</v>
      </c>
      <c r="K627" s="33" t="n">
        <v>11</v>
      </c>
      <c r="L627" s="34"/>
      <c r="M627" s="35" t="s">
        <v>164</v>
      </c>
      <c r="N627" s="36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9"/>
      <c r="Z627" s="39"/>
      <c r="AA627" s="28" t="n">
        <v>3</v>
      </c>
      <c r="AMJ627" s="0"/>
    </row>
    <row r="628" s="2" customFormat="true" ht="12.75" hidden="false" customHeight="true" outlineLevel="0" collapsed="false">
      <c r="A628" s="27" t="s">
        <v>1407</v>
      </c>
      <c r="B628" s="27" t="s">
        <v>669</v>
      </c>
      <c r="C628" s="28" t="s">
        <v>178</v>
      </c>
      <c r="D628" s="27" t="s">
        <v>1124</v>
      </c>
      <c r="E628" s="27" t="s">
        <v>1404</v>
      </c>
      <c r="F628" s="29" t="s">
        <v>1405</v>
      </c>
      <c r="G628" s="30" t="n">
        <v>75007</v>
      </c>
      <c r="H628" s="31" t="s">
        <v>36</v>
      </c>
      <c r="I628" s="32"/>
      <c r="J628" s="33" t="n">
        <v>295</v>
      </c>
      <c r="K628" s="33" t="n">
        <v>1</v>
      </c>
      <c r="L628" s="34"/>
      <c r="M628" s="35"/>
      <c r="N628" s="36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9"/>
      <c r="Z628" s="39"/>
      <c r="AA628" s="28"/>
      <c r="AMJ628" s="0"/>
    </row>
    <row r="629" s="2" customFormat="true" ht="12.75" hidden="false" customHeight="true" outlineLevel="0" collapsed="false">
      <c r="A629" s="27" t="s">
        <v>1408</v>
      </c>
      <c r="B629" s="27" t="s">
        <v>887</v>
      </c>
      <c r="C629" s="28" t="s">
        <v>178</v>
      </c>
      <c r="D629" s="27" t="s">
        <v>1124</v>
      </c>
      <c r="E629" s="27" t="s">
        <v>1404</v>
      </c>
      <c r="F629" s="29" t="s">
        <v>1405</v>
      </c>
      <c r="G629" s="30" t="n">
        <v>75007</v>
      </c>
      <c r="H629" s="31" t="s">
        <v>36</v>
      </c>
      <c r="I629" s="32" t="n">
        <v>145679144</v>
      </c>
      <c r="J629" s="33" t="n">
        <v>249</v>
      </c>
      <c r="K629" s="33" t="n">
        <v>4</v>
      </c>
      <c r="L629" s="34"/>
      <c r="M629" s="35"/>
      <c r="N629" s="36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9"/>
      <c r="Z629" s="39"/>
      <c r="AA629" s="28"/>
      <c r="AMJ629" s="0"/>
    </row>
    <row r="630" s="2" customFormat="true" ht="12.75" hidden="false" customHeight="true" outlineLevel="0" collapsed="false">
      <c r="A630" s="27" t="s">
        <v>1409</v>
      </c>
      <c r="B630" s="27" t="s">
        <v>691</v>
      </c>
      <c r="C630" s="28" t="s">
        <v>178</v>
      </c>
      <c r="D630" s="27" t="s">
        <v>1124</v>
      </c>
      <c r="E630" s="27" t="s">
        <v>1404</v>
      </c>
      <c r="F630" s="29" t="s">
        <v>1405</v>
      </c>
      <c r="G630" s="30" t="n">
        <v>75007</v>
      </c>
      <c r="H630" s="31" t="s">
        <v>36</v>
      </c>
      <c r="I630" s="32" t="n">
        <v>145679144</v>
      </c>
      <c r="J630" s="33" t="n">
        <v>94</v>
      </c>
      <c r="K630" s="33" t="n">
        <v>1</v>
      </c>
      <c r="L630" s="34"/>
      <c r="M630" s="35"/>
      <c r="N630" s="36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9"/>
      <c r="Z630" s="39"/>
      <c r="AA630" s="28"/>
      <c r="AMJ630" s="0"/>
    </row>
    <row r="631" s="2" customFormat="true" ht="12.75" hidden="false" customHeight="true" outlineLevel="0" collapsed="false">
      <c r="A631" s="27" t="s">
        <v>1410</v>
      </c>
      <c r="B631" s="27" t="s">
        <v>1094</v>
      </c>
      <c r="C631" s="28" t="s">
        <v>33</v>
      </c>
      <c r="D631" s="27" t="s">
        <v>1124</v>
      </c>
      <c r="E631" s="27"/>
      <c r="F631" s="29" t="s">
        <v>1411</v>
      </c>
      <c r="G631" s="30" t="n">
        <v>75007</v>
      </c>
      <c r="H631" s="31" t="s">
        <v>36</v>
      </c>
      <c r="I631" s="32" t="n">
        <v>145353913</v>
      </c>
      <c r="J631" s="33" t="n">
        <v>64</v>
      </c>
      <c r="K631" s="33" t="n">
        <v>0</v>
      </c>
      <c r="L631" s="34"/>
      <c r="M631" s="35"/>
      <c r="N631" s="36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9"/>
      <c r="Z631" s="39"/>
      <c r="AA631" s="28"/>
      <c r="AC631" s="2" t="s">
        <v>197</v>
      </c>
      <c r="AMJ631" s="0"/>
    </row>
    <row r="632" s="2" customFormat="true" ht="12.75" hidden="false" customHeight="true" outlineLevel="0" collapsed="false">
      <c r="A632" s="27" t="s">
        <v>1412</v>
      </c>
      <c r="B632" s="27" t="s">
        <v>598</v>
      </c>
      <c r="C632" s="28" t="s">
        <v>33</v>
      </c>
      <c r="D632" s="27" t="s">
        <v>1124</v>
      </c>
      <c r="E632" s="27"/>
      <c r="F632" s="29" t="s">
        <v>1411</v>
      </c>
      <c r="G632" s="30" t="n">
        <v>75007</v>
      </c>
      <c r="H632" s="31" t="s">
        <v>36</v>
      </c>
      <c r="I632" s="32" t="n">
        <v>145355459</v>
      </c>
      <c r="J632" s="33" t="n">
        <v>51</v>
      </c>
      <c r="K632" s="33" t="n">
        <v>0</v>
      </c>
      <c r="L632" s="34"/>
      <c r="M632" s="35"/>
      <c r="N632" s="36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9"/>
      <c r="Z632" s="39"/>
      <c r="AA632" s="28"/>
      <c r="AC632" s="2" t="s">
        <v>38</v>
      </c>
      <c r="AMJ632" s="0"/>
    </row>
    <row r="633" s="2" customFormat="true" ht="12.75" hidden="false" customHeight="true" outlineLevel="0" collapsed="false">
      <c r="A633" s="27" t="s">
        <v>1413</v>
      </c>
      <c r="B633" s="27" t="s">
        <v>537</v>
      </c>
      <c r="C633" s="28" t="s">
        <v>41</v>
      </c>
      <c r="D633" s="27" t="s">
        <v>1124</v>
      </c>
      <c r="E633" s="27"/>
      <c r="F633" s="29" t="s">
        <v>1414</v>
      </c>
      <c r="G633" s="30" t="n">
        <v>75007</v>
      </c>
      <c r="H633" s="31" t="s">
        <v>36</v>
      </c>
      <c r="I633" s="32" t="n">
        <v>147344298</v>
      </c>
      <c r="J633" s="33" t="n">
        <v>441</v>
      </c>
      <c r="K633" s="33" t="n">
        <v>12</v>
      </c>
      <c r="L633" s="34"/>
      <c r="M633" s="35" t="s">
        <v>164</v>
      </c>
      <c r="N633" s="36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9"/>
      <c r="Z633" s="39"/>
      <c r="AA633" s="28"/>
      <c r="AMJ633" s="0"/>
    </row>
    <row r="634" s="2" customFormat="true" ht="12.75" hidden="false" customHeight="true" outlineLevel="0" collapsed="false">
      <c r="A634" s="27" t="s">
        <v>1415</v>
      </c>
      <c r="B634" s="27" t="s">
        <v>127</v>
      </c>
      <c r="C634" s="28" t="s">
        <v>178</v>
      </c>
      <c r="D634" s="27" t="s">
        <v>1124</v>
      </c>
      <c r="E634" s="27"/>
      <c r="F634" s="29" t="s">
        <v>1416</v>
      </c>
      <c r="G634" s="30" t="n">
        <v>75007</v>
      </c>
      <c r="H634" s="31" t="s">
        <v>36</v>
      </c>
      <c r="I634" s="32" t="n">
        <v>145503664</v>
      </c>
      <c r="J634" s="33" t="n">
        <v>271</v>
      </c>
      <c r="K634" s="33" t="n">
        <v>7</v>
      </c>
      <c r="L634" s="34" t="n">
        <v>2</v>
      </c>
      <c r="M634" s="35" t="s">
        <v>164</v>
      </c>
      <c r="N634" s="36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39"/>
      <c r="Z634" s="39"/>
      <c r="AA634" s="28" t="n">
        <v>3</v>
      </c>
      <c r="AMJ634" s="0"/>
    </row>
    <row r="635" s="2" customFormat="true" ht="12.75" hidden="false" customHeight="true" outlineLevel="0" collapsed="false">
      <c r="A635" s="27" t="s">
        <v>1417</v>
      </c>
      <c r="B635" s="27" t="s">
        <v>1418</v>
      </c>
      <c r="C635" s="28" t="s">
        <v>33</v>
      </c>
      <c r="D635" s="27" t="s">
        <v>1124</v>
      </c>
      <c r="E635" s="27"/>
      <c r="F635" s="29" t="s">
        <v>1419</v>
      </c>
      <c r="G635" s="30" t="n">
        <v>75007</v>
      </c>
      <c r="H635" s="31" t="s">
        <v>36</v>
      </c>
      <c r="I635" s="32" t="n">
        <v>142965137</v>
      </c>
      <c r="J635" s="33" t="n">
        <v>64</v>
      </c>
      <c r="K635" s="33" t="n">
        <v>0</v>
      </c>
      <c r="L635" s="34"/>
      <c r="M635" s="35"/>
      <c r="N635" s="36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9"/>
      <c r="Z635" s="39"/>
      <c r="AA635" s="28"/>
      <c r="AC635" s="2" t="s">
        <v>38</v>
      </c>
      <c r="AMJ635" s="0"/>
    </row>
    <row r="636" s="2" customFormat="true" ht="12.75" hidden="false" customHeight="true" outlineLevel="0" collapsed="false">
      <c r="A636" s="27" t="s">
        <v>1420</v>
      </c>
      <c r="B636" s="27" t="s">
        <v>889</v>
      </c>
      <c r="C636" s="28" t="s">
        <v>33</v>
      </c>
      <c r="D636" s="27" t="s">
        <v>1124</v>
      </c>
      <c r="E636" s="27"/>
      <c r="F636" s="29" t="s">
        <v>1421</v>
      </c>
      <c r="G636" s="30" t="n">
        <v>75007</v>
      </c>
      <c r="H636" s="31" t="s">
        <v>36</v>
      </c>
      <c r="I636" s="32" t="n">
        <v>142199798</v>
      </c>
      <c r="J636" s="33" t="n">
        <v>51</v>
      </c>
      <c r="K636" s="33" t="n">
        <v>1</v>
      </c>
      <c r="L636" s="34"/>
      <c r="M636" s="35"/>
      <c r="N636" s="36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9"/>
      <c r="Z636" s="39"/>
      <c r="AA636" s="28"/>
      <c r="AC636" s="2" t="s">
        <v>38</v>
      </c>
      <c r="AMJ636" s="0"/>
    </row>
    <row r="637" s="2" customFormat="true" ht="12.75" hidden="false" customHeight="true" outlineLevel="0" collapsed="false">
      <c r="A637" s="27" t="s">
        <v>1422</v>
      </c>
      <c r="B637" s="27" t="s">
        <v>669</v>
      </c>
      <c r="C637" s="28" t="s">
        <v>138</v>
      </c>
      <c r="D637" s="27" t="s">
        <v>1124</v>
      </c>
      <c r="E637" s="27"/>
      <c r="F637" s="29" t="s">
        <v>1423</v>
      </c>
      <c r="G637" s="30" t="n">
        <v>75007</v>
      </c>
      <c r="H637" s="31" t="s">
        <v>36</v>
      </c>
      <c r="I637" s="32" t="n">
        <v>142637246</v>
      </c>
      <c r="J637" s="33" t="n">
        <v>155</v>
      </c>
      <c r="K637" s="33" t="n">
        <v>1</v>
      </c>
      <c r="L637" s="34"/>
      <c r="M637" s="35"/>
      <c r="N637" s="36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9"/>
      <c r="Z637" s="39"/>
      <c r="AA637" s="28"/>
      <c r="AMJ637" s="0"/>
    </row>
    <row r="638" s="2" customFormat="true" ht="12.75" hidden="false" customHeight="true" outlineLevel="0" collapsed="false">
      <c r="A638" s="27" t="s">
        <v>1424</v>
      </c>
      <c r="B638" s="27" t="s">
        <v>1425</v>
      </c>
      <c r="C638" s="28" t="s">
        <v>138</v>
      </c>
      <c r="D638" s="27" t="s">
        <v>1124</v>
      </c>
      <c r="E638" s="27"/>
      <c r="F638" s="29" t="s">
        <v>1423</v>
      </c>
      <c r="G638" s="30" t="n">
        <v>75007</v>
      </c>
      <c r="H638" s="31" t="s">
        <v>36</v>
      </c>
      <c r="I638" s="32" t="n">
        <v>142637246</v>
      </c>
      <c r="J638" s="33" t="n">
        <v>103</v>
      </c>
      <c r="K638" s="33" t="n">
        <v>1</v>
      </c>
      <c r="L638" s="34"/>
      <c r="M638" s="35"/>
      <c r="N638" s="36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9"/>
      <c r="Z638" s="39"/>
      <c r="AA638" s="28"/>
      <c r="AMJ638" s="0"/>
    </row>
    <row r="639" s="2" customFormat="true" ht="12.75" hidden="false" customHeight="true" outlineLevel="0" collapsed="false">
      <c r="A639" s="27" t="s">
        <v>1426</v>
      </c>
      <c r="B639" s="27" t="s">
        <v>672</v>
      </c>
      <c r="C639" s="28" t="s">
        <v>138</v>
      </c>
      <c r="D639" s="27" t="s">
        <v>1124</v>
      </c>
      <c r="E639" s="27"/>
      <c r="F639" s="29" t="s">
        <v>1423</v>
      </c>
      <c r="G639" s="30" t="n">
        <v>75007</v>
      </c>
      <c r="H639" s="31" t="s">
        <v>36</v>
      </c>
      <c r="I639" s="32" t="n">
        <v>142637246</v>
      </c>
      <c r="J639" s="33" t="n">
        <v>100</v>
      </c>
      <c r="K639" s="33" t="n">
        <v>1</v>
      </c>
      <c r="L639" s="34"/>
      <c r="M639" s="35"/>
      <c r="N639" s="36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9"/>
      <c r="Z639" s="39"/>
      <c r="AA639" s="28"/>
      <c r="AMJ639" s="0"/>
    </row>
    <row r="640" s="2" customFormat="true" ht="12.75" hidden="false" customHeight="true" outlineLevel="0" collapsed="false">
      <c r="A640" s="27" t="s">
        <v>1427</v>
      </c>
      <c r="B640" s="27" t="s">
        <v>88</v>
      </c>
      <c r="C640" s="28" t="s">
        <v>77</v>
      </c>
      <c r="D640" s="27" t="s">
        <v>1124</v>
      </c>
      <c r="E640" s="27"/>
      <c r="F640" s="29" t="s">
        <v>1428</v>
      </c>
      <c r="G640" s="30" t="n">
        <v>75007</v>
      </c>
      <c r="H640" s="31" t="s">
        <v>36</v>
      </c>
      <c r="I640" s="32" t="n">
        <v>145490123</v>
      </c>
      <c r="J640" s="33" t="n">
        <v>736</v>
      </c>
      <c r="K640" s="33" t="n">
        <v>1</v>
      </c>
      <c r="L640" s="34"/>
      <c r="M640" s="35"/>
      <c r="N640" s="36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9"/>
      <c r="Z640" s="39"/>
      <c r="AA640" s="28"/>
      <c r="AMJ640" s="0"/>
    </row>
    <row r="641" s="2" customFormat="true" ht="12.75" hidden="false" customHeight="true" outlineLevel="0" collapsed="false">
      <c r="A641" s="27" t="s">
        <v>1429</v>
      </c>
      <c r="B641" s="27" t="s">
        <v>187</v>
      </c>
      <c r="C641" s="28" t="s">
        <v>41</v>
      </c>
      <c r="D641" s="27" t="s">
        <v>1124</v>
      </c>
      <c r="E641" s="27"/>
      <c r="F641" s="29" t="s">
        <v>1430</v>
      </c>
      <c r="G641" s="30" t="n">
        <v>75007</v>
      </c>
      <c r="H641" s="31" t="s">
        <v>36</v>
      </c>
      <c r="I641" s="32" t="n">
        <v>142225522</v>
      </c>
      <c r="J641" s="33" t="n">
        <v>377</v>
      </c>
      <c r="K641" s="33" t="n">
        <v>0</v>
      </c>
      <c r="L641" s="34"/>
      <c r="M641" s="35"/>
      <c r="N641" s="36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9"/>
      <c r="Z641" s="39"/>
      <c r="AA641" s="28"/>
      <c r="AMJ641" s="0"/>
    </row>
    <row r="642" s="2" customFormat="true" ht="12.75" hidden="false" customHeight="true" outlineLevel="0" collapsed="false">
      <c r="A642" s="27" t="s">
        <v>1431</v>
      </c>
      <c r="B642" s="27" t="s">
        <v>984</v>
      </c>
      <c r="C642" s="28" t="s">
        <v>41</v>
      </c>
      <c r="D642" s="27" t="s">
        <v>1124</v>
      </c>
      <c r="E642" s="27"/>
      <c r="F642" s="29" t="s">
        <v>1430</v>
      </c>
      <c r="G642" s="30" t="n">
        <v>75007</v>
      </c>
      <c r="H642" s="31" t="s">
        <v>36</v>
      </c>
      <c r="I642" s="32" t="n">
        <v>142225522</v>
      </c>
      <c r="J642" s="33" t="n">
        <v>284</v>
      </c>
      <c r="K642" s="33" t="n">
        <v>0</v>
      </c>
      <c r="L642" s="34"/>
      <c r="M642" s="35"/>
      <c r="N642" s="36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9"/>
      <c r="Z642" s="39"/>
      <c r="AA642" s="28"/>
      <c r="AMJ642" s="0"/>
    </row>
    <row r="643" s="2" customFormat="true" ht="12.75" hidden="false" customHeight="true" outlineLevel="0" collapsed="false">
      <c r="A643" s="27" t="s">
        <v>1432</v>
      </c>
      <c r="B643" s="27" t="s">
        <v>962</v>
      </c>
      <c r="C643" s="28" t="s">
        <v>33</v>
      </c>
      <c r="D643" s="27" t="s">
        <v>1124</v>
      </c>
      <c r="E643" s="27"/>
      <c r="F643" s="29" t="s">
        <v>1433</v>
      </c>
      <c r="G643" s="30" t="n">
        <v>75007</v>
      </c>
      <c r="H643" s="31" t="s">
        <v>36</v>
      </c>
      <c r="I643" s="32" t="n">
        <v>142220587</v>
      </c>
      <c r="J643" s="33" t="n">
        <v>51</v>
      </c>
      <c r="K643" s="33" t="n">
        <v>0</v>
      </c>
      <c r="L643" s="34"/>
      <c r="M643" s="35"/>
      <c r="N643" s="36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9"/>
      <c r="Z643" s="39"/>
      <c r="AA643" s="28"/>
      <c r="AC643" s="2" t="s">
        <v>38</v>
      </c>
      <c r="AMJ643" s="0"/>
    </row>
    <row r="644" s="2" customFormat="true" ht="12.75" hidden="false" customHeight="true" outlineLevel="0" collapsed="false">
      <c r="A644" s="27" t="s">
        <v>1434</v>
      </c>
      <c r="B644" s="27" t="s">
        <v>815</v>
      </c>
      <c r="C644" s="28" t="s">
        <v>41</v>
      </c>
      <c r="D644" s="27" t="s">
        <v>1124</v>
      </c>
      <c r="E644" s="27"/>
      <c r="F644" s="29" t="s">
        <v>1435</v>
      </c>
      <c r="G644" s="30" t="n">
        <v>75007</v>
      </c>
      <c r="H644" s="31" t="s">
        <v>36</v>
      </c>
      <c r="I644" s="32" t="n">
        <v>171505544</v>
      </c>
      <c r="J644" s="33" t="n">
        <v>268</v>
      </c>
      <c r="K644" s="33" t="n">
        <v>1</v>
      </c>
      <c r="L644" s="34"/>
      <c r="M644" s="35"/>
      <c r="N644" s="36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9"/>
      <c r="Z644" s="39"/>
      <c r="AA644" s="28"/>
      <c r="AMJ644" s="0"/>
    </row>
    <row r="645" s="2" customFormat="true" ht="12.75" hidden="false" customHeight="true" outlineLevel="0" collapsed="false">
      <c r="A645" s="27" t="s">
        <v>1436</v>
      </c>
      <c r="B645" s="27" t="s">
        <v>596</v>
      </c>
      <c r="C645" s="28" t="s">
        <v>41</v>
      </c>
      <c r="D645" s="27" t="s">
        <v>1124</v>
      </c>
      <c r="E645" s="27"/>
      <c r="F645" s="29" t="s">
        <v>1437</v>
      </c>
      <c r="G645" s="30" t="n">
        <v>75007</v>
      </c>
      <c r="H645" s="31" t="s">
        <v>36</v>
      </c>
      <c r="I645" s="32" t="n">
        <v>144490254</v>
      </c>
      <c r="J645" s="33" t="n">
        <v>478</v>
      </c>
      <c r="K645" s="33" t="n">
        <v>8</v>
      </c>
      <c r="L645" s="34" t="n">
        <v>2</v>
      </c>
      <c r="M645" s="35" t="s">
        <v>164</v>
      </c>
      <c r="N645" s="36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39" t="n">
        <v>45188.5069444444</v>
      </c>
      <c r="Z645" s="39"/>
      <c r="AA645" s="28" t="n">
        <v>3</v>
      </c>
      <c r="AMJ645" s="0"/>
    </row>
    <row r="646" s="2" customFormat="true" ht="12.75" hidden="false" customHeight="true" outlineLevel="0" collapsed="false">
      <c r="A646" s="27" t="s">
        <v>1438</v>
      </c>
      <c r="B646" s="27" t="s">
        <v>1439</v>
      </c>
      <c r="C646" s="28" t="s">
        <v>41</v>
      </c>
      <c r="D646" s="27" t="s">
        <v>1124</v>
      </c>
      <c r="E646" s="27"/>
      <c r="F646" s="29" t="s">
        <v>1437</v>
      </c>
      <c r="G646" s="30" t="n">
        <v>75007</v>
      </c>
      <c r="H646" s="31" t="s">
        <v>36</v>
      </c>
      <c r="I646" s="32" t="n">
        <v>144490254</v>
      </c>
      <c r="J646" s="33" t="n">
        <v>458</v>
      </c>
      <c r="K646" s="33" t="n">
        <v>5</v>
      </c>
      <c r="L646" s="34" t="n">
        <v>2</v>
      </c>
      <c r="M646" s="35" t="s">
        <v>164</v>
      </c>
      <c r="N646" s="36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39" t="n">
        <v>45188.3819444444</v>
      </c>
      <c r="Z646" s="39"/>
      <c r="AA646" s="28" t="n">
        <v>2</v>
      </c>
      <c r="AMJ646" s="0"/>
    </row>
    <row r="647" s="2" customFormat="true" ht="12.75" hidden="false" customHeight="true" outlineLevel="0" collapsed="false">
      <c r="A647" s="27" t="s">
        <v>1440</v>
      </c>
      <c r="B647" s="27" t="s">
        <v>1441</v>
      </c>
      <c r="C647" s="28" t="s">
        <v>33</v>
      </c>
      <c r="D647" s="27" t="s">
        <v>1124</v>
      </c>
      <c r="E647" s="27"/>
      <c r="F647" s="29" t="s">
        <v>1437</v>
      </c>
      <c r="G647" s="30" t="n">
        <v>75007</v>
      </c>
      <c r="H647" s="31" t="s">
        <v>36</v>
      </c>
      <c r="I647" s="32"/>
      <c r="J647" s="33" t="n">
        <v>59</v>
      </c>
      <c r="K647" s="33" t="n">
        <v>1</v>
      </c>
      <c r="L647" s="34"/>
      <c r="M647" s="35"/>
      <c r="N647" s="36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9"/>
      <c r="Z647" s="39"/>
      <c r="AA647" s="28"/>
      <c r="AC647" s="2" t="s">
        <v>197</v>
      </c>
      <c r="AMJ647" s="0"/>
    </row>
    <row r="648" s="2" customFormat="true" ht="12.75" hidden="false" customHeight="true" outlineLevel="0" collapsed="false">
      <c r="A648" s="27" t="s">
        <v>1442</v>
      </c>
      <c r="B648" s="27" t="s">
        <v>344</v>
      </c>
      <c r="C648" s="28" t="s">
        <v>33</v>
      </c>
      <c r="D648" s="27" t="s">
        <v>1124</v>
      </c>
      <c r="E648" s="27"/>
      <c r="F648" s="29" t="s">
        <v>1437</v>
      </c>
      <c r="G648" s="30" t="n">
        <v>75007</v>
      </c>
      <c r="H648" s="31" t="s">
        <v>36</v>
      </c>
      <c r="I648" s="32" t="n">
        <v>144497101</v>
      </c>
      <c r="J648" s="33" t="n">
        <v>51</v>
      </c>
      <c r="K648" s="33" t="n">
        <v>0</v>
      </c>
      <c r="L648" s="34"/>
      <c r="M648" s="35"/>
      <c r="N648" s="36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9"/>
      <c r="Z648" s="39"/>
      <c r="AA648" s="28"/>
      <c r="AC648" s="2" t="s">
        <v>197</v>
      </c>
      <c r="AMJ648" s="0"/>
    </row>
    <row r="649" s="2" customFormat="true" ht="12.75" hidden="false" customHeight="true" outlineLevel="0" collapsed="false">
      <c r="A649" s="27" t="s">
        <v>1443</v>
      </c>
      <c r="B649" s="27" t="s">
        <v>172</v>
      </c>
      <c r="C649" s="28" t="s">
        <v>33</v>
      </c>
      <c r="D649" s="27" t="s">
        <v>1124</v>
      </c>
      <c r="E649" s="27"/>
      <c r="F649" s="29" t="s">
        <v>1444</v>
      </c>
      <c r="G649" s="30" t="n">
        <v>75007</v>
      </c>
      <c r="H649" s="31" t="s">
        <v>36</v>
      </c>
      <c r="I649" s="32" t="n">
        <v>147051822</v>
      </c>
      <c r="J649" s="33" t="n">
        <v>49</v>
      </c>
      <c r="K649" s="33" t="n">
        <v>1</v>
      </c>
      <c r="L649" s="34"/>
      <c r="M649" s="35"/>
      <c r="N649" s="36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9"/>
      <c r="Z649" s="39"/>
      <c r="AA649" s="28"/>
      <c r="AC649" s="2" t="s">
        <v>38</v>
      </c>
      <c r="AMJ649" s="0"/>
    </row>
    <row r="650" s="2" customFormat="true" ht="12.75" hidden="false" customHeight="true" outlineLevel="0" collapsed="false">
      <c r="A650" s="27" t="s">
        <v>1445</v>
      </c>
      <c r="B650" s="27" t="s">
        <v>490</v>
      </c>
      <c r="C650" s="28" t="s">
        <v>33</v>
      </c>
      <c r="D650" s="27" t="s">
        <v>1124</v>
      </c>
      <c r="E650" s="27"/>
      <c r="F650" s="29" t="s">
        <v>1446</v>
      </c>
      <c r="G650" s="30" t="n">
        <v>75007</v>
      </c>
      <c r="H650" s="31" t="s">
        <v>36</v>
      </c>
      <c r="I650" s="32" t="n">
        <v>145442504</v>
      </c>
      <c r="J650" s="33" t="n">
        <v>55</v>
      </c>
      <c r="K650" s="33" t="n">
        <v>1</v>
      </c>
      <c r="L650" s="34"/>
      <c r="M650" s="35"/>
      <c r="N650" s="36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9"/>
      <c r="Z650" s="39"/>
      <c r="AA650" s="28"/>
      <c r="AC650" s="2" t="s">
        <v>38</v>
      </c>
      <c r="AMJ650" s="0"/>
    </row>
    <row r="651" s="2" customFormat="true" ht="12.75" hidden="false" customHeight="true" outlineLevel="0" collapsed="false">
      <c r="A651" s="27" t="s">
        <v>1447</v>
      </c>
      <c r="B651" s="27" t="s">
        <v>749</v>
      </c>
      <c r="C651" s="28" t="s">
        <v>41</v>
      </c>
      <c r="D651" s="27" t="s">
        <v>1124</v>
      </c>
      <c r="E651" s="27"/>
      <c r="F651" s="29" t="s">
        <v>1448</v>
      </c>
      <c r="G651" s="30" t="n">
        <v>75007</v>
      </c>
      <c r="H651" s="31" t="s">
        <v>36</v>
      </c>
      <c r="I651" s="32" t="n">
        <v>142969600</v>
      </c>
      <c r="J651" s="33" t="n">
        <v>314</v>
      </c>
      <c r="K651" s="33" t="n">
        <v>1</v>
      </c>
      <c r="L651" s="34"/>
      <c r="M651" s="35"/>
      <c r="N651" s="36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9"/>
      <c r="Z651" s="39"/>
      <c r="AA651" s="28"/>
      <c r="AMJ651" s="0"/>
    </row>
    <row r="652" s="2" customFormat="true" ht="12.75" hidden="false" customHeight="true" outlineLevel="0" collapsed="false">
      <c r="A652" s="27" t="s">
        <v>1449</v>
      </c>
      <c r="B652" s="27" t="s">
        <v>344</v>
      </c>
      <c r="C652" s="28" t="s">
        <v>33</v>
      </c>
      <c r="D652" s="27" t="s">
        <v>1124</v>
      </c>
      <c r="E652" s="27"/>
      <c r="F652" s="29" t="s">
        <v>1450</v>
      </c>
      <c r="G652" s="30" t="n">
        <v>75007</v>
      </c>
      <c r="H652" s="31" t="s">
        <v>36</v>
      </c>
      <c r="I652" s="32" t="n">
        <v>147340143</v>
      </c>
      <c r="J652" s="33" t="n">
        <v>55</v>
      </c>
      <c r="K652" s="33" t="n">
        <v>0</v>
      </c>
      <c r="L652" s="34"/>
      <c r="M652" s="35"/>
      <c r="N652" s="36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9"/>
      <c r="Z652" s="39"/>
      <c r="AA652" s="28"/>
      <c r="AC652" s="2" t="s">
        <v>38</v>
      </c>
      <c r="AMJ652" s="0"/>
    </row>
    <row r="653" s="2" customFormat="true" ht="12.75" hidden="false" customHeight="true" outlineLevel="0" collapsed="false">
      <c r="A653" s="27" t="s">
        <v>1451</v>
      </c>
      <c r="B653" s="27" t="s">
        <v>639</v>
      </c>
      <c r="C653" s="28" t="s">
        <v>138</v>
      </c>
      <c r="D653" s="27" t="s">
        <v>1124</v>
      </c>
      <c r="E653" s="27"/>
      <c r="F653" s="29" t="s">
        <v>1452</v>
      </c>
      <c r="G653" s="30" t="n">
        <v>75007</v>
      </c>
      <c r="H653" s="31" t="s">
        <v>36</v>
      </c>
      <c r="I653" s="32" t="n">
        <v>142222200</v>
      </c>
      <c r="J653" s="33" t="n">
        <v>152</v>
      </c>
      <c r="K653" s="33" t="n">
        <v>5</v>
      </c>
      <c r="L653" s="34" t="n">
        <v>1</v>
      </c>
      <c r="M653" s="35" t="s">
        <v>164</v>
      </c>
      <c r="N653" s="36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39"/>
      <c r="Z653" s="39"/>
      <c r="AA653" s="28" t="n">
        <v>3</v>
      </c>
      <c r="AMJ653" s="0"/>
    </row>
    <row r="654" s="2" customFormat="true" ht="12.75" hidden="false" customHeight="true" outlineLevel="0" collapsed="false">
      <c r="A654" s="27" t="s">
        <v>1240</v>
      </c>
      <c r="B654" s="27" t="s">
        <v>175</v>
      </c>
      <c r="C654" s="28" t="s">
        <v>33</v>
      </c>
      <c r="D654" s="27" t="s">
        <v>1124</v>
      </c>
      <c r="E654" s="27"/>
      <c r="F654" s="29" t="s">
        <v>1453</v>
      </c>
      <c r="G654" s="30" t="n">
        <v>75007</v>
      </c>
      <c r="H654" s="31" t="s">
        <v>36</v>
      </c>
      <c r="I654" s="32" t="n">
        <v>147053026</v>
      </c>
      <c r="J654" s="33" t="n">
        <v>73</v>
      </c>
      <c r="K654" s="33" t="n">
        <v>1</v>
      </c>
      <c r="L654" s="34"/>
      <c r="M654" s="35"/>
      <c r="N654" s="36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9"/>
      <c r="Z654" s="39"/>
      <c r="AA654" s="28"/>
      <c r="AC654" s="2" t="s">
        <v>197</v>
      </c>
      <c r="AMJ654" s="0"/>
    </row>
    <row r="655" s="2" customFormat="true" ht="12.75" hidden="false" customHeight="true" outlineLevel="0" collapsed="false">
      <c r="A655" s="27" t="s">
        <v>1454</v>
      </c>
      <c r="B655" s="27" t="s">
        <v>329</v>
      </c>
      <c r="C655" s="28" t="s">
        <v>33</v>
      </c>
      <c r="D655" s="27" t="s">
        <v>1124</v>
      </c>
      <c r="E655" s="27"/>
      <c r="F655" s="29" t="s">
        <v>1455</v>
      </c>
      <c r="G655" s="30" t="n">
        <v>75007</v>
      </c>
      <c r="H655" s="31" t="s">
        <v>36</v>
      </c>
      <c r="I655" s="32" t="n">
        <v>147538003</v>
      </c>
      <c r="J655" s="33" t="n">
        <v>64</v>
      </c>
      <c r="K655" s="33" t="n">
        <v>0</v>
      </c>
      <c r="L655" s="34"/>
      <c r="M655" s="35"/>
      <c r="N655" s="36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9"/>
      <c r="Z655" s="39"/>
      <c r="AA655" s="28"/>
      <c r="AC655" s="2" t="s">
        <v>38</v>
      </c>
      <c r="AMJ655" s="0"/>
    </row>
    <row r="656" s="2" customFormat="true" ht="12.75" hidden="false" customHeight="true" outlineLevel="0" collapsed="false">
      <c r="A656" s="27" t="s">
        <v>1456</v>
      </c>
      <c r="B656" s="27" t="s">
        <v>1118</v>
      </c>
      <c r="C656" s="28" t="s">
        <v>41</v>
      </c>
      <c r="D656" s="27" t="s">
        <v>1124</v>
      </c>
      <c r="E656" s="27"/>
      <c r="F656" s="29" t="s">
        <v>1457</v>
      </c>
      <c r="G656" s="30" t="n">
        <v>75007</v>
      </c>
      <c r="H656" s="31" t="s">
        <v>36</v>
      </c>
      <c r="I656" s="32" t="n">
        <v>145678038</v>
      </c>
      <c r="J656" s="33" t="n">
        <v>889</v>
      </c>
      <c r="K656" s="33" t="n">
        <v>25</v>
      </c>
      <c r="L656" s="34" t="n">
        <v>2</v>
      </c>
      <c r="M656" s="43" t="s">
        <v>155</v>
      </c>
      <c r="N656" s="36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39"/>
      <c r="Z656" s="39" t="n">
        <v>45217.5625</v>
      </c>
      <c r="AA656" s="28" t="n">
        <v>3</v>
      </c>
      <c r="AMJ656" s="0"/>
    </row>
    <row r="657" s="2" customFormat="true" ht="12.75" hidden="false" customHeight="true" outlineLevel="0" collapsed="false">
      <c r="A657" s="27" t="s">
        <v>1458</v>
      </c>
      <c r="B657" s="27" t="s">
        <v>55</v>
      </c>
      <c r="C657" s="28" t="s">
        <v>33</v>
      </c>
      <c r="D657" s="27" t="s">
        <v>1124</v>
      </c>
      <c r="E657" s="27"/>
      <c r="F657" s="29" t="s">
        <v>1459</v>
      </c>
      <c r="G657" s="30" t="n">
        <v>75007</v>
      </c>
      <c r="H657" s="31" t="s">
        <v>36</v>
      </c>
      <c r="I657" s="32"/>
      <c r="J657" s="33" t="n">
        <v>65</v>
      </c>
      <c r="K657" s="33" t="n">
        <v>1</v>
      </c>
      <c r="L657" s="34" t="n">
        <v>2</v>
      </c>
      <c r="M657" s="35"/>
      <c r="N657" s="36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39"/>
      <c r="Z657" s="39"/>
      <c r="AA657" s="28"/>
      <c r="AC657" s="2" t="s">
        <v>108</v>
      </c>
      <c r="AE657" s="2" t="s">
        <v>1460</v>
      </c>
      <c r="AMJ657" s="0"/>
    </row>
    <row r="658" s="2" customFormat="true" ht="12.75" hidden="false" customHeight="true" outlineLevel="0" collapsed="false">
      <c r="A658" s="27" t="s">
        <v>1461</v>
      </c>
      <c r="B658" s="27" t="s">
        <v>884</v>
      </c>
      <c r="C658" s="28" t="s">
        <v>33</v>
      </c>
      <c r="D658" s="27" t="s">
        <v>1124</v>
      </c>
      <c r="E658" s="27"/>
      <c r="F658" s="29" t="s">
        <v>1459</v>
      </c>
      <c r="G658" s="30" t="n">
        <v>75007</v>
      </c>
      <c r="H658" s="31" t="s">
        <v>36</v>
      </c>
      <c r="I658" s="32"/>
      <c r="J658" s="33" t="n">
        <v>52</v>
      </c>
      <c r="K658" s="33" t="n">
        <v>0</v>
      </c>
      <c r="L658" s="34"/>
      <c r="M658" s="35"/>
      <c r="N658" s="36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9"/>
      <c r="Z658" s="39"/>
      <c r="AA658" s="28"/>
      <c r="AC658" s="2" t="s">
        <v>38</v>
      </c>
      <c r="AMJ658" s="0"/>
    </row>
    <row r="659" s="2" customFormat="true" ht="12.75" hidden="false" customHeight="true" outlineLevel="0" collapsed="false">
      <c r="A659" s="27" t="s">
        <v>1462</v>
      </c>
      <c r="B659" s="27" t="s">
        <v>151</v>
      </c>
      <c r="C659" s="28" t="s">
        <v>41</v>
      </c>
      <c r="D659" s="27" t="s">
        <v>1124</v>
      </c>
      <c r="E659" s="27" t="s">
        <v>1463</v>
      </c>
      <c r="F659" s="29" t="s">
        <v>1464</v>
      </c>
      <c r="G659" s="30" t="n">
        <v>75007</v>
      </c>
      <c r="H659" s="31" t="s">
        <v>36</v>
      </c>
      <c r="I659" s="32" t="n">
        <v>140632243</v>
      </c>
      <c r="J659" s="33" t="n">
        <v>212</v>
      </c>
      <c r="K659" s="33" t="n">
        <v>1</v>
      </c>
      <c r="L659" s="34"/>
      <c r="M659" s="35"/>
      <c r="N659" s="36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9"/>
      <c r="Z659" s="39"/>
      <c r="AA659" s="28"/>
      <c r="AMJ659" s="0"/>
    </row>
    <row r="660" s="2" customFormat="true" ht="12.75" hidden="false" customHeight="true" outlineLevel="0" collapsed="false">
      <c r="A660" s="27" t="s">
        <v>1465</v>
      </c>
      <c r="B660" s="27" t="s">
        <v>769</v>
      </c>
      <c r="C660" s="28" t="s">
        <v>41</v>
      </c>
      <c r="D660" s="27" t="s">
        <v>1124</v>
      </c>
      <c r="E660" s="27" t="s">
        <v>1463</v>
      </c>
      <c r="F660" s="29" t="s">
        <v>1464</v>
      </c>
      <c r="G660" s="30" t="n">
        <v>75007</v>
      </c>
      <c r="H660" s="31" t="s">
        <v>36</v>
      </c>
      <c r="I660" s="32" t="n">
        <v>140632377</v>
      </c>
      <c r="J660" s="33" t="n">
        <v>182</v>
      </c>
      <c r="K660" s="33" t="n">
        <v>1</v>
      </c>
      <c r="L660" s="34"/>
      <c r="M660" s="35"/>
      <c r="N660" s="36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9"/>
      <c r="Z660" s="39"/>
      <c r="AA660" s="28"/>
      <c r="AMJ660" s="0"/>
    </row>
    <row r="661" s="2" customFormat="true" ht="12.75" hidden="false" customHeight="true" outlineLevel="0" collapsed="false">
      <c r="A661" s="27" t="s">
        <v>1466</v>
      </c>
      <c r="B661" s="27" t="s">
        <v>1467</v>
      </c>
      <c r="C661" s="28" t="s">
        <v>77</v>
      </c>
      <c r="D661" s="27" t="s">
        <v>1124</v>
      </c>
      <c r="E661" s="27" t="s">
        <v>1463</v>
      </c>
      <c r="F661" s="29" t="s">
        <v>1464</v>
      </c>
      <c r="G661" s="30" t="n">
        <v>75007</v>
      </c>
      <c r="H661" s="31" t="s">
        <v>36</v>
      </c>
      <c r="I661" s="32" t="n">
        <v>148036597</v>
      </c>
      <c r="J661" s="33" t="n">
        <v>246</v>
      </c>
      <c r="K661" s="33" t="n">
        <v>1</v>
      </c>
      <c r="L661" s="34"/>
      <c r="M661" s="35"/>
      <c r="N661" s="36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9"/>
      <c r="Z661" s="39"/>
      <c r="AA661" s="28"/>
      <c r="AMJ661" s="0"/>
    </row>
    <row r="662" s="2" customFormat="true" ht="12.75" hidden="false" customHeight="true" outlineLevel="0" collapsed="false">
      <c r="A662" s="27" t="s">
        <v>1468</v>
      </c>
      <c r="B662" s="27" t="s">
        <v>1469</v>
      </c>
      <c r="C662" s="28" t="s">
        <v>33</v>
      </c>
      <c r="D662" s="27" t="s">
        <v>1124</v>
      </c>
      <c r="E662" s="27" t="s">
        <v>1463</v>
      </c>
      <c r="F662" s="29" t="s">
        <v>1464</v>
      </c>
      <c r="G662" s="30" t="n">
        <v>75007</v>
      </c>
      <c r="H662" s="31" t="s">
        <v>36</v>
      </c>
      <c r="I662" s="32" t="n">
        <v>140632381</v>
      </c>
      <c r="J662" s="33" t="n">
        <v>77</v>
      </c>
      <c r="K662" s="33" t="n">
        <v>1</v>
      </c>
      <c r="L662" s="34"/>
      <c r="M662" s="35"/>
      <c r="N662" s="36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9"/>
      <c r="Z662" s="39"/>
      <c r="AA662" s="28"/>
      <c r="AC662" s="2" t="s">
        <v>38</v>
      </c>
      <c r="AMJ662" s="0"/>
    </row>
    <row r="663" s="2" customFormat="true" ht="12.75" hidden="false" customHeight="true" outlineLevel="0" collapsed="false">
      <c r="A663" s="27" t="s">
        <v>1470</v>
      </c>
      <c r="B663" s="27" t="s">
        <v>889</v>
      </c>
      <c r="C663" s="28" t="s">
        <v>33</v>
      </c>
      <c r="D663" s="27" t="s">
        <v>1124</v>
      </c>
      <c r="E663" s="27" t="s">
        <v>1463</v>
      </c>
      <c r="F663" s="29" t="s">
        <v>1464</v>
      </c>
      <c r="G663" s="30" t="n">
        <v>75007</v>
      </c>
      <c r="H663" s="31" t="s">
        <v>36</v>
      </c>
      <c r="I663" s="32" t="n">
        <v>140632377</v>
      </c>
      <c r="J663" s="33" t="n">
        <v>51</v>
      </c>
      <c r="K663" s="33" t="n">
        <v>1</v>
      </c>
      <c r="L663" s="34"/>
      <c r="M663" s="35"/>
      <c r="N663" s="36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9"/>
      <c r="Z663" s="39"/>
      <c r="AA663" s="28"/>
      <c r="AC663" s="2" t="s">
        <v>218</v>
      </c>
      <c r="AMJ663" s="0"/>
    </row>
    <row r="664" s="2" customFormat="true" ht="12.75" hidden="false" customHeight="true" outlineLevel="0" collapsed="false">
      <c r="A664" s="27" t="s">
        <v>1471</v>
      </c>
      <c r="B664" s="27" t="s">
        <v>374</v>
      </c>
      <c r="C664" s="28" t="s">
        <v>33</v>
      </c>
      <c r="D664" s="27" t="s">
        <v>1124</v>
      </c>
      <c r="E664" s="27"/>
      <c r="F664" s="29" t="s">
        <v>1472</v>
      </c>
      <c r="G664" s="30" t="n">
        <v>75007</v>
      </c>
      <c r="H664" s="31" t="s">
        <v>36</v>
      </c>
      <c r="I664" s="32" t="n">
        <v>145481644</v>
      </c>
      <c r="J664" s="33" t="n">
        <v>51</v>
      </c>
      <c r="K664" s="33" t="n">
        <v>0</v>
      </c>
      <c r="L664" s="34"/>
      <c r="M664" s="35"/>
      <c r="N664" s="36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9"/>
      <c r="Z664" s="39"/>
      <c r="AA664" s="28"/>
      <c r="AC664" s="2" t="s">
        <v>38</v>
      </c>
      <c r="AMJ664" s="0"/>
    </row>
    <row r="665" s="2" customFormat="true" ht="12.75" hidden="false" customHeight="true" outlineLevel="0" collapsed="false">
      <c r="A665" s="27" t="s">
        <v>1473</v>
      </c>
      <c r="B665" s="27" t="s">
        <v>189</v>
      </c>
      <c r="C665" s="28" t="s">
        <v>33</v>
      </c>
      <c r="D665" s="27" t="s">
        <v>1124</v>
      </c>
      <c r="E665" s="27"/>
      <c r="F665" s="29" t="s">
        <v>1474</v>
      </c>
      <c r="G665" s="30" t="n">
        <v>75007</v>
      </c>
      <c r="H665" s="31" t="s">
        <v>36</v>
      </c>
      <c r="I665" s="32" t="n">
        <v>147342038</v>
      </c>
      <c r="J665" s="33" t="n">
        <v>63</v>
      </c>
      <c r="K665" s="33" t="n">
        <v>1</v>
      </c>
      <c r="L665" s="34"/>
      <c r="M665" s="35"/>
      <c r="N665" s="36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9"/>
      <c r="Z665" s="39"/>
      <c r="AA665" s="28"/>
      <c r="AC665" s="2" t="s">
        <v>197</v>
      </c>
      <c r="AMJ665" s="0"/>
    </row>
    <row r="666" s="2" customFormat="true" ht="12.75" hidden="false" customHeight="true" outlineLevel="0" collapsed="false">
      <c r="A666" s="27" t="s">
        <v>1475</v>
      </c>
      <c r="B666" s="27" t="s">
        <v>1476</v>
      </c>
      <c r="C666" s="28" t="s">
        <v>33</v>
      </c>
      <c r="D666" s="27" t="s">
        <v>1124</v>
      </c>
      <c r="E666" s="27"/>
      <c r="F666" s="29" t="s">
        <v>1477</v>
      </c>
      <c r="G666" s="30" t="n">
        <v>75007</v>
      </c>
      <c r="H666" s="31" t="s">
        <v>36</v>
      </c>
      <c r="I666" s="32" t="n">
        <v>953381756</v>
      </c>
      <c r="J666" s="33" t="n">
        <v>45</v>
      </c>
      <c r="K666" s="33" t="n">
        <v>1</v>
      </c>
      <c r="L666" s="34"/>
      <c r="M666" s="35"/>
      <c r="N666" s="36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9"/>
      <c r="Z666" s="39"/>
      <c r="AA666" s="28"/>
      <c r="AC666" s="2" t="s">
        <v>1478</v>
      </c>
      <c r="AMJ666" s="0"/>
    </row>
    <row r="667" s="2" customFormat="true" ht="12.75" hidden="false" customHeight="true" outlineLevel="0" collapsed="false">
      <c r="A667" s="27" t="s">
        <v>1479</v>
      </c>
      <c r="B667" s="27" t="s">
        <v>217</v>
      </c>
      <c r="C667" s="28" t="s">
        <v>138</v>
      </c>
      <c r="D667" s="27" t="s">
        <v>1124</v>
      </c>
      <c r="E667" s="27"/>
      <c r="F667" s="29" t="s">
        <v>1480</v>
      </c>
      <c r="G667" s="30" t="n">
        <v>75007</v>
      </c>
      <c r="H667" s="31" t="s">
        <v>36</v>
      </c>
      <c r="I667" s="32" t="n">
        <v>147055758</v>
      </c>
      <c r="J667" s="33" t="n">
        <v>123</v>
      </c>
      <c r="K667" s="33" t="n">
        <v>5</v>
      </c>
      <c r="L667" s="34" t="n">
        <v>1</v>
      </c>
      <c r="M667" s="35" t="s">
        <v>164</v>
      </c>
      <c r="N667" s="36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39"/>
      <c r="Z667" s="39"/>
      <c r="AA667" s="28" t="n">
        <v>3</v>
      </c>
      <c r="AMJ667" s="0"/>
    </row>
    <row r="668" s="2" customFormat="true" ht="12.75" hidden="false" customHeight="true" outlineLevel="0" collapsed="false">
      <c r="A668" s="27" t="s">
        <v>1481</v>
      </c>
      <c r="B668" s="27" t="s">
        <v>749</v>
      </c>
      <c r="C668" s="28" t="s">
        <v>33</v>
      </c>
      <c r="D668" s="27" t="s">
        <v>1124</v>
      </c>
      <c r="E668" s="27"/>
      <c r="F668" s="29" t="s">
        <v>1482</v>
      </c>
      <c r="G668" s="30" t="n">
        <v>75007</v>
      </c>
      <c r="H668" s="31" t="s">
        <v>36</v>
      </c>
      <c r="I668" s="32"/>
      <c r="J668" s="33" t="n">
        <v>51</v>
      </c>
      <c r="K668" s="33" t="n">
        <v>1</v>
      </c>
      <c r="L668" s="34"/>
      <c r="M668" s="35"/>
      <c r="N668" s="36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9"/>
      <c r="Z668" s="39"/>
      <c r="AA668" s="28"/>
      <c r="AMJ668" s="0"/>
    </row>
    <row r="669" s="2" customFormat="true" ht="12.75" hidden="false" customHeight="true" outlineLevel="0" collapsed="false">
      <c r="A669" s="27" t="s">
        <v>1483</v>
      </c>
      <c r="B669" s="27" t="s">
        <v>384</v>
      </c>
      <c r="C669" s="28" t="s">
        <v>33</v>
      </c>
      <c r="D669" s="27" t="s">
        <v>1124</v>
      </c>
      <c r="E669" s="27"/>
      <c r="F669" s="29" t="s">
        <v>1482</v>
      </c>
      <c r="G669" s="30" t="n">
        <v>75007</v>
      </c>
      <c r="H669" s="31" t="s">
        <v>36</v>
      </c>
      <c r="I669" s="32"/>
      <c r="J669" s="33" t="n">
        <v>49</v>
      </c>
      <c r="K669" s="33" t="n">
        <v>1</v>
      </c>
      <c r="L669" s="34"/>
      <c r="M669" s="35"/>
      <c r="N669" s="36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9"/>
      <c r="Z669" s="39"/>
      <c r="AA669" s="28"/>
      <c r="AC669" s="2" t="s">
        <v>1484</v>
      </c>
      <c r="AMJ669" s="0"/>
    </row>
    <row r="670" s="2" customFormat="true" ht="12.75" hidden="false" customHeight="true" outlineLevel="0" collapsed="false">
      <c r="A670" s="27" t="s">
        <v>1485</v>
      </c>
      <c r="B670" s="27" t="s">
        <v>1486</v>
      </c>
      <c r="C670" s="28" t="s">
        <v>33</v>
      </c>
      <c r="D670" s="27" t="s">
        <v>1124</v>
      </c>
      <c r="E670" s="27"/>
      <c r="F670" s="29" t="s">
        <v>1482</v>
      </c>
      <c r="G670" s="30" t="n">
        <v>75007</v>
      </c>
      <c r="H670" s="31" t="s">
        <v>36</v>
      </c>
      <c r="I670" s="32"/>
      <c r="J670" s="33" t="n">
        <v>32</v>
      </c>
      <c r="K670" s="33" t="n">
        <v>1</v>
      </c>
      <c r="L670" s="34"/>
      <c r="M670" s="35"/>
      <c r="N670" s="36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9"/>
      <c r="Z670" s="39"/>
      <c r="AA670" s="28"/>
      <c r="AC670" s="2" t="s">
        <v>197</v>
      </c>
      <c r="AMJ670" s="0"/>
    </row>
    <row r="671" s="2" customFormat="true" ht="12.75" hidden="false" customHeight="true" outlineLevel="0" collapsed="false">
      <c r="A671" s="27" t="s">
        <v>1487</v>
      </c>
      <c r="B671" s="27" t="s">
        <v>55</v>
      </c>
      <c r="C671" s="28" t="s">
        <v>33</v>
      </c>
      <c r="D671" s="27" t="s">
        <v>1124</v>
      </c>
      <c r="E671" s="27"/>
      <c r="F671" s="29" t="s">
        <v>1488</v>
      </c>
      <c r="G671" s="30" t="n">
        <v>75007</v>
      </c>
      <c r="H671" s="31" t="s">
        <v>36</v>
      </c>
      <c r="I671" s="32" t="n">
        <v>143200079</v>
      </c>
      <c r="J671" s="33" t="n">
        <v>80</v>
      </c>
      <c r="K671" s="33" t="n">
        <v>1</v>
      </c>
      <c r="L671" s="34"/>
      <c r="M671" s="35"/>
      <c r="N671" s="36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9"/>
      <c r="Z671" s="39"/>
      <c r="AA671" s="28"/>
      <c r="AC671" s="2" t="s">
        <v>38</v>
      </c>
      <c r="AMJ671" s="0"/>
    </row>
    <row r="672" s="2" customFormat="true" ht="12.75" hidden="false" customHeight="true" outlineLevel="0" collapsed="false">
      <c r="A672" s="27" t="s">
        <v>1489</v>
      </c>
      <c r="B672" s="27" t="s">
        <v>415</v>
      </c>
      <c r="C672" s="28" t="s">
        <v>33</v>
      </c>
      <c r="D672" s="27" t="s">
        <v>1124</v>
      </c>
      <c r="E672" s="27"/>
      <c r="F672" s="29" t="s">
        <v>1490</v>
      </c>
      <c r="G672" s="30" t="n">
        <v>75007</v>
      </c>
      <c r="H672" s="31" t="s">
        <v>36</v>
      </c>
      <c r="I672" s="32" t="n">
        <v>142743201</v>
      </c>
      <c r="J672" s="33" t="n">
        <v>60</v>
      </c>
      <c r="K672" s="33" t="n">
        <v>0</v>
      </c>
      <c r="L672" s="34"/>
      <c r="M672" s="35"/>
      <c r="N672" s="36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9"/>
      <c r="Z672" s="39"/>
      <c r="AA672" s="28"/>
      <c r="AC672" s="2" t="s">
        <v>38</v>
      </c>
      <c r="AMJ672" s="0"/>
    </row>
    <row r="673" s="2" customFormat="true" ht="12.75" hidden="false" customHeight="true" outlineLevel="0" collapsed="false">
      <c r="A673" s="27" t="s">
        <v>1491</v>
      </c>
      <c r="B673" s="27" t="s">
        <v>760</v>
      </c>
      <c r="C673" s="28" t="s">
        <v>41</v>
      </c>
      <c r="D673" s="27" t="s">
        <v>1124</v>
      </c>
      <c r="E673" s="27"/>
      <c r="F673" s="29" t="s">
        <v>1492</v>
      </c>
      <c r="G673" s="30" t="n">
        <v>75007</v>
      </c>
      <c r="H673" s="31" t="s">
        <v>36</v>
      </c>
      <c r="I673" s="32"/>
      <c r="J673" s="33" t="n">
        <v>212</v>
      </c>
      <c r="K673" s="33" t="n">
        <v>1</v>
      </c>
      <c r="L673" s="34"/>
      <c r="M673" s="35"/>
      <c r="N673" s="36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9"/>
      <c r="Z673" s="39"/>
      <c r="AA673" s="28"/>
      <c r="AMJ673" s="0"/>
    </row>
    <row r="674" s="2" customFormat="true" ht="12.75" hidden="false" customHeight="true" outlineLevel="0" collapsed="false">
      <c r="A674" s="27" t="s">
        <v>1493</v>
      </c>
      <c r="B674" s="27" t="s">
        <v>88</v>
      </c>
      <c r="C674" s="28" t="s">
        <v>33</v>
      </c>
      <c r="D674" s="27" t="s">
        <v>1124</v>
      </c>
      <c r="E674" s="27"/>
      <c r="F674" s="29" t="s">
        <v>1494</v>
      </c>
      <c r="G674" s="30" t="n">
        <v>75007</v>
      </c>
      <c r="H674" s="31" t="s">
        <v>36</v>
      </c>
      <c r="I674" s="32" t="n">
        <v>143069961</v>
      </c>
      <c r="J674" s="33" t="n">
        <v>66</v>
      </c>
      <c r="K674" s="33" t="n">
        <v>1</v>
      </c>
      <c r="L674" s="34"/>
      <c r="M674" s="35"/>
      <c r="N674" s="36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9"/>
      <c r="Z674" s="39"/>
      <c r="AA674" s="28"/>
      <c r="AC674" s="2" t="s">
        <v>38</v>
      </c>
      <c r="AMJ674" s="0"/>
    </row>
    <row r="675" s="2" customFormat="true" ht="12.75" hidden="false" customHeight="true" outlineLevel="0" collapsed="false">
      <c r="A675" s="27" t="s">
        <v>1495</v>
      </c>
      <c r="B675" s="27" t="s">
        <v>446</v>
      </c>
      <c r="C675" s="28" t="s">
        <v>33</v>
      </c>
      <c r="D675" s="27" t="s">
        <v>1124</v>
      </c>
      <c r="E675" s="27"/>
      <c r="F675" s="29" t="s">
        <v>1496</v>
      </c>
      <c r="G675" s="30" t="n">
        <v>75007</v>
      </c>
      <c r="H675" s="31" t="s">
        <v>36</v>
      </c>
      <c r="I675" s="32" t="n">
        <v>142331991</v>
      </c>
      <c r="J675" s="33" t="n">
        <v>51</v>
      </c>
      <c r="K675" s="33" t="n">
        <v>0</v>
      </c>
      <c r="L675" s="34"/>
      <c r="M675" s="35"/>
      <c r="N675" s="36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9"/>
      <c r="Z675" s="39"/>
      <c r="AA675" s="28"/>
      <c r="AC675" s="2" t="s">
        <v>1484</v>
      </c>
      <c r="AMJ675" s="0"/>
    </row>
    <row r="676" s="2" customFormat="true" ht="12.75" hidden="false" customHeight="true" outlineLevel="0" collapsed="false">
      <c r="A676" s="27" t="s">
        <v>1497</v>
      </c>
      <c r="B676" s="27" t="s">
        <v>1498</v>
      </c>
      <c r="C676" s="28" t="s">
        <v>138</v>
      </c>
      <c r="D676" s="27" t="s">
        <v>1124</v>
      </c>
      <c r="E676" s="27"/>
      <c r="F676" s="29" t="s">
        <v>1499</v>
      </c>
      <c r="G676" s="30" t="n">
        <v>75007</v>
      </c>
      <c r="H676" s="31" t="s">
        <v>36</v>
      </c>
      <c r="I676" s="32"/>
      <c r="J676" s="33" t="n">
        <v>91</v>
      </c>
      <c r="K676" s="33" t="n">
        <v>1</v>
      </c>
      <c r="L676" s="34"/>
      <c r="M676" s="35"/>
      <c r="N676" s="36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9"/>
      <c r="Z676" s="39"/>
      <c r="AA676" s="28"/>
      <c r="AMJ676" s="0"/>
    </row>
    <row r="677" s="2" customFormat="true" ht="12.75" hidden="false" customHeight="true" outlineLevel="0" collapsed="false">
      <c r="A677" s="27" t="s">
        <v>1500</v>
      </c>
      <c r="B677" s="27" t="s">
        <v>1501</v>
      </c>
      <c r="C677" s="28" t="s">
        <v>113</v>
      </c>
      <c r="D677" s="27" t="s">
        <v>1124</v>
      </c>
      <c r="E677" s="27"/>
      <c r="F677" s="29" t="s">
        <v>1502</v>
      </c>
      <c r="G677" s="30" t="n">
        <v>75007</v>
      </c>
      <c r="H677" s="31" t="s">
        <v>36</v>
      </c>
      <c r="I677" s="32"/>
      <c r="J677" s="33" t="n">
        <v>82</v>
      </c>
      <c r="K677" s="33"/>
      <c r="L677" s="34"/>
      <c r="M677" s="35"/>
      <c r="N677" s="36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9"/>
      <c r="Z677" s="39"/>
      <c r="AA677" s="28"/>
      <c r="AMJ677" s="0"/>
    </row>
    <row r="678" s="2" customFormat="true" ht="12.75" hidden="false" customHeight="true" outlineLevel="0" collapsed="false">
      <c r="A678" s="27" t="s">
        <v>1503</v>
      </c>
      <c r="B678" s="27" t="s">
        <v>65</v>
      </c>
      <c r="C678" s="28" t="s">
        <v>138</v>
      </c>
      <c r="D678" s="27" t="s">
        <v>1124</v>
      </c>
      <c r="E678" s="27"/>
      <c r="F678" s="29" t="s">
        <v>1504</v>
      </c>
      <c r="G678" s="30" t="n">
        <v>75007</v>
      </c>
      <c r="H678" s="31" t="s">
        <v>36</v>
      </c>
      <c r="I678" s="32"/>
      <c r="J678" s="33" t="n">
        <v>125</v>
      </c>
      <c r="K678" s="33" t="n">
        <v>1</v>
      </c>
      <c r="L678" s="34"/>
      <c r="M678" s="35"/>
      <c r="N678" s="36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9"/>
      <c r="Z678" s="39"/>
      <c r="AA678" s="28"/>
      <c r="AMJ678" s="0"/>
    </row>
    <row r="679" s="2" customFormat="true" ht="12.75" hidden="false" customHeight="true" outlineLevel="0" collapsed="false">
      <c r="A679" s="27" t="s">
        <v>1505</v>
      </c>
      <c r="B679" s="27" t="s">
        <v>250</v>
      </c>
      <c r="C679" s="28" t="s">
        <v>41</v>
      </c>
      <c r="D679" s="27" t="s">
        <v>1124</v>
      </c>
      <c r="E679" s="27"/>
      <c r="F679" s="29" t="s">
        <v>1506</v>
      </c>
      <c r="G679" s="30" t="n">
        <v>75007</v>
      </c>
      <c r="H679" s="31" t="s">
        <v>36</v>
      </c>
      <c r="I679" s="32" t="n">
        <v>147343616</v>
      </c>
      <c r="J679" s="33" t="n">
        <v>322</v>
      </c>
      <c r="K679" s="33" t="n">
        <v>0</v>
      </c>
      <c r="L679" s="34"/>
      <c r="M679" s="35"/>
      <c r="N679" s="36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9"/>
      <c r="Z679" s="39"/>
      <c r="AA679" s="28"/>
      <c r="AMJ679" s="0"/>
    </row>
    <row r="680" s="2" customFormat="true" ht="12.75" hidden="false" customHeight="true" outlineLevel="0" collapsed="false">
      <c r="A680" s="27" t="s">
        <v>1507</v>
      </c>
      <c r="B680" s="27" t="s">
        <v>324</v>
      </c>
      <c r="C680" s="28" t="s">
        <v>41</v>
      </c>
      <c r="D680" s="27" t="s">
        <v>1124</v>
      </c>
      <c r="E680" s="27"/>
      <c r="F680" s="29" t="s">
        <v>1508</v>
      </c>
      <c r="G680" s="30" t="n">
        <v>75007</v>
      </c>
      <c r="H680" s="31" t="s">
        <v>36</v>
      </c>
      <c r="I680" s="32" t="n">
        <v>145503026</v>
      </c>
      <c r="J680" s="33" t="n">
        <v>375</v>
      </c>
      <c r="K680" s="33" t="n">
        <v>1</v>
      </c>
      <c r="L680" s="34"/>
      <c r="M680" s="35"/>
      <c r="N680" s="36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9"/>
      <c r="Z680" s="39"/>
      <c r="AA680" s="28"/>
      <c r="AMJ680" s="0"/>
    </row>
    <row r="681" s="2" customFormat="true" ht="12.75" hidden="false" customHeight="true" outlineLevel="0" collapsed="false">
      <c r="A681" s="27" t="s">
        <v>1509</v>
      </c>
      <c r="B681" s="27" t="s">
        <v>1510</v>
      </c>
      <c r="C681" s="28" t="s">
        <v>41</v>
      </c>
      <c r="D681" s="27" t="s">
        <v>1124</v>
      </c>
      <c r="E681" s="27"/>
      <c r="F681" s="29" t="s">
        <v>1511</v>
      </c>
      <c r="G681" s="30" t="n">
        <v>75007</v>
      </c>
      <c r="H681" s="31" t="s">
        <v>36</v>
      </c>
      <c r="I681" s="32" t="n">
        <v>144429255</v>
      </c>
      <c r="J681" s="33" t="n">
        <v>212</v>
      </c>
      <c r="K681" s="33" t="n">
        <v>8</v>
      </c>
      <c r="L681" s="34"/>
      <c r="M681" s="35"/>
      <c r="N681" s="36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9"/>
      <c r="Z681" s="39"/>
      <c r="AA681" s="28"/>
      <c r="AMJ681" s="0"/>
    </row>
    <row r="682" s="2" customFormat="true" ht="12.75" hidden="false" customHeight="true" outlineLevel="0" collapsed="false">
      <c r="A682" s="27" t="s">
        <v>1512</v>
      </c>
      <c r="B682" s="27" t="s">
        <v>1513</v>
      </c>
      <c r="C682" s="28" t="s">
        <v>41</v>
      </c>
      <c r="D682" s="27" t="s">
        <v>1124</v>
      </c>
      <c r="E682" s="27"/>
      <c r="F682" s="29" t="s">
        <v>1511</v>
      </c>
      <c r="G682" s="30" t="n">
        <v>75007</v>
      </c>
      <c r="H682" s="31" t="s">
        <v>36</v>
      </c>
      <c r="I682" s="32" t="n">
        <v>144429255</v>
      </c>
      <c r="J682" s="33" t="n">
        <v>203</v>
      </c>
      <c r="K682" s="33" t="n">
        <v>2</v>
      </c>
      <c r="L682" s="34"/>
      <c r="M682" s="35"/>
      <c r="N682" s="36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9"/>
      <c r="Z682" s="39"/>
      <c r="AA682" s="28"/>
      <c r="AMJ682" s="0"/>
    </row>
    <row r="683" s="2" customFormat="true" ht="12.75" hidden="false" customHeight="true" outlineLevel="0" collapsed="false">
      <c r="A683" s="27" t="s">
        <v>1514</v>
      </c>
      <c r="B683" s="27" t="s">
        <v>273</v>
      </c>
      <c r="C683" s="28" t="s">
        <v>138</v>
      </c>
      <c r="D683" s="27" t="s">
        <v>1124</v>
      </c>
      <c r="E683" s="27"/>
      <c r="F683" s="29" t="s">
        <v>1515</v>
      </c>
      <c r="G683" s="30" t="n">
        <v>75007</v>
      </c>
      <c r="H683" s="31" t="s">
        <v>36</v>
      </c>
      <c r="I683" s="32" t="n">
        <v>145483132</v>
      </c>
      <c r="J683" s="33" t="n">
        <v>121</v>
      </c>
      <c r="K683" s="33" t="n">
        <v>1</v>
      </c>
      <c r="L683" s="34"/>
      <c r="M683" s="35"/>
      <c r="N683" s="36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9"/>
      <c r="Z683" s="39"/>
      <c r="AA683" s="28"/>
      <c r="AMJ683" s="0"/>
    </row>
    <row r="684" s="2" customFormat="true" ht="12.75" hidden="false" customHeight="true" outlineLevel="0" collapsed="false">
      <c r="A684" s="27" t="s">
        <v>1516</v>
      </c>
      <c r="B684" s="27" t="s">
        <v>1118</v>
      </c>
      <c r="C684" s="28" t="s">
        <v>41</v>
      </c>
      <c r="D684" s="27" t="s">
        <v>1124</v>
      </c>
      <c r="E684" s="27"/>
      <c r="F684" s="29" t="s">
        <v>1517</v>
      </c>
      <c r="G684" s="30" t="n">
        <v>75007</v>
      </c>
      <c r="H684" s="31" t="s">
        <v>36</v>
      </c>
      <c r="I684" s="32" t="n">
        <v>141102717</v>
      </c>
      <c r="J684" s="33" t="n">
        <v>201</v>
      </c>
      <c r="K684" s="33" t="n">
        <v>1</v>
      </c>
      <c r="L684" s="34"/>
      <c r="M684" s="35"/>
      <c r="N684" s="36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9"/>
      <c r="Z684" s="39"/>
      <c r="AA684" s="28"/>
      <c r="AMJ684" s="0"/>
    </row>
    <row r="685" s="2" customFormat="true" ht="12.75" hidden="false" customHeight="true" outlineLevel="0" collapsed="false">
      <c r="A685" s="27" t="s">
        <v>1518</v>
      </c>
      <c r="B685" s="27" t="s">
        <v>1519</v>
      </c>
      <c r="C685" s="28" t="s">
        <v>33</v>
      </c>
      <c r="D685" s="27" t="s">
        <v>1124</v>
      </c>
      <c r="E685" s="27"/>
      <c r="F685" s="29" t="s">
        <v>1517</v>
      </c>
      <c r="G685" s="30" t="n">
        <v>75007</v>
      </c>
      <c r="H685" s="31" t="s">
        <v>36</v>
      </c>
      <c r="I685" s="32" t="n">
        <v>145488305</v>
      </c>
      <c r="J685" s="33" t="n">
        <v>52</v>
      </c>
      <c r="K685" s="33" t="n">
        <v>1</v>
      </c>
      <c r="L685" s="34"/>
      <c r="M685" s="35"/>
      <c r="N685" s="36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9"/>
      <c r="Z685" s="39"/>
      <c r="AA685" s="28"/>
      <c r="AC685" s="2" t="s">
        <v>197</v>
      </c>
      <c r="AMJ685" s="0"/>
    </row>
    <row r="686" s="2" customFormat="true" ht="12.75" hidden="false" customHeight="true" outlineLevel="0" collapsed="false">
      <c r="A686" s="27" t="s">
        <v>1520</v>
      </c>
      <c r="B686" s="27" t="s">
        <v>1521</v>
      </c>
      <c r="C686" s="28" t="s">
        <v>41</v>
      </c>
      <c r="D686" s="27" t="s">
        <v>1124</v>
      </c>
      <c r="E686" s="27"/>
      <c r="F686" s="29" t="s">
        <v>1522</v>
      </c>
      <c r="G686" s="30" t="n">
        <v>75007</v>
      </c>
      <c r="H686" s="31" t="s">
        <v>36</v>
      </c>
      <c r="I686" s="32" t="n">
        <v>145515585</v>
      </c>
      <c r="J686" s="33" t="n">
        <v>417</v>
      </c>
      <c r="K686" s="33" t="n">
        <v>1</v>
      </c>
      <c r="L686" s="34"/>
      <c r="M686" s="35"/>
      <c r="N686" s="36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9"/>
      <c r="Z686" s="39"/>
      <c r="AA686" s="28"/>
      <c r="AMJ686" s="0"/>
    </row>
    <row r="687" s="2" customFormat="true" ht="12.75" hidden="false" customHeight="true" outlineLevel="0" collapsed="false">
      <c r="A687" s="27" t="s">
        <v>1523</v>
      </c>
      <c r="B687" s="27" t="s">
        <v>537</v>
      </c>
      <c r="C687" s="28" t="s">
        <v>41</v>
      </c>
      <c r="D687" s="27" t="s">
        <v>1124</v>
      </c>
      <c r="E687" s="27"/>
      <c r="F687" s="29" t="s">
        <v>1524</v>
      </c>
      <c r="G687" s="30" t="n">
        <v>75007</v>
      </c>
      <c r="H687" s="31" t="s">
        <v>36</v>
      </c>
      <c r="I687" s="32" t="n">
        <v>156580692</v>
      </c>
      <c r="J687" s="33" t="n">
        <v>414</v>
      </c>
      <c r="K687" s="33" t="n">
        <v>0</v>
      </c>
      <c r="L687" s="34"/>
      <c r="M687" s="35"/>
      <c r="N687" s="36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9"/>
      <c r="Z687" s="39"/>
      <c r="AA687" s="28"/>
      <c r="AMJ687" s="0"/>
    </row>
    <row r="688" s="2" customFormat="true" ht="12.75" hidden="false" customHeight="true" outlineLevel="0" collapsed="false">
      <c r="A688" s="27" t="s">
        <v>1525</v>
      </c>
      <c r="B688" s="27" t="s">
        <v>1526</v>
      </c>
      <c r="C688" s="28" t="s">
        <v>138</v>
      </c>
      <c r="D688" s="27" t="s">
        <v>1124</v>
      </c>
      <c r="E688" s="27"/>
      <c r="F688" s="29" t="s">
        <v>1527</v>
      </c>
      <c r="G688" s="30" t="n">
        <v>75007</v>
      </c>
      <c r="H688" s="31" t="s">
        <v>36</v>
      </c>
      <c r="I688" s="32" t="n">
        <v>144250000</v>
      </c>
      <c r="J688" s="33" t="n">
        <v>168</v>
      </c>
      <c r="K688" s="33" t="n">
        <v>2</v>
      </c>
      <c r="L688" s="34" t="n">
        <v>1</v>
      </c>
      <c r="M688" s="35" t="s">
        <v>164</v>
      </c>
      <c r="N688" s="36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39"/>
      <c r="Z688" s="39"/>
      <c r="AA688" s="28" t="n">
        <v>3</v>
      </c>
      <c r="AMJ688" s="0"/>
    </row>
    <row r="689" s="2" customFormat="true" ht="12.75" hidden="false" customHeight="true" outlineLevel="0" collapsed="false">
      <c r="A689" s="27" t="s">
        <v>1528</v>
      </c>
      <c r="B689" s="27" t="s">
        <v>1529</v>
      </c>
      <c r="C689" s="28" t="s">
        <v>138</v>
      </c>
      <c r="D689" s="27" t="s">
        <v>1124</v>
      </c>
      <c r="E689" s="27"/>
      <c r="F689" s="29" t="s">
        <v>1527</v>
      </c>
      <c r="G689" s="30" t="n">
        <v>75007</v>
      </c>
      <c r="H689" s="31" t="s">
        <v>36</v>
      </c>
      <c r="I689" s="32" t="n">
        <v>144250000</v>
      </c>
      <c r="J689" s="33" t="n">
        <v>153</v>
      </c>
      <c r="K689" s="33" t="n">
        <v>1</v>
      </c>
      <c r="L689" s="34" t="n">
        <v>3</v>
      </c>
      <c r="M689" s="35" t="s">
        <v>164</v>
      </c>
      <c r="N689" s="36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39"/>
      <c r="Z689" s="39"/>
      <c r="AA689" s="28" t="n">
        <v>2</v>
      </c>
      <c r="AMJ689" s="0"/>
    </row>
    <row r="690" s="2" customFormat="true" ht="12.75" hidden="false" customHeight="true" outlineLevel="0" collapsed="false">
      <c r="A690" s="27" t="s">
        <v>1530</v>
      </c>
      <c r="B690" s="27" t="s">
        <v>1531</v>
      </c>
      <c r="C690" s="28" t="s">
        <v>33</v>
      </c>
      <c r="D690" s="27" t="s">
        <v>1124</v>
      </c>
      <c r="E690" s="27"/>
      <c r="F690" s="29" t="s">
        <v>1527</v>
      </c>
      <c r="G690" s="30" t="n">
        <v>75007</v>
      </c>
      <c r="H690" s="31" t="s">
        <v>36</v>
      </c>
      <c r="I690" s="32" t="n">
        <v>144250000</v>
      </c>
      <c r="J690" s="33" t="n">
        <v>66</v>
      </c>
      <c r="K690" s="33"/>
      <c r="L690" s="34"/>
      <c r="M690" s="35"/>
      <c r="N690" s="36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9"/>
      <c r="Z690" s="39"/>
      <c r="AA690" s="28"/>
      <c r="AC690" s="2" t="s">
        <v>38</v>
      </c>
      <c r="AMJ690" s="0"/>
    </row>
    <row r="691" s="2" customFormat="true" ht="12.75" hidden="false" customHeight="true" outlineLevel="0" collapsed="false">
      <c r="A691" s="27" t="s">
        <v>1532</v>
      </c>
      <c r="B691" s="27" t="s">
        <v>297</v>
      </c>
      <c r="C691" s="28" t="s">
        <v>100</v>
      </c>
      <c r="D691" s="27" t="s">
        <v>1124</v>
      </c>
      <c r="E691" s="27"/>
      <c r="F691" s="29" t="s">
        <v>1527</v>
      </c>
      <c r="G691" s="30" t="n">
        <v>75007</v>
      </c>
      <c r="H691" s="31" t="s">
        <v>36</v>
      </c>
      <c r="I691" s="32" t="n">
        <v>144250000</v>
      </c>
      <c r="J691" s="33"/>
      <c r="K691" s="33"/>
      <c r="L691" s="34" t="n">
        <v>2</v>
      </c>
      <c r="M691" s="35" t="s">
        <v>164</v>
      </c>
      <c r="N691" s="36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39"/>
      <c r="Z691" s="39"/>
      <c r="AA691" s="28"/>
      <c r="AMJ691" s="0"/>
    </row>
    <row r="692" s="2" customFormat="true" ht="12.75" hidden="false" customHeight="true" outlineLevel="0" collapsed="false">
      <c r="A692" s="27" t="s">
        <v>1533</v>
      </c>
      <c r="B692" s="27" t="s">
        <v>1029</v>
      </c>
      <c r="C692" s="28" t="s">
        <v>178</v>
      </c>
      <c r="D692" s="27" t="s">
        <v>1124</v>
      </c>
      <c r="E692" s="27"/>
      <c r="F692" s="29" t="s">
        <v>1534</v>
      </c>
      <c r="G692" s="30" t="n">
        <v>75007</v>
      </c>
      <c r="H692" s="31" t="s">
        <v>36</v>
      </c>
      <c r="I692" s="32" t="n">
        <v>145558080</v>
      </c>
      <c r="J692" s="33" t="n">
        <v>205</v>
      </c>
      <c r="K692" s="33" t="n">
        <v>1</v>
      </c>
      <c r="L692" s="34"/>
      <c r="M692" s="35"/>
      <c r="N692" s="36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9"/>
      <c r="Z692" s="39"/>
      <c r="AA692" s="28"/>
      <c r="AMJ692" s="0"/>
    </row>
    <row r="693" s="2" customFormat="true" ht="12.75" hidden="false" customHeight="true" outlineLevel="0" collapsed="false">
      <c r="A693" s="27" t="s">
        <v>1535</v>
      </c>
      <c r="B693" s="27" t="s">
        <v>1236</v>
      </c>
      <c r="C693" s="28" t="s">
        <v>41</v>
      </c>
      <c r="D693" s="27" t="s">
        <v>1536</v>
      </c>
      <c r="E693" s="27"/>
      <c r="F693" s="29" t="s">
        <v>1537</v>
      </c>
      <c r="G693" s="30" t="n">
        <v>75015</v>
      </c>
      <c r="H693" s="31" t="s">
        <v>36</v>
      </c>
      <c r="I693" s="32" t="n">
        <v>147347144</v>
      </c>
      <c r="J693" s="33" t="n">
        <v>529</v>
      </c>
      <c r="K693" s="33" t="n">
        <v>13</v>
      </c>
      <c r="L693" s="34" t="n">
        <v>3</v>
      </c>
      <c r="M693" s="35" t="s">
        <v>164</v>
      </c>
      <c r="N693" s="36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39"/>
      <c r="Z693" s="39"/>
      <c r="AA693" s="28" t="n">
        <v>3</v>
      </c>
      <c r="AMJ693" s="0"/>
    </row>
    <row r="694" s="2" customFormat="true" ht="12.75" hidden="false" customHeight="true" outlineLevel="0" collapsed="false">
      <c r="A694" s="27" t="s">
        <v>1538</v>
      </c>
      <c r="B694" s="27" t="s">
        <v>1539</v>
      </c>
      <c r="C694" s="28" t="s">
        <v>33</v>
      </c>
      <c r="D694" s="27" t="s">
        <v>1536</v>
      </c>
      <c r="E694" s="27"/>
      <c r="F694" s="29" t="s">
        <v>1540</v>
      </c>
      <c r="G694" s="30" t="n">
        <v>75015</v>
      </c>
      <c r="H694" s="31" t="s">
        <v>36</v>
      </c>
      <c r="I694" s="32" t="n">
        <v>143221444</v>
      </c>
      <c r="J694" s="33" t="n">
        <v>67</v>
      </c>
      <c r="K694" s="33" t="n">
        <v>0</v>
      </c>
      <c r="L694" s="34"/>
      <c r="M694" s="35"/>
      <c r="N694" s="36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9"/>
      <c r="Z694" s="39"/>
      <c r="AA694" s="28"/>
      <c r="AC694" s="2" t="s">
        <v>1484</v>
      </c>
      <c r="AMJ694" s="0"/>
    </row>
    <row r="695" s="2" customFormat="true" ht="12.75" hidden="false" customHeight="true" outlineLevel="0" collapsed="false">
      <c r="A695" s="27" t="s">
        <v>1541</v>
      </c>
      <c r="B695" s="27" t="s">
        <v>210</v>
      </c>
      <c r="C695" s="28" t="s">
        <v>41</v>
      </c>
      <c r="D695" s="27" t="s">
        <v>1536</v>
      </c>
      <c r="E695" s="27"/>
      <c r="F695" s="29" t="s">
        <v>1542</v>
      </c>
      <c r="G695" s="30" t="n">
        <v>75015</v>
      </c>
      <c r="H695" s="31" t="s">
        <v>36</v>
      </c>
      <c r="I695" s="32" t="n">
        <v>143200500</v>
      </c>
      <c r="J695" s="33" t="n">
        <v>209</v>
      </c>
      <c r="K695" s="33" t="n">
        <v>1</v>
      </c>
      <c r="L695" s="34"/>
      <c r="M695" s="35"/>
      <c r="N695" s="36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9"/>
      <c r="Z695" s="39"/>
      <c r="AA695" s="28"/>
      <c r="AMJ695" s="0"/>
    </row>
    <row r="696" s="2" customFormat="true" ht="12.75" hidden="false" customHeight="true" outlineLevel="0" collapsed="false">
      <c r="A696" s="27" t="s">
        <v>1543</v>
      </c>
      <c r="B696" s="27" t="s">
        <v>1544</v>
      </c>
      <c r="C696" s="28" t="s">
        <v>33</v>
      </c>
      <c r="D696" s="27" t="s">
        <v>1536</v>
      </c>
      <c r="E696" s="27"/>
      <c r="F696" s="29" t="s">
        <v>1545</v>
      </c>
      <c r="G696" s="30" t="n">
        <v>75015</v>
      </c>
      <c r="H696" s="31" t="s">
        <v>36</v>
      </c>
      <c r="I696" s="32" t="n">
        <v>145672395</v>
      </c>
      <c r="J696" s="33" t="n">
        <v>51</v>
      </c>
      <c r="K696" s="33" t="n">
        <v>0</v>
      </c>
      <c r="L696" s="34"/>
      <c r="M696" s="35"/>
      <c r="N696" s="36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9"/>
      <c r="Z696" s="39"/>
      <c r="AA696" s="28"/>
      <c r="AC696" s="2" t="s">
        <v>38</v>
      </c>
      <c r="AMJ696" s="0"/>
    </row>
    <row r="697" s="2" customFormat="true" ht="12.75" hidden="false" customHeight="true" outlineLevel="0" collapsed="false">
      <c r="A697" s="27" t="s">
        <v>1546</v>
      </c>
      <c r="B697" s="27" t="s">
        <v>596</v>
      </c>
      <c r="C697" s="28" t="s">
        <v>121</v>
      </c>
      <c r="D697" s="27" t="s">
        <v>1536</v>
      </c>
      <c r="E697" s="27"/>
      <c r="F697" s="29" t="s">
        <v>1547</v>
      </c>
      <c r="G697" s="30" t="n">
        <v>75015</v>
      </c>
      <c r="H697" s="31" t="s">
        <v>36</v>
      </c>
      <c r="I697" s="32" t="n">
        <v>180503836</v>
      </c>
      <c r="J697" s="33" t="n">
        <v>142</v>
      </c>
      <c r="K697" s="33" t="n">
        <v>3</v>
      </c>
      <c r="L697" s="34"/>
      <c r="M697" s="35"/>
      <c r="N697" s="36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9"/>
      <c r="Z697" s="39"/>
      <c r="AA697" s="28"/>
      <c r="AMJ697" s="0"/>
    </row>
    <row r="698" s="2" customFormat="true" ht="12.75" hidden="false" customHeight="true" outlineLevel="0" collapsed="false">
      <c r="A698" s="27" t="s">
        <v>1548</v>
      </c>
      <c r="B698" s="27" t="s">
        <v>103</v>
      </c>
      <c r="C698" s="28" t="s">
        <v>41</v>
      </c>
      <c r="D698" s="27" t="s">
        <v>1536</v>
      </c>
      <c r="E698" s="27"/>
      <c r="F698" s="29" t="s">
        <v>1549</v>
      </c>
      <c r="G698" s="30" t="n">
        <v>75015</v>
      </c>
      <c r="H698" s="31" t="s">
        <v>36</v>
      </c>
      <c r="I698" s="32" t="n">
        <v>143064012</v>
      </c>
      <c r="J698" s="33" t="n">
        <v>246</v>
      </c>
      <c r="K698" s="33" t="n">
        <v>17</v>
      </c>
      <c r="L698" s="34" t="n">
        <v>1</v>
      </c>
      <c r="M698" s="35" t="s">
        <v>716</v>
      </c>
      <c r="N698" s="36" t="s">
        <v>1550</v>
      </c>
      <c r="O698" s="41" t="n">
        <v>0.416666666666667</v>
      </c>
      <c r="P698" s="41"/>
      <c r="Q698" s="41" t="n">
        <v>0.416666666666667</v>
      </c>
      <c r="R698" s="41"/>
      <c r="S698" s="41" t="n">
        <v>0.416666666666667</v>
      </c>
      <c r="T698" s="41"/>
      <c r="U698" s="41" t="n">
        <v>0.416666666666667</v>
      </c>
      <c r="V698" s="41"/>
      <c r="W698" s="41"/>
      <c r="X698" s="41"/>
      <c r="Y698" s="39" t="n">
        <v>45180.375</v>
      </c>
      <c r="Z698" s="39"/>
      <c r="AA698" s="28" t="n">
        <v>3</v>
      </c>
      <c r="AMJ698" s="0"/>
    </row>
    <row r="699" s="2" customFormat="true" ht="12.75" hidden="false" customHeight="true" outlineLevel="0" collapsed="false">
      <c r="A699" s="27" t="s">
        <v>1551</v>
      </c>
      <c r="B699" s="27" t="s">
        <v>517</v>
      </c>
      <c r="C699" s="28" t="s">
        <v>41</v>
      </c>
      <c r="D699" s="27" t="s">
        <v>1536</v>
      </c>
      <c r="E699" s="27"/>
      <c r="F699" s="29" t="s">
        <v>1552</v>
      </c>
      <c r="G699" s="30" t="n">
        <v>75015</v>
      </c>
      <c r="H699" s="31" t="s">
        <v>36</v>
      </c>
      <c r="I699" s="32" t="n">
        <v>156580444</v>
      </c>
      <c r="J699" s="33" t="n">
        <v>20</v>
      </c>
      <c r="K699" s="33" t="n">
        <v>0</v>
      </c>
      <c r="L699" s="34"/>
      <c r="M699" s="35"/>
      <c r="N699" s="36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9"/>
      <c r="Z699" s="39"/>
      <c r="AA699" s="28"/>
      <c r="AMJ699" s="0"/>
    </row>
    <row r="700" s="2" customFormat="true" ht="12.75" hidden="false" customHeight="true" outlineLevel="0" collapsed="false">
      <c r="A700" s="27" t="s">
        <v>564</v>
      </c>
      <c r="B700" s="27" t="s">
        <v>1553</v>
      </c>
      <c r="C700" s="28" t="s">
        <v>41</v>
      </c>
      <c r="D700" s="27" t="s">
        <v>1536</v>
      </c>
      <c r="E700" s="27"/>
      <c r="F700" s="29" t="s">
        <v>1554</v>
      </c>
      <c r="G700" s="30" t="n">
        <v>75015</v>
      </c>
      <c r="H700" s="31" t="s">
        <v>36</v>
      </c>
      <c r="I700" s="32" t="n">
        <v>148283974</v>
      </c>
      <c r="J700" s="33" t="n">
        <v>212</v>
      </c>
      <c r="K700" s="33" t="n">
        <v>1</v>
      </c>
      <c r="L700" s="34"/>
      <c r="M700" s="35"/>
      <c r="N700" s="36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9"/>
      <c r="Z700" s="39"/>
      <c r="AA700" s="28"/>
      <c r="AMJ700" s="0"/>
    </row>
    <row r="701" s="2" customFormat="true" ht="12.75" hidden="false" customHeight="true" outlineLevel="0" collapsed="false">
      <c r="A701" s="27" t="s">
        <v>1555</v>
      </c>
      <c r="B701" s="27" t="s">
        <v>521</v>
      </c>
      <c r="C701" s="28" t="s">
        <v>138</v>
      </c>
      <c r="D701" s="27" t="s">
        <v>1536</v>
      </c>
      <c r="E701" s="27" t="s">
        <v>1556</v>
      </c>
      <c r="F701" s="29" t="s">
        <v>1557</v>
      </c>
      <c r="G701" s="30" t="n">
        <v>75015</v>
      </c>
      <c r="H701" s="31" t="s">
        <v>36</v>
      </c>
      <c r="I701" s="32"/>
      <c r="J701" s="33" t="n">
        <v>126</v>
      </c>
      <c r="K701" s="33" t="n">
        <v>10</v>
      </c>
      <c r="L701" s="34" t="n">
        <v>2</v>
      </c>
      <c r="M701" s="44" t="s">
        <v>321</v>
      </c>
      <c r="N701" s="36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39"/>
      <c r="Z701" s="39"/>
      <c r="AA701" s="28" t="n">
        <v>3</v>
      </c>
      <c r="AMJ701" s="0"/>
    </row>
    <row r="702" s="2" customFormat="true" ht="12.75" hidden="false" customHeight="true" outlineLevel="0" collapsed="false">
      <c r="A702" s="27" t="s">
        <v>1558</v>
      </c>
      <c r="B702" s="27" t="s">
        <v>1559</v>
      </c>
      <c r="C702" s="28" t="s">
        <v>41</v>
      </c>
      <c r="D702" s="27" t="s">
        <v>1536</v>
      </c>
      <c r="E702" s="27" t="s">
        <v>1556</v>
      </c>
      <c r="F702" s="29" t="s">
        <v>1557</v>
      </c>
      <c r="G702" s="30" t="n">
        <v>75015</v>
      </c>
      <c r="H702" s="31" t="s">
        <v>36</v>
      </c>
      <c r="I702" s="32" t="n">
        <v>146491115</v>
      </c>
      <c r="J702" s="33" t="n">
        <v>400</v>
      </c>
      <c r="K702" s="33" t="n">
        <v>11</v>
      </c>
      <c r="L702" s="34" t="n">
        <v>2</v>
      </c>
      <c r="M702" s="44" t="s">
        <v>321</v>
      </c>
      <c r="N702" s="36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39"/>
      <c r="Z702" s="39"/>
      <c r="AA702" s="28" t="n">
        <v>3</v>
      </c>
      <c r="AMJ702" s="0"/>
    </row>
    <row r="703" s="2" customFormat="true" ht="12.75" hidden="false" customHeight="true" outlineLevel="0" collapsed="false">
      <c r="A703" s="27" t="s">
        <v>1560</v>
      </c>
      <c r="B703" s="27" t="s">
        <v>1561</v>
      </c>
      <c r="C703" s="28" t="s">
        <v>41</v>
      </c>
      <c r="D703" s="27" t="s">
        <v>1536</v>
      </c>
      <c r="E703" s="27" t="s">
        <v>1556</v>
      </c>
      <c r="F703" s="29" t="s">
        <v>1557</v>
      </c>
      <c r="G703" s="30" t="n">
        <v>75015</v>
      </c>
      <c r="H703" s="31" t="s">
        <v>36</v>
      </c>
      <c r="I703" s="32" t="n">
        <v>149934993</v>
      </c>
      <c r="J703" s="33" t="n">
        <v>364</v>
      </c>
      <c r="K703" s="33" t="n">
        <v>25</v>
      </c>
      <c r="L703" s="34" t="n">
        <v>2</v>
      </c>
      <c r="M703" s="44" t="s">
        <v>321</v>
      </c>
      <c r="N703" s="50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39"/>
      <c r="Z703" s="39"/>
      <c r="AA703" s="28" t="n">
        <v>3</v>
      </c>
      <c r="AMJ703" s="0"/>
    </row>
    <row r="704" s="2" customFormat="true" ht="12.75" hidden="false" customHeight="true" outlineLevel="0" collapsed="false">
      <c r="A704" s="27" t="s">
        <v>1562</v>
      </c>
      <c r="B704" s="27" t="s">
        <v>1113</v>
      </c>
      <c r="C704" s="28" t="s">
        <v>41</v>
      </c>
      <c r="D704" s="27" t="s">
        <v>1536</v>
      </c>
      <c r="E704" s="27" t="s">
        <v>1556</v>
      </c>
      <c r="F704" s="29" t="s">
        <v>1557</v>
      </c>
      <c r="G704" s="30" t="n">
        <v>75015</v>
      </c>
      <c r="H704" s="31" t="s">
        <v>36</v>
      </c>
      <c r="I704" s="32" t="n">
        <v>142791611</v>
      </c>
      <c r="J704" s="33" t="n">
        <v>278</v>
      </c>
      <c r="K704" s="33" t="n">
        <v>2</v>
      </c>
      <c r="L704" s="34"/>
      <c r="M704" s="44" t="s">
        <v>321</v>
      </c>
      <c r="N704" s="36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9"/>
      <c r="Z704" s="39"/>
      <c r="AA704" s="28"/>
      <c r="AMJ704" s="0"/>
    </row>
    <row r="705" s="2" customFormat="true" ht="12.75" hidden="false" customHeight="true" outlineLevel="0" collapsed="false">
      <c r="A705" s="27" t="s">
        <v>1563</v>
      </c>
      <c r="B705" s="27" t="s">
        <v>1564</v>
      </c>
      <c r="C705" s="28" t="s">
        <v>41</v>
      </c>
      <c r="D705" s="27" t="s">
        <v>1536</v>
      </c>
      <c r="E705" s="27" t="s">
        <v>1556</v>
      </c>
      <c r="F705" s="29" t="s">
        <v>1557</v>
      </c>
      <c r="G705" s="30" t="n">
        <v>75015</v>
      </c>
      <c r="H705" s="31" t="s">
        <v>36</v>
      </c>
      <c r="I705" s="32" t="n">
        <v>142791611</v>
      </c>
      <c r="J705" s="33" t="n">
        <v>250</v>
      </c>
      <c r="K705" s="33" t="n">
        <v>33</v>
      </c>
      <c r="L705" s="34" t="n">
        <v>3</v>
      </c>
      <c r="M705" s="44" t="s">
        <v>716</v>
      </c>
      <c r="N705" s="50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39" t="n">
        <v>45177.4583333333</v>
      </c>
      <c r="Z705" s="39"/>
      <c r="AA705" s="28" t="n">
        <v>3</v>
      </c>
      <c r="AMJ705" s="0"/>
    </row>
    <row r="706" s="2" customFormat="true" ht="12.75" hidden="false" customHeight="true" outlineLevel="0" collapsed="false">
      <c r="A706" s="27" t="s">
        <v>1565</v>
      </c>
      <c r="B706" s="27" t="s">
        <v>363</v>
      </c>
      <c r="C706" s="28" t="s">
        <v>41</v>
      </c>
      <c r="D706" s="27" t="s">
        <v>1536</v>
      </c>
      <c r="E706" s="27" t="s">
        <v>1556</v>
      </c>
      <c r="F706" s="29" t="s">
        <v>1557</v>
      </c>
      <c r="G706" s="30" t="n">
        <v>75015</v>
      </c>
      <c r="H706" s="31" t="s">
        <v>36</v>
      </c>
      <c r="I706" s="32" t="n">
        <v>142791611</v>
      </c>
      <c r="J706" s="33" t="n">
        <v>213</v>
      </c>
      <c r="K706" s="33" t="n">
        <v>5</v>
      </c>
      <c r="L706" s="34" t="n">
        <v>2</v>
      </c>
      <c r="M706" s="44" t="s">
        <v>321</v>
      </c>
      <c r="N706" s="36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39"/>
      <c r="Z706" s="39"/>
      <c r="AA706" s="28"/>
      <c r="AMJ706" s="0"/>
    </row>
    <row r="707" s="2" customFormat="true" ht="12.75" hidden="false" customHeight="true" outlineLevel="0" collapsed="false">
      <c r="A707" s="27" t="s">
        <v>1566</v>
      </c>
      <c r="B707" s="27" t="s">
        <v>889</v>
      </c>
      <c r="C707" s="28" t="s">
        <v>41</v>
      </c>
      <c r="D707" s="27" t="s">
        <v>1536</v>
      </c>
      <c r="E707" s="27" t="s">
        <v>1556</v>
      </c>
      <c r="F707" s="29" t="s">
        <v>1557</v>
      </c>
      <c r="G707" s="30" t="n">
        <v>75015</v>
      </c>
      <c r="H707" s="31" t="s">
        <v>36</v>
      </c>
      <c r="I707" s="32" t="n">
        <v>142791611</v>
      </c>
      <c r="J707" s="33" t="n">
        <v>195</v>
      </c>
      <c r="K707" s="33" t="n">
        <v>10</v>
      </c>
      <c r="L707" s="34"/>
      <c r="M707" s="44" t="s">
        <v>321</v>
      </c>
      <c r="N707" s="36"/>
      <c r="O707" s="37"/>
      <c r="P707" s="37"/>
      <c r="Q707" s="37"/>
      <c r="R707" s="37"/>
      <c r="S707" s="37"/>
      <c r="T707" s="37"/>
      <c r="U707" s="37"/>
      <c r="V707" s="37"/>
      <c r="W707" s="37"/>
      <c r="X707" s="37" t="s">
        <v>726</v>
      </c>
      <c r="Y707" s="58"/>
      <c r="Z707" s="39"/>
      <c r="AA707" s="28"/>
      <c r="AMJ707" s="0"/>
    </row>
    <row r="708" s="2" customFormat="true" ht="12.75" hidden="false" customHeight="true" outlineLevel="0" collapsed="false">
      <c r="A708" s="27" t="s">
        <v>1567</v>
      </c>
      <c r="B708" s="27" t="s">
        <v>672</v>
      </c>
      <c r="C708" s="28" t="s">
        <v>41</v>
      </c>
      <c r="D708" s="27" t="s">
        <v>1536</v>
      </c>
      <c r="E708" s="27" t="s">
        <v>1556</v>
      </c>
      <c r="F708" s="29" t="s">
        <v>1557</v>
      </c>
      <c r="G708" s="30" t="n">
        <v>75015</v>
      </c>
      <c r="H708" s="31" t="s">
        <v>36</v>
      </c>
      <c r="I708" s="32" t="n">
        <v>142791611</v>
      </c>
      <c r="J708" s="33" t="n">
        <v>192</v>
      </c>
      <c r="K708" s="33" t="n">
        <v>6</v>
      </c>
      <c r="L708" s="34"/>
      <c r="M708" s="44" t="s">
        <v>321</v>
      </c>
      <c r="N708" s="36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9"/>
      <c r="Z708" s="39"/>
      <c r="AA708" s="28"/>
      <c r="AMJ708" s="0"/>
    </row>
    <row r="709" s="2" customFormat="true" ht="12.75" hidden="false" customHeight="true" outlineLevel="0" collapsed="false">
      <c r="A709" s="27" t="s">
        <v>1568</v>
      </c>
      <c r="B709" s="27" t="s">
        <v>1569</v>
      </c>
      <c r="C709" s="28" t="s">
        <v>41</v>
      </c>
      <c r="D709" s="27" t="s">
        <v>1536</v>
      </c>
      <c r="E709" s="27" t="s">
        <v>1556</v>
      </c>
      <c r="F709" s="29" t="s">
        <v>1557</v>
      </c>
      <c r="G709" s="30" t="n">
        <v>75015</v>
      </c>
      <c r="H709" s="31" t="s">
        <v>36</v>
      </c>
      <c r="I709" s="32" t="n">
        <v>142791611</v>
      </c>
      <c r="J709" s="33" t="n">
        <v>183</v>
      </c>
      <c r="K709" s="33" t="n">
        <v>1</v>
      </c>
      <c r="L709" s="34"/>
      <c r="M709" s="44" t="s">
        <v>321</v>
      </c>
      <c r="N709" s="36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9"/>
      <c r="Z709" s="39"/>
      <c r="AA709" s="28"/>
      <c r="AMJ709" s="0"/>
    </row>
    <row r="710" s="2" customFormat="true" ht="12.75" hidden="false" customHeight="true" outlineLevel="0" collapsed="false">
      <c r="A710" s="27" t="s">
        <v>1570</v>
      </c>
      <c r="B710" s="27" t="s">
        <v>1571</v>
      </c>
      <c r="C710" s="28" t="s">
        <v>208</v>
      </c>
      <c r="D710" s="27" t="s">
        <v>1536</v>
      </c>
      <c r="E710" s="27" t="s">
        <v>1556</v>
      </c>
      <c r="F710" s="29" t="s">
        <v>1557</v>
      </c>
      <c r="G710" s="30" t="n">
        <v>75015</v>
      </c>
      <c r="H710" s="31" t="s">
        <v>36</v>
      </c>
      <c r="I710" s="32" t="n">
        <v>142791611</v>
      </c>
      <c r="J710" s="33" t="n">
        <v>150</v>
      </c>
      <c r="K710" s="33" t="n">
        <v>18</v>
      </c>
      <c r="L710" s="34" t="n">
        <v>2</v>
      </c>
      <c r="M710" s="44" t="s">
        <v>321</v>
      </c>
      <c r="N710" s="36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39"/>
      <c r="Z710" s="39"/>
      <c r="AA710" s="28" t="n">
        <v>4</v>
      </c>
      <c r="AMJ710" s="0"/>
    </row>
    <row r="711" s="2" customFormat="true" ht="12.75" hidden="false" customHeight="true" outlineLevel="0" collapsed="false">
      <c r="A711" s="27" t="s">
        <v>1572</v>
      </c>
      <c r="B711" s="27" t="s">
        <v>590</v>
      </c>
      <c r="C711" s="28" t="s">
        <v>33</v>
      </c>
      <c r="D711" s="27" t="s">
        <v>1536</v>
      </c>
      <c r="E711" s="27" t="s">
        <v>1556</v>
      </c>
      <c r="F711" s="29" t="s">
        <v>1557</v>
      </c>
      <c r="G711" s="30" t="n">
        <v>75015</v>
      </c>
      <c r="H711" s="31" t="s">
        <v>36</v>
      </c>
      <c r="I711" s="32" t="n">
        <v>142791611</v>
      </c>
      <c r="J711" s="33" t="n">
        <v>61</v>
      </c>
      <c r="K711" s="33" t="n">
        <v>0</v>
      </c>
      <c r="L711" s="34"/>
      <c r="M711" s="35"/>
      <c r="N711" s="36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9"/>
      <c r="Z711" s="39"/>
      <c r="AA711" s="28"/>
      <c r="AC711" s="2" t="s">
        <v>1484</v>
      </c>
      <c r="AMJ711" s="0"/>
    </row>
    <row r="712" s="2" customFormat="true" ht="12.75" hidden="false" customHeight="true" outlineLevel="0" collapsed="false">
      <c r="A712" s="27" t="s">
        <v>1573</v>
      </c>
      <c r="B712" s="27" t="s">
        <v>329</v>
      </c>
      <c r="C712" s="28" t="s">
        <v>121</v>
      </c>
      <c r="D712" s="27" t="s">
        <v>1536</v>
      </c>
      <c r="E712" s="27"/>
      <c r="F712" s="29" t="s">
        <v>1574</v>
      </c>
      <c r="G712" s="30" t="n">
        <v>75015</v>
      </c>
      <c r="H712" s="31" t="s">
        <v>36</v>
      </c>
      <c r="I712" s="32" t="n">
        <v>148283682</v>
      </c>
      <c r="J712" s="33" t="n">
        <v>117</v>
      </c>
      <c r="K712" s="33" t="n">
        <v>6</v>
      </c>
      <c r="L712" s="34" t="n">
        <v>1</v>
      </c>
      <c r="M712" s="35" t="s">
        <v>164</v>
      </c>
      <c r="N712" s="36" t="s">
        <v>165</v>
      </c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39" t="n">
        <v>45118.5833333333</v>
      </c>
      <c r="Z712" s="39"/>
      <c r="AA712" s="28" t="n">
        <v>3</v>
      </c>
      <c r="AMJ712" s="0"/>
    </row>
    <row r="713" s="2" customFormat="true" ht="12.75" hidden="false" customHeight="true" outlineLevel="0" collapsed="false">
      <c r="A713" s="27" t="s">
        <v>1575</v>
      </c>
      <c r="B713" s="27" t="s">
        <v>598</v>
      </c>
      <c r="C713" s="28" t="s">
        <v>121</v>
      </c>
      <c r="D713" s="27" t="s">
        <v>1536</v>
      </c>
      <c r="E713" s="27"/>
      <c r="F713" s="29" t="s">
        <v>1574</v>
      </c>
      <c r="G713" s="30" t="n">
        <v>75015</v>
      </c>
      <c r="H713" s="31" t="s">
        <v>36</v>
      </c>
      <c r="I713" s="32" t="n">
        <v>148283682</v>
      </c>
      <c r="J713" s="33" t="n">
        <v>100</v>
      </c>
      <c r="K713" s="33" t="n">
        <v>3</v>
      </c>
      <c r="L713" s="34" t="n">
        <v>1</v>
      </c>
      <c r="M713" s="35" t="s">
        <v>164</v>
      </c>
      <c r="N713" s="36" t="s">
        <v>165</v>
      </c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39" t="n">
        <v>45118.625</v>
      </c>
      <c r="Z713" s="39"/>
      <c r="AA713" s="28" t="n">
        <v>3</v>
      </c>
      <c r="AMJ713" s="0"/>
    </row>
    <row r="714" s="2" customFormat="true" ht="12.75" hidden="false" customHeight="true" outlineLevel="0" collapsed="false">
      <c r="A714" s="27" t="s">
        <v>1576</v>
      </c>
      <c r="B714" s="27" t="s">
        <v>1577</v>
      </c>
      <c r="C714" s="28" t="s">
        <v>41</v>
      </c>
      <c r="D714" s="27" t="s">
        <v>1536</v>
      </c>
      <c r="E714" s="27"/>
      <c r="F714" s="29" t="s">
        <v>1578</v>
      </c>
      <c r="G714" s="30" t="n">
        <v>75015</v>
      </c>
      <c r="H714" s="31" t="s">
        <v>36</v>
      </c>
      <c r="I714" s="32" t="n">
        <v>143062119</v>
      </c>
      <c r="J714" s="33" t="n">
        <v>212</v>
      </c>
      <c r="K714" s="33" t="n">
        <v>1</v>
      </c>
      <c r="L714" s="34"/>
      <c r="M714" s="35"/>
      <c r="N714" s="36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9"/>
      <c r="Z714" s="39"/>
      <c r="AA714" s="28"/>
      <c r="AMJ714" s="0"/>
    </row>
    <row r="715" s="2" customFormat="true" ht="12.75" hidden="false" customHeight="true" outlineLevel="0" collapsed="false">
      <c r="A715" s="27" t="s">
        <v>1579</v>
      </c>
      <c r="B715" s="27" t="s">
        <v>234</v>
      </c>
      <c r="C715" s="28" t="s">
        <v>33</v>
      </c>
      <c r="D715" s="27" t="s">
        <v>1536</v>
      </c>
      <c r="E715" s="27"/>
      <c r="F715" s="29" t="s">
        <v>1580</v>
      </c>
      <c r="G715" s="30" t="n">
        <v>75015</v>
      </c>
      <c r="H715" s="31" t="s">
        <v>36</v>
      </c>
      <c r="I715" s="32" t="n">
        <v>143065729</v>
      </c>
      <c r="J715" s="33" t="n">
        <v>71</v>
      </c>
      <c r="K715" s="33" t="n">
        <v>1</v>
      </c>
      <c r="L715" s="34"/>
      <c r="M715" s="35"/>
      <c r="N715" s="36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9"/>
      <c r="Z715" s="39"/>
      <c r="AA715" s="28"/>
      <c r="AC715" s="2" t="s">
        <v>1484</v>
      </c>
      <c r="AMJ715" s="0"/>
    </row>
    <row r="716" s="2" customFormat="true" ht="12.75" hidden="false" customHeight="true" outlineLevel="0" collapsed="false">
      <c r="A716" s="27" t="s">
        <v>1581</v>
      </c>
      <c r="B716" s="27" t="s">
        <v>435</v>
      </c>
      <c r="C716" s="28" t="s">
        <v>33</v>
      </c>
      <c r="D716" s="27" t="s">
        <v>1536</v>
      </c>
      <c r="E716" s="27"/>
      <c r="F716" s="29" t="s">
        <v>1580</v>
      </c>
      <c r="G716" s="30" t="n">
        <v>75015</v>
      </c>
      <c r="H716" s="31" t="s">
        <v>36</v>
      </c>
      <c r="I716" s="32" t="n">
        <v>142732100</v>
      </c>
      <c r="J716" s="33" t="n">
        <v>61</v>
      </c>
      <c r="K716" s="33" t="n">
        <v>1</v>
      </c>
      <c r="L716" s="34"/>
      <c r="M716" s="35"/>
      <c r="N716" s="36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9"/>
      <c r="Z716" s="39"/>
      <c r="AA716" s="28"/>
      <c r="AC716" s="2" t="s">
        <v>38</v>
      </c>
      <c r="AMJ716" s="0"/>
    </row>
    <row r="717" s="2" customFormat="true" ht="12.75" hidden="false" customHeight="true" outlineLevel="0" collapsed="false">
      <c r="A717" s="27" t="s">
        <v>1582</v>
      </c>
      <c r="B717" s="27" t="s">
        <v>490</v>
      </c>
      <c r="C717" s="28" t="s">
        <v>41</v>
      </c>
      <c r="D717" s="27" t="s">
        <v>1536</v>
      </c>
      <c r="E717" s="27"/>
      <c r="F717" s="29" t="s">
        <v>1583</v>
      </c>
      <c r="G717" s="30" t="n">
        <v>75015</v>
      </c>
      <c r="H717" s="31" t="s">
        <v>36</v>
      </c>
      <c r="I717" s="32" t="n">
        <v>144930268</v>
      </c>
      <c r="J717" s="33" t="n">
        <v>213</v>
      </c>
      <c r="K717" s="33" t="n">
        <v>1</v>
      </c>
      <c r="L717" s="34"/>
      <c r="M717" s="35"/>
      <c r="N717" s="36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9"/>
      <c r="Z717" s="39"/>
      <c r="AA717" s="28"/>
      <c r="AMJ717" s="0"/>
    </row>
    <row r="718" s="2" customFormat="true" ht="12.75" hidden="false" customHeight="true" outlineLevel="0" collapsed="false">
      <c r="A718" s="27" t="s">
        <v>1584</v>
      </c>
      <c r="B718" s="27" t="s">
        <v>329</v>
      </c>
      <c r="C718" s="28" t="s">
        <v>178</v>
      </c>
      <c r="D718" s="27" t="s">
        <v>1536</v>
      </c>
      <c r="E718" s="27" t="s">
        <v>1585</v>
      </c>
      <c r="F718" s="29" t="s">
        <v>1586</v>
      </c>
      <c r="G718" s="30" t="n">
        <v>75015</v>
      </c>
      <c r="H718" s="31" t="s">
        <v>36</v>
      </c>
      <c r="I718" s="32" t="n">
        <v>144494743</v>
      </c>
      <c r="J718" s="33" t="n">
        <v>85</v>
      </c>
      <c r="K718" s="33" t="n">
        <v>4</v>
      </c>
      <c r="L718" s="34"/>
      <c r="M718" s="44" t="s">
        <v>321</v>
      </c>
      <c r="N718" s="36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9"/>
      <c r="Z718" s="39"/>
      <c r="AA718" s="28"/>
      <c r="AMJ718" s="0"/>
    </row>
    <row r="719" s="2" customFormat="true" ht="12.75" hidden="false" customHeight="true" outlineLevel="0" collapsed="false">
      <c r="A719" s="59" t="s">
        <v>1587</v>
      </c>
      <c r="B719" s="59" t="s">
        <v>955</v>
      </c>
      <c r="C719" s="60" t="s">
        <v>178</v>
      </c>
      <c r="D719" s="61" t="s">
        <v>1536</v>
      </c>
      <c r="E719" s="61" t="s">
        <v>1585</v>
      </c>
      <c r="F719" s="62" t="s">
        <v>1586</v>
      </c>
      <c r="G719" s="63" t="n">
        <v>75015</v>
      </c>
      <c r="H719" s="64" t="s">
        <v>36</v>
      </c>
      <c r="I719" s="65" t="n">
        <v>144494412</v>
      </c>
      <c r="J719" s="66" t="n">
        <v>85</v>
      </c>
      <c r="K719" s="66" t="n">
        <v>1</v>
      </c>
      <c r="L719" s="67"/>
      <c r="M719" s="68" t="s">
        <v>321</v>
      </c>
      <c r="N719" s="69" t="s">
        <v>1588</v>
      </c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70" t="n">
        <v>45197.4895833333</v>
      </c>
      <c r="Z719" s="39"/>
      <c r="AA719" s="28"/>
      <c r="AMJ719" s="0"/>
    </row>
    <row r="720" s="2" customFormat="true" ht="12.75" hidden="false" customHeight="true" outlineLevel="0" collapsed="false">
      <c r="A720" s="61" t="s">
        <v>1589</v>
      </c>
      <c r="B720" s="27" t="s">
        <v>317</v>
      </c>
      <c r="C720" s="28" t="s">
        <v>178</v>
      </c>
      <c r="D720" s="27" t="s">
        <v>1536</v>
      </c>
      <c r="E720" s="27" t="s">
        <v>1585</v>
      </c>
      <c r="F720" s="29" t="s">
        <v>1586</v>
      </c>
      <c r="G720" s="30" t="n">
        <v>75015</v>
      </c>
      <c r="H720" s="31" t="s">
        <v>36</v>
      </c>
      <c r="I720" s="32" t="n">
        <v>144494412</v>
      </c>
      <c r="J720" s="33" t="n">
        <v>83</v>
      </c>
      <c r="K720" s="33" t="n">
        <v>6</v>
      </c>
      <c r="L720" s="34"/>
      <c r="M720" s="44" t="s">
        <v>321</v>
      </c>
      <c r="N720" s="69" t="s">
        <v>1588</v>
      </c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9"/>
      <c r="Z720" s="39"/>
      <c r="AA720" s="28"/>
      <c r="AMJ720" s="0"/>
    </row>
    <row r="721" s="2" customFormat="true" ht="12.75" hidden="false" customHeight="true" outlineLevel="0" collapsed="false">
      <c r="A721" s="27" t="s">
        <v>244</v>
      </c>
      <c r="B721" s="27" t="s">
        <v>187</v>
      </c>
      <c r="C721" s="28" t="s">
        <v>138</v>
      </c>
      <c r="D721" s="27" t="s">
        <v>1536</v>
      </c>
      <c r="E721" s="27" t="s">
        <v>1585</v>
      </c>
      <c r="F721" s="29" t="s">
        <v>1586</v>
      </c>
      <c r="G721" s="30" t="n">
        <v>75015</v>
      </c>
      <c r="H721" s="31" t="s">
        <v>36</v>
      </c>
      <c r="I721" s="32" t="n">
        <v>144494030</v>
      </c>
      <c r="J721" s="33" t="n">
        <v>123</v>
      </c>
      <c r="K721" s="33" t="n">
        <v>1</v>
      </c>
      <c r="L721" s="34"/>
      <c r="M721" s="44" t="s">
        <v>321</v>
      </c>
      <c r="N721" s="36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9"/>
      <c r="Z721" s="39"/>
      <c r="AA721" s="28"/>
      <c r="AMJ721" s="0"/>
    </row>
    <row r="722" s="2" customFormat="true" ht="12.75" hidden="false" customHeight="true" outlineLevel="0" collapsed="false">
      <c r="A722" s="27" t="s">
        <v>1590</v>
      </c>
      <c r="B722" s="27" t="s">
        <v>88</v>
      </c>
      <c r="C722" s="28" t="s">
        <v>138</v>
      </c>
      <c r="D722" s="27" t="s">
        <v>1536</v>
      </c>
      <c r="E722" s="27" t="s">
        <v>1585</v>
      </c>
      <c r="F722" s="29" t="s">
        <v>1586</v>
      </c>
      <c r="G722" s="30" t="n">
        <v>75015</v>
      </c>
      <c r="H722" s="31" t="s">
        <v>36</v>
      </c>
      <c r="I722" s="32" t="n">
        <v>144494030</v>
      </c>
      <c r="J722" s="33" t="n">
        <v>68</v>
      </c>
      <c r="K722" s="33" t="n">
        <v>1</v>
      </c>
      <c r="L722" s="34"/>
      <c r="M722" s="44" t="s">
        <v>321</v>
      </c>
      <c r="N722" s="36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9"/>
      <c r="Z722" s="39"/>
      <c r="AA722" s="28"/>
      <c r="AMJ722" s="0"/>
    </row>
    <row r="723" s="2" customFormat="true" ht="12.75" hidden="false" customHeight="true" outlineLevel="0" collapsed="false">
      <c r="A723" s="27" t="s">
        <v>1591</v>
      </c>
      <c r="B723" s="27" t="s">
        <v>1236</v>
      </c>
      <c r="C723" s="28" t="s">
        <v>138</v>
      </c>
      <c r="D723" s="27" t="s">
        <v>1536</v>
      </c>
      <c r="E723" s="27" t="s">
        <v>1585</v>
      </c>
      <c r="F723" s="29" t="s">
        <v>1586</v>
      </c>
      <c r="G723" s="30" t="n">
        <v>75015</v>
      </c>
      <c r="H723" s="31" t="s">
        <v>36</v>
      </c>
      <c r="I723" s="32" t="n">
        <v>144494030</v>
      </c>
      <c r="J723" s="33" t="n">
        <v>66</v>
      </c>
      <c r="K723" s="33" t="n">
        <v>1</v>
      </c>
      <c r="L723" s="34"/>
      <c r="M723" s="44" t="s">
        <v>321</v>
      </c>
      <c r="N723" s="36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9"/>
      <c r="Z723" s="39"/>
      <c r="AA723" s="28"/>
      <c r="AMJ723" s="0"/>
    </row>
    <row r="724" s="2" customFormat="true" ht="12.75" hidden="false" customHeight="true" outlineLevel="0" collapsed="false">
      <c r="A724" s="27" t="s">
        <v>1592</v>
      </c>
      <c r="B724" s="27" t="s">
        <v>749</v>
      </c>
      <c r="C724" s="28" t="s">
        <v>138</v>
      </c>
      <c r="D724" s="27" t="s">
        <v>1536</v>
      </c>
      <c r="E724" s="27" t="s">
        <v>1585</v>
      </c>
      <c r="F724" s="29" t="s">
        <v>1586</v>
      </c>
      <c r="G724" s="30" t="n">
        <v>75015</v>
      </c>
      <c r="H724" s="31" t="s">
        <v>36</v>
      </c>
      <c r="I724" s="32" t="n">
        <v>144494030</v>
      </c>
      <c r="J724" s="33" t="n">
        <v>57</v>
      </c>
      <c r="K724" s="33" t="n">
        <v>1</v>
      </c>
      <c r="L724" s="34"/>
      <c r="M724" s="44" t="s">
        <v>321</v>
      </c>
      <c r="N724" s="36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9"/>
      <c r="Z724" s="39"/>
      <c r="AA724" s="28"/>
      <c r="AMJ724" s="0"/>
    </row>
    <row r="725" s="2" customFormat="true" ht="12.75" hidden="false" customHeight="true" outlineLevel="0" collapsed="false">
      <c r="A725" s="27" t="s">
        <v>1593</v>
      </c>
      <c r="B725" s="27" t="s">
        <v>67</v>
      </c>
      <c r="C725" s="28" t="s">
        <v>138</v>
      </c>
      <c r="D725" s="27" t="s">
        <v>1536</v>
      </c>
      <c r="E725" s="27" t="s">
        <v>1585</v>
      </c>
      <c r="F725" s="29" t="s">
        <v>1586</v>
      </c>
      <c r="G725" s="30" t="n">
        <v>75015</v>
      </c>
      <c r="H725" s="31" t="s">
        <v>36</v>
      </c>
      <c r="I725" s="32" t="n">
        <v>144494030</v>
      </c>
      <c r="J725" s="33" t="n">
        <v>57</v>
      </c>
      <c r="K725" s="33" t="n">
        <v>2</v>
      </c>
      <c r="L725" s="34"/>
      <c r="M725" s="44" t="s">
        <v>321</v>
      </c>
      <c r="N725" s="36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9"/>
      <c r="Z725" s="39"/>
      <c r="AA725" s="28"/>
      <c r="AMJ725" s="0"/>
    </row>
    <row r="726" s="2" customFormat="true" ht="12.75" hidden="false" customHeight="true" outlineLevel="0" collapsed="false">
      <c r="A726" s="27" t="s">
        <v>1594</v>
      </c>
      <c r="B726" s="27" t="s">
        <v>596</v>
      </c>
      <c r="C726" s="28" t="s">
        <v>138</v>
      </c>
      <c r="D726" s="27" t="s">
        <v>1536</v>
      </c>
      <c r="E726" s="27" t="s">
        <v>1585</v>
      </c>
      <c r="F726" s="29" t="s">
        <v>1586</v>
      </c>
      <c r="G726" s="30" t="n">
        <v>75015</v>
      </c>
      <c r="H726" s="31" t="s">
        <v>36</v>
      </c>
      <c r="I726" s="32" t="n">
        <v>144494030</v>
      </c>
      <c r="J726" s="33" t="n">
        <v>57</v>
      </c>
      <c r="K726" s="33" t="n">
        <v>1</v>
      </c>
      <c r="L726" s="34"/>
      <c r="M726" s="44" t="s">
        <v>321</v>
      </c>
      <c r="N726" s="36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9"/>
      <c r="Z726" s="39"/>
      <c r="AA726" s="28"/>
      <c r="AMJ726" s="0"/>
    </row>
    <row r="727" s="2" customFormat="true" ht="12.75" hidden="false" customHeight="true" outlineLevel="0" collapsed="false">
      <c r="A727" s="27" t="s">
        <v>1595</v>
      </c>
      <c r="B727" s="27" t="s">
        <v>763</v>
      </c>
      <c r="C727" s="28" t="s">
        <v>138</v>
      </c>
      <c r="D727" s="27" t="s">
        <v>1536</v>
      </c>
      <c r="E727" s="27" t="s">
        <v>1585</v>
      </c>
      <c r="F727" s="29" t="s">
        <v>1586</v>
      </c>
      <c r="G727" s="30" t="n">
        <v>75015</v>
      </c>
      <c r="H727" s="31" t="s">
        <v>36</v>
      </c>
      <c r="I727" s="32" t="n">
        <v>144494030</v>
      </c>
      <c r="J727" s="33" t="n">
        <v>57</v>
      </c>
      <c r="K727" s="33" t="n">
        <v>1</v>
      </c>
      <c r="L727" s="34"/>
      <c r="M727" s="44" t="s">
        <v>321</v>
      </c>
      <c r="N727" s="36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9"/>
      <c r="Z727" s="39"/>
      <c r="AA727" s="28"/>
      <c r="AMJ727" s="0"/>
    </row>
    <row r="728" s="2" customFormat="true" ht="12.75" hidden="false" customHeight="true" outlineLevel="0" collapsed="false">
      <c r="A728" s="27" t="s">
        <v>1596</v>
      </c>
      <c r="B728" s="27" t="s">
        <v>130</v>
      </c>
      <c r="C728" s="28" t="s">
        <v>138</v>
      </c>
      <c r="D728" s="27" t="s">
        <v>1536</v>
      </c>
      <c r="E728" s="27" t="s">
        <v>1585</v>
      </c>
      <c r="F728" s="29" t="s">
        <v>1586</v>
      </c>
      <c r="G728" s="30" t="n">
        <v>75015</v>
      </c>
      <c r="H728" s="31" t="s">
        <v>36</v>
      </c>
      <c r="I728" s="32" t="n">
        <v>144494030</v>
      </c>
      <c r="J728" s="33" t="n">
        <v>57</v>
      </c>
      <c r="K728" s="33" t="n">
        <v>1</v>
      </c>
      <c r="L728" s="34"/>
      <c r="M728" s="44" t="s">
        <v>321</v>
      </c>
      <c r="N728" s="36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9"/>
      <c r="Z728" s="39"/>
      <c r="AA728" s="28"/>
      <c r="AMJ728" s="0"/>
    </row>
    <row r="729" s="2" customFormat="true" ht="12.75" hidden="false" customHeight="true" outlineLevel="0" collapsed="false">
      <c r="A729" s="27" t="s">
        <v>1597</v>
      </c>
      <c r="B729" s="27" t="s">
        <v>1598</v>
      </c>
      <c r="C729" s="28" t="s">
        <v>138</v>
      </c>
      <c r="D729" s="27" t="s">
        <v>1536</v>
      </c>
      <c r="E729" s="27" t="s">
        <v>1585</v>
      </c>
      <c r="F729" s="29" t="s">
        <v>1586</v>
      </c>
      <c r="G729" s="30" t="n">
        <v>75015</v>
      </c>
      <c r="H729" s="31" t="s">
        <v>36</v>
      </c>
      <c r="I729" s="32" t="n">
        <v>144494801</v>
      </c>
      <c r="J729" s="33" t="n">
        <v>49</v>
      </c>
      <c r="K729" s="33" t="n">
        <v>1</v>
      </c>
      <c r="L729" s="34"/>
      <c r="M729" s="44" t="s">
        <v>321</v>
      </c>
      <c r="N729" s="36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9"/>
      <c r="Z729" s="39"/>
      <c r="AA729" s="28"/>
      <c r="AMJ729" s="0"/>
    </row>
    <row r="730" s="2" customFormat="true" ht="12.75" hidden="false" customHeight="true" outlineLevel="0" collapsed="false">
      <c r="A730" s="27" t="s">
        <v>1599</v>
      </c>
      <c r="B730" s="27" t="s">
        <v>133</v>
      </c>
      <c r="C730" s="28" t="s">
        <v>138</v>
      </c>
      <c r="D730" s="27" t="s">
        <v>1536</v>
      </c>
      <c r="E730" s="27" t="s">
        <v>1585</v>
      </c>
      <c r="F730" s="29" t="s">
        <v>1586</v>
      </c>
      <c r="G730" s="30" t="n">
        <v>75015</v>
      </c>
      <c r="H730" s="31" t="s">
        <v>36</v>
      </c>
      <c r="I730" s="32" t="n">
        <v>144494030</v>
      </c>
      <c r="J730" s="33" t="n">
        <v>0</v>
      </c>
      <c r="K730" s="33" t="n">
        <v>1</v>
      </c>
      <c r="L730" s="34"/>
      <c r="M730" s="44" t="s">
        <v>321</v>
      </c>
      <c r="N730" s="36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9"/>
      <c r="Z730" s="39"/>
      <c r="AA730" s="28"/>
      <c r="AMJ730" s="0"/>
    </row>
    <row r="731" s="2" customFormat="true" ht="12.75" hidden="false" customHeight="true" outlineLevel="0" collapsed="false">
      <c r="A731" s="27" t="s">
        <v>1600</v>
      </c>
      <c r="B731" s="27" t="s">
        <v>1601</v>
      </c>
      <c r="C731" s="28" t="s">
        <v>138</v>
      </c>
      <c r="D731" s="27" t="s">
        <v>1536</v>
      </c>
      <c r="E731" s="27" t="s">
        <v>1585</v>
      </c>
      <c r="F731" s="29" t="s">
        <v>1586</v>
      </c>
      <c r="G731" s="30" t="n">
        <v>75015</v>
      </c>
      <c r="H731" s="31" t="s">
        <v>36</v>
      </c>
      <c r="I731" s="32" t="n">
        <v>144494030</v>
      </c>
      <c r="J731" s="33" t="n">
        <v>0</v>
      </c>
      <c r="K731" s="33" t="n">
        <v>1</v>
      </c>
      <c r="L731" s="34"/>
      <c r="M731" s="44" t="s">
        <v>321</v>
      </c>
      <c r="N731" s="36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9"/>
      <c r="Z731" s="39"/>
      <c r="AA731" s="28"/>
      <c r="AMJ731" s="0"/>
    </row>
    <row r="732" s="2" customFormat="true" ht="12.75" hidden="false" customHeight="true" outlineLevel="0" collapsed="false">
      <c r="A732" s="27" t="s">
        <v>1602</v>
      </c>
      <c r="B732" s="27" t="s">
        <v>1603</v>
      </c>
      <c r="C732" s="28" t="s">
        <v>138</v>
      </c>
      <c r="D732" s="27" t="s">
        <v>1536</v>
      </c>
      <c r="E732" s="27" t="s">
        <v>1585</v>
      </c>
      <c r="F732" s="29" t="s">
        <v>1586</v>
      </c>
      <c r="G732" s="30" t="n">
        <v>75015</v>
      </c>
      <c r="H732" s="31" t="s">
        <v>36</v>
      </c>
      <c r="I732" s="32" t="n">
        <v>144494030</v>
      </c>
      <c r="J732" s="33"/>
      <c r="K732" s="33"/>
      <c r="L732" s="34"/>
      <c r="M732" s="44" t="s">
        <v>321</v>
      </c>
      <c r="N732" s="36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9"/>
      <c r="Z732" s="39"/>
      <c r="AA732" s="28"/>
      <c r="AMJ732" s="0"/>
    </row>
    <row r="733" s="2" customFormat="true" ht="12.75" hidden="false" customHeight="true" outlineLevel="0" collapsed="false">
      <c r="A733" s="27" t="s">
        <v>272</v>
      </c>
      <c r="B733" s="27" t="s">
        <v>84</v>
      </c>
      <c r="C733" s="28" t="s">
        <v>41</v>
      </c>
      <c r="D733" s="27" t="s">
        <v>1536</v>
      </c>
      <c r="E733" s="27" t="s">
        <v>1585</v>
      </c>
      <c r="F733" s="29" t="s">
        <v>1586</v>
      </c>
      <c r="G733" s="30" t="n">
        <v>75015</v>
      </c>
      <c r="H733" s="31" t="s">
        <v>36</v>
      </c>
      <c r="I733" s="32" t="n">
        <v>142192728</v>
      </c>
      <c r="J733" s="33" t="n">
        <v>400</v>
      </c>
      <c r="K733" s="33"/>
      <c r="L733" s="34"/>
      <c r="M733" s="44" t="s">
        <v>321</v>
      </c>
      <c r="N733" s="36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9"/>
      <c r="Z733" s="39"/>
      <c r="AA733" s="28"/>
      <c r="AMJ733" s="0"/>
    </row>
    <row r="734" s="2" customFormat="true" ht="12.75" hidden="false" customHeight="true" outlineLevel="0" collapsed="false">
      <c r="A734" s="27" t="s">
        <v>1604</v>
      </c>
      <c r="B734" s="27" t="s">
        <v>1605</v>
      </c>
      <c r="C734" s="28" t="s">
        <v>41</v>
      </c>
      <c r="D734" s="27" t="s">
        <v>1536</v>
      </c>
      <c r="E734" s="27" t="s">
        <v>1585</v>
      </c>
      <c r="F734" s="29" t="s">
        <v>1586</v>
      </c>
      <c r="G734" s="30" t="n">
        <v>75015</v>
      </c>
      <c r="H734" s="31" t="s">
        <v>36</v>
      </c>
      <c r="I734" s="32" t="n">
        <v>144495448</v>
      </c>
      <c r="J734" s="33" t="n">
        <v>322</v>
      </c>
      <c r="K734" s="33" t="n">
        <v>1</v>
      </c>
      <c r="L734" s="34"/>
      <c r="M734" s="44" t="s">
        <v>321</v>
      </c>
      <c r="N734" s="36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9"/>
      <c r="Z734" s="39"/>
      <c r="AA734" s="28"/>
      <c r="AMJ734" s="0"/>
    </row>
    <row r="735" s="2" customFormat="true" ht="12.75" hidden="false" customHeight="true" outlineLevel="0" collapsed="false">
      <c r="A735" s="27" t="s">
        <v>1606</v>
      </c>
      <c r="B735" s="27" t="s">
        <v>234</v>
      </c>
      <c r="C735" s="28" t="s">
        <v>41</v>
      </c>
      <c r="D735" s="27" t="s">
        <v>1536</v>
      </c>
      <c r="E735" s="27" t="s">
        <v>1585</v>
      </c>
      <c r="F735" s="29" t="s">
        <v>1586</v>
      </c>
      <c r="G735" s="30" t="n">
        <v>75015</v>
      </c>
      <c r="H735" s="31" t="s">
        <v>36</v>
      </c>
      <c r="I735" s="32" t="n">
        <v>144492323</v>
      </c>
      <c r="J735" s="33" t="n">
        <v>296</v>
      </c>
      <c r="K735" s="33" t="n">
        <v>3</v>
      </c>
      <c r="L735" s="34"/>
      <c r="M735" s="44" t="s">
        <v>321</v>
      </c>
      <c r="N735" s="36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9"/>
      <c r="Z735" s="39"/>
      <c r="AA735" s="28"/>
      <c r="AMJ735" s="0"/>
    </row>
    <row r="736" s="2" customFormat="true" ht="12.75" hidden="false" customHeight="true" outlineLevel="0" collapsed="false">
      <c r="A736" s="27" t="s">
        <v>1607</v>
      </c>
      <c r="B736" s="27" t="s">
        <v>1054</v>
      </c>
      <c r="C736" s="28" t="s">
        <v>41</v>
      </c>
      <c r="D736" s="27" t="s">
        <v>1536</v>
      </c>
      <c r="E736" s="27" t="s">
        <v>1585</v>
      </c>
      <c r="F736" s="29" t="s">
        <v>1586</v>
      </c>
      <c r="G736" s="30" t="n">
        <v>75015</v>
      </c>
      <c r="H736" s="31" t="s">
        <v>36</v>
      </c>
      <c r="I736" s="32"/>
      <c r="J736" s="33" t="n">
        <v>240</v>
      </c>
      <c r="K736" s="33" t="n">
        <v>1</v>
      </c>
      <c r="L736" s="34"/>
      <c r="M736" s="44" t="s">
        <v>321</v>
      </c>
      <c r="N736" s="36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9"/>
      <c r="Z736" s="39"/>
      <c r="AA736" s="28"/>
      <c r="AMJ736" s="0"/>
    </row>
    <row r="737" s="2" customFormat="true" ht="12.75" hidden="false" customHeight="true" outlineLevel="0" collapsed="false">
      <c r="A737" s="27" t="s">
        <v>1608</v>
      </c>
      <c r="B737" s="27" t="s">
        <v>94</v>
      </c>
      <c r="C737" s="28" t="s">
        <v>41</v>
      </c>
      <c r="D737" s="27" t="s">
        <v>1536</v>
      </c>
      <c r="E737" s="27" t="s">
        <v>1585</v>
      </c>
      <c r="F737" s="29" t="s">
        <v>1586</v>
      </c>
      <c r="G737" s="30" t="n">
        <v>75015</v>
      </c>
      <c r="H737" s="31" t="s">
        <v>36</v>
      </c>
      <c r="I737" s="32" t="n">
        <v>144492323</v>
      </c>
      <c r="J737" s="33" t="n">
        <v>215</v>
      </c>
      <c r="K737" s="33" t="n">
        <v>1</v>
      </c>
      <c r="L737" s="34"/>
      <c r="M737" s="44" t="s">
        <v>321</v>
      </c>
      <c r="N737" s="36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9"/>
      <c r="Z737" s="39"/>
      <c r="AA737" s="28"/>
      <c r="AMJ737" s="0"/>
    </row>
    <row r="738" s="2" customFormat="true" ht="12.75" hidden="false" customHeight="true" outlineLevel="0" collapsed="false">
      <c r="A738" s="27" t="s">
        <v>1609</v>
      </c>
      <c r="B738" s="27" t="s">
        <v>1610</v>
      </c>
      <c r="C738" s="28" t="s">
        <v>41</v>
      </c>
      <c r="D738" s="27" t="s">
        <v>1536</v>
      </c>
      <c r="E738" s="27" t="s">
        <v>1585</v>
      </c>
      <c r="F738" s="29" t="s">
        <v>1586</v>
      </c>
      <c r="G738" s="30" t="n">
        <v>75015</v>
      </c>
      <c r="H738" s="31" t="s">
        <v>36</v>
      </c>
      <c r="I738" s="32" t="n">
        <v>144492323</v>
      </c>
      <c r="J738" s="33" t="n">
        <v>201</v>
      </c>
      <c r="K738" s="33" t="n">
        <v>1</v>
      </c>
      <c r="L738" s="34"/>
      <c r="M738" s="44" t="s">
        <v>321</v>
      </c>
      <c r="N738" s="36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9"/>
      <c r="Z738" s="39"/>
      <c r="AA738" s="28"/>
      <c r="AMJ738" s="0"/>
    </row>
    <row r="739" s="2" customFormat="true" ht="12.75" hidden="false" customHeight="true" outlineLevel="0" collapsed="false">
      <c r="A739" s="27" t="s">
        <v>1611</v>
      </c>
      <c r="B739" s="27" t="s">
        <v>749</v>
      </c>
      <c r="C739" s="28" t="s">
        <v>41</v>
      </c>
      <c r="D739" s="27" t="s">
        <v>1536</v>
      </c>
      <c r="E739" s="27" t="s">
        <v>1585</v>
      </c>
      <c r="F739" s="29" t="s">
        <v>1586</v>
      </c>
      <c r="G739" s="30" t="n">
        <v>75015</v>
      </c>
      <c r="H739" s="31" t="s">
        <v>36</v>
      </c>
      <c r="I739" s="32" t="n">
        <v>142192623</v>
      </c>
      <c r="J739" s="33" t="n">
        <v>201</v>
      </c>
      <c r="K739" s="33" t="n">
        <v>1</v>
      </c>
      <c r="L739" s="34"/>
      <c r="M739" s="44" t="s">
        <v>321</v>
      </c>
      <c r="N739" s="36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9"/>
      <c r="Z739" s="39"/>
      <c r="AA739" s="28"/>
      <c r="AMJ739" s="0"/>
    </row>
    <row r="740" s="2" customFormat="true" ht="12.75" hidden="false" customHeight="true" outlineLevel="0" collapsed="false">
      <c r="A740" s="27" t="s">
        <v>1612</v>
      </c>
      <c r="B740" s="27" t="s">
        <v>1613</v>
      </c>
      <c r="C740" s="28" t="s">
        <v>41</v>
      </c>
      <c r="D740" s="27" t="s">
        <v>1536</v>
      </c>
      <c r="E740" s="27" t="s">
        <v>1585</v>
      </c>
      <c r="F740" s="29" t="s">
        <v>1586</v>
      </c>
      <c r="G740" s="30" t="n">
        <v>75015</v>
      </c>
      <c r="H740" s="31" t="s">
        <v>36</v>
      </c>
      <c r="I740" s="32" t="n">
        <v>144492323</v>
      </c>
      <c r="J740" s="33" t="n">
        <v>198</v>
      </c>
      <c r="K740" s="33" t="n">
        <v>1</v>
      </c>
      <c r="L740" s="34"/>
      <c r="M740" s="44" t="s">
        <v>321</v>
      </c>
      <c r="N740" s="36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9"/>
      <c r="Z740" s="39"/>
      <c r="AA740" s="28"/>
      <c r="AMJ740" s="0"/>
    </row>
    <row r="741" s="2" customFormat="true" ht="12.75" hidden="false" customHeight="true" outlineLevel="0" collapsed="false">
      <c r="A741" s="27" t="s">
        <v>1614</v>
      </c>
      <c r="B741" s="27" t="s">
        <v>1615</v>
      </c>
      <c r="C741" s="28" t="s">
        <v>41</v>
      </c>
      <c r="D741" s="27" t="s">
        <v>1536</v>
      </c>
      <c r="E741" s="27" t="s">
        <v>1585</v>
      </c>
      <c r="F741" s="29" t="s">
        <v>1586</v>
      </c>
      <c r="G741" s="30" t="n">
        <v>75015</v>
      </c>
      <c r="H741" s="31" t="s">
        <v>36</v>
      </c>
      <c r="I741" s="32" t="n">
        <v>144495980</v>
      </c>
      <c r="J741" s="33" t="n">
        <v>197</v>
      </c>
      <c r="K741" s="33" t="n">
        <v>1</v>
      </c>
      <c r="L741" s="34"/>
      <c r="M741" s="44" t="s">
        <v>321</v>
      </c>
      <c r="N741" s="36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9"/>
      <c r="Z741" s="39"/>
      <c r="AA741" s="28"/>
      <c r="AMJ741" s="0"/>
    </row>
    <row r="742" s="2" customFormat="true" ht="12.75" hidden="false" customHeight="true" outlineLevel="0" collapsed="false">
      <c r="A742" s="27" t="s">
        <v>1616</v>
      </c>
      <c r="B742" s="27" t="s">
        <v>133</v>
      </c>
      <c r="C742" s="28" t="s">
        <v>41</v>
      </c>
      <c r="D742" s="27" t="s">
        <v>1536</v>
      </c>
      <c r="E742" s="27" t="s">
        <v>1585</v>
      </c>
      <c r="F742" s="29" t="s">
        <v>1586</v>
      </c>
      <c r="G742" s="30" t="n">
        <v>75015</v>
      </c>
      <c r="H742" s="31" t="s">
        <v>36</v>
      </c>
      <c r="I742" s="32" t="n">
        <v>144492323</v>
      </c>
      <c r="J742" s="33" t="n">
        <v>196</v>
      </c>
      <c r="K742" s="33" t="n">
        <v>1</v>
      </c>
      <c r="L742" s="34"/>
      <c r="M742" s="44" t="s">
        <v>321</v>
      </c>
      <c r="N742" s="36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9"/>
      <c r="Z742" s="39"/>
      <c r="AA742" s="28"/>
      <c r="AMJ742" s="0"/>
    </row>
    <row r="743" s="2" customFormat="true" ht="12.75" hidden="false" customHeight="true" outlineLevel="0" collapsed="false">
      <c r="A743" s="27" t="s">
        <v>1617</v>
      </c>
      <c r="B743" s="27" t="s">
        <v>189</v>
      </c>
      <c r="C743" s="28" t="s">
        <v>41</v>
      </c>
      <c r="D743" s="27" t="s">
        <v>1536</v>
      </c>
      <c r="E743" s="27" t="s">
        <v>1585</v>
      </c>
      <c r="F743" s="29" t="s">
        <v>1586</v>
      </c>
      <c r="G743" s="30" t="n">
        <v>75015</v>
      </c>
      <c r="H743" s="31" t="s">
        <v>36</v>
      </c>
      <c r="I743" s="32" t="n">
        <v>144381507</v>
      </c>
      <c r="J743" s="33" t="n">
        <v>196</v>
      </c>
      <c r="K743" s="33"/>
      <c r="L743" s="34"/>
      <c r="M743" s="44" t="s">
        <v>321</v>
      </c>
      <c r="N743" s="36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9"/>
      <c r="Z743" s="39"/>
      <c r="AA743" s="28"/>
      <c r="AMJ743" s="0"/>
    </row>
    <row r="744" s="2" customFormat="true" ht="12.75" hidden="false" customHeight="true" outlineLevel="0" collapsed="false">
      <c r="A744" s="27" t="s">
        <v>1618</v>
      </c>
      <c r="B744" s="27" t="s">
        <v>217</v>
      </c>
      <c r="C744" s="28" t="s">
        <v>41</v>
      </c>
      <c r="D744" s="27" t="s">
        <v>1536</v>
      </c>
      <c r="E744" s="27" t="s">
        <v>1585</v>
      </c>
      <c r="F744" s="29" t="s">
        <v>1586</v>
      </c>
      <c r="G744" s="30" t="n">
        <v>75015</v>
      </c>
      <c r="H744" s="31" t="s">
        <v>36</v>
      </c>
      <c r="I744" s="32" t="n">
        <v>144492323</v>
      </c>
      <c r="J744" s="33" t="n">
        <v>196</v>
      </c>
      <c r="K744" s="33" t="n">
        <v>1</v>
      </c>
      <c r="L744" s="34"/>
      <c r="M744" s="44" t="s">
        <v>321</v>
      </c>
      <c r="N744" s="36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9"/>
      <c r="Z744" s="39"/>
      <c r="AA744" s="28"/>
      <c r="AMJ744" s="0"/>
    </row>
    <row r="745" s="2" customFormat="true" ht="12.75" hidden="false" customHeight="true" outlineLevel="0" collapsed="false">
      <c r="A745" s="27" t="s">
        <v>1619</v>
      </c>
      <c r="B745" s="27" t="s">
        <v>1620</v>
      </c>
      <c r="C745" s="28" t="s">
        <v>41</v>
      </c>
      <c r="D745" s="27" t="s">
        <v>1536</v>
      </c>
      <c r="E745" s="27" t="s">
        <v>1585</v>
      </c>
      <c r="F745" s="29" t="s">
        <v>1586</v>
      </c>
      <c r="G745" s="30" t="n">
        <v>75015</v>
      </c>
      <c r="H745" s="31" t="s">
        <v>36</v>
      </c>
      <c r="I745" s="32" t="n">
        <v>144492323</v>
      </c>
      <c r="J745" s="33" t="n">
        <v>196</v>
      </c>
      <c r="K745" s="33" t="n">
        <v>1</v>
      </c>
      <c r="L745" s="34"/>
      <c r="M745" s="44" t="s">
        <v>321</v>
      </c>
      <c r="N745" s="36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9"/>
      <c r="Z745" s="39"/>
      <c r="AA745" s="28"/>
      <c r="AMJ745" s="0"/>
    </row>
    <row r="746" s="2" customFormat="true" ht="12.75" hidden="false" customHeight="true" outlineLevel="0" collapsed="false">
      <c r="A746" s="27" t="s">
        <v>1621</v>
      </c>
      <c r="B746" s="27" t="s">
        <v>884</v>
      </c>
      <c r="C746" s="28" t="s">
        <v>41</v>
      </c>
      <c r="D746" s="27" t="s">
        <v>1536</v>
      </c>
      <c r="E746" s="27" t="s">
        <v>1585</v>
      </c>
      <c r="F746" s="29" t="s">
        <v>1586</v>
      </c>
      <c r="G746" s="30" t="n">
        <v>75015</v>
      </c>
      <c r="H746" s="31" t="s">
        <v>36</v>
      </c>
      <c r="I746" s="32" t="n">
        <v>144494315</v>
      </c>
      <c r="J746" s="33" t="n">
        <v>195</v>
      </c>
      <c r="K746" s="33" t="n">
        <v>1</v>
      </c>
      <c r="L746" s="34"/>
      <c r="M746" s="44" t="s">
        <v>321</v>
      </c>
      <c r="N746" s="36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9"/>
      <c r="Z746" s="39"/>
      <c r="AA746" s="28"/>
      <c r="AMJ746" s="0"/>
    </row>
    <row r="747" s="2" customFormat="true" ht="12.75" hidden="false" customHeight="true" outlineLevel="0" collapsed="false">
      <c r="A747" s="27" t="s">
        <v>1622</v>
      </c>
      <c r="B747" s="27" t="s">
        <v>1623</v>
      </c>
      <c r="C747" s="28" t="s">
        <v>41</v>
      </c>
      <c r="D747" s="27" t="s">
        <v>1536</v>
      </c>
      <c r="E747" s="27" t="s">
        <v>1585</v>
      </c>
      <c r="F747" s="29" t="s">
        <v>1586</v>
      </c>
      <c r="G747" s="30" t="n">
        <v>75015</v>
      </c>
      <c r="H747" s="31" t="s">
        <v>36</v>
      </c>
      <c r="I747" s="32" t="n">
        <v>144492323</v>
      </c>
      <c r="J747" s="33" t="n">
        <v>195</v>
      </c>
      <c r="K747" s="33" t="n">
        <v>1</v>
      </c>
      <c r="L747" s="34"/>
      <c r="M747" s="44" t="s">
        <v>321</v>
      </c>
      <c r="N747" s="36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9"/>
      <c r="Z747" s="39"/>
      <c r="AA747" s="28"/>
      <c r="AMJ747" s="0"/>
    </row>
    <row r="748" s="2" customFormat="true" ht="12.75" hidden="false" customHeight="true" outlineLevel="0" collapsed="false">
      <c r="A748" s="27" t="s">
        <v>1417</v>
      </c>
      <c r="B748" s="27" t="s">
        <v>195</v>
      </c>
      <c r="C748" s="28" t="s">
        <v>41</v>
      </c>
      <c r="D748" s="27" t="s">
        <v>1536</v>
      </c>
      <c r="E748" s="27" t="s">
        <v>1585</v>
      </c>
      <c r="F748" s="29" t="s">
        <v>1586</v>
      </c>
      <c r="G748" s="30" t="n">
        <v>75015</v>
      </c>
      <c r="H748" s="31" t="s">
        <v>36</v>
      </c>
      <c r="I748" s="32" t="n">
        <v>144492323</v>
      </c>
      <c r="J748" s="33" t="n">
        <v>195</v>
      </c>
      <c r="K748" s="33" t="n">
        <v>0</v>
      </c>
      <c r="L748" s="34"/>
      <c r="M748" s="44" t="s">
        <v>321</v>
      </c>
      <c r="N748" s="36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9"/>
      <c r="Z748" s="39"/>
      <c r="AA748" s="28"/>
      <c r="AMJ748" s="0"/>
    </row>
    <row r="749" s="2" customFormat="true" ht="12.75" hidden="false" customHeight="true" outlineLevel="0" collapsed="false">
      <c r="A749" s="27" t="s">
        <v>1624</v>
      </c>
      <c r="B749" s="27" t="s">
        <v>527</v>
      </c>
      <c r="C749" s="28" t="s">
        <v>41</v>
      </c>
      <c r="D749" s="27" t="s">
        <v>1536</v>
      </c>
      <c r="E749" s="27" t="s">
        <v>1585</v>
      </c>
      <c r="F749" s="29" t="s">
        <v>1586</v>
      </c>
      <c r="G749" s="30" t="n">
        <v>75015</v>
      </c>
      <c r="H749" s="31" t="s">
        <v>36</v>
      </c>
      <c r="I749" s="32" t="n">
        <v>144492323</v>
      </c>
      <c r="J749" s="33" t="n">
        <v>195</v>
      </c>
      <c r="K749" s="33" t="n">
        <v>1</v>
      </c>
      <c r="L749" s="34"/>
      <c r="M749" s="44" t="s">
        <v>321</v>
      </c>
      <c r="N749" s="36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9"/>
      <c r="Z749" s="39"/>
      <c r="AA749" s="28"/>
      <c r="AMJ749" s="0"/>
    </row>
    <row r="750" s="2" customFormat="true" ht="12.75" hidden="false" customHeight="true" outlineLevel="0" collapsed="false">
      <c r="A750" s="27" t="s">
        <v>606</v>
      </c>
      <c r="B750" s="27" t="s">
        <v>1004</v>
      </c>
      <c r="C750" s="28" t="s">
        <v>41</v>
      </c>
      <c r="D750" s="27" t="s">
        <v>1536</v>
      </c>
      <c r="E750" s="27" t="s">
        <v>1585</v>
      </c>
      <c r="F750" s="29" t="s">
        <v>1586</v>
      </c>
      <c r="G750" s="30" t="n">
        <v>75015</v>
      </c>
      <c r="H750" s="31" t="s">
        <v>36</v>
      </c>
      <c r="I750" s="32" t="n">
        <v>144494612</v>
      </c>
      <c r="J750" s="33" t="n">
        <v>195</v>
      </c>
      <c r="K750" s="33" t="n">
        <v>1</v>
      </c>
      <c r="L750" s="34"/>
      <c r="M750" s="44" t="s">
        <v>321</v>
      </c>
      <c r="N750" s="36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9"/>
      <c r="Z750" s="39"/>
      <c r="AA750" s="28"/>
      <c r="AMJ750" s="0"/>
    </row>
    <row r="751" s="2" customFormat="true" ht="12.75" hidden="false" customHeight="true" outlineLevel="0" collapsed="false">
      <c r="A751" s="27" t="s">
        <v>1625</v>
      </c>
      <c r="B751" s="27" t="s">
        <v>1626</v>
      </c>
      <c r="C751" s="28" t="s">
        <v>41</v>
      </c>
      <c r="D751" s="27" t="s">
        <v>1536</v>
      </c>
      <c r="E751" s="27" t="s">
        <v>1585</v>
      </c>
      <c r="F751" s="29" t="s">
        <v>1586</v>
      </c>
      <c r="G751" s="30" t="n">
        <v>75015</v>
      </c>
      <c r="H751" s="31" t="s">
        <v>36</v>
      </c>
      <c r="I751" s="32" t="n">
        <v>144492323</v>
      </c>
      <c r="J751" s="33" t="n">
        <v>195</v>
      </c>
      <c r="K751" s="33" t="n">
        <v>0</v>
      </c>
      <c r="L751" s="34"/>
      <c r="M751" s="44" t="s">
        <v>321</v>
      </c>
      <c r="N751" s="36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9"/>
      <c r="Z751" s="39"/>
      <c r="AA751" s="28"/>
      <c r="AMJ751" s="0"/>
    </row>
    <row r="752" s="2" customFormat="true" ht="12.75" hidden="false" customHeight="true" outlineLevel="0" collapsed="false">
      <c r="A752" s="27" t="s">
        <v>1627</v>
      </c>
      <c r="B752" s="27" t="s">
        <v>1628</v>
      </c>
      <c r="C752" s="28" t="s">
        <v>41</v>
      </c>
      <c r="D752" s="27" t="s">
        <v>1536</v>
      </c>
      <c r="E752" s="27" t="s">
        <v>1585</v>
      </c>
      <c r="F752" s="29" t="s">
        <v>1586</v>
      </c>
      <c r="G752" s="30" t="n">
        <v>75015</v>
      </c>
      <c r="H752" s="31" t="s">
        <v>36</v>
      </c>
      <c r="I752" s="32" t="n">
        <v>144492323</v>
      </c>
      <c r="J752" s="33" t="n">
        <v>195</v>
      </c>
      <c r="K752" s="33" t="n">
        <v>3</v>
      </c>
      <c r="L752" s="34"/>
      <c r="M752" s="44" t="s">
        <v>321</v>
      </c>
      <c r="N752" s="36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9"/>
      <c r="Z752" s="39"/>
      <c r="AA752" s="28"/>
      <c r="AMJ752" s="0"/>
    </row>
    <row r="753" s="2" customFormat="true" ht="12.75" hidden="false" customHeight="true" outlineLevel="0" collapsed="false">
      <c r="A753" s="27" t="s">
        <v>484</v>
      </c>
      <c r="B753" s="27" t="s">
        <v>172</v>
      </c>
      <c r="C753" s="28" t="s">
        <v>41</v>
      </c>
      <c r="D753" s="27" t="s">
        <v>1536</v>
      </c>
      <c r="E753" s="27" t="s">
        <v>1585</v>
      </c>
      <c r="F753" s="29" t="s">
        <v>1586</v>
      </c>
      <c r="G753" s="30" t="n">
        <v>75015</v>
      </c>
      <c r="H753" s="31" t="s">
        <v>36</v>
      </c>
      <c r="I753" s="32" t="n">
        <v>144492323</v>
      </c>
      <c r="J753" s="33" t="n">
        <v>195</v>
      </c>
      <c r="K753" s="33" t="n">
        <v>1</v>
      </c>
      <c r="L753" s="34"/>
      <c r="M753" s="44" t="s">
        <v>321</v>
      </c>
      <c r="N753" s="36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9"/>
      <c r="Z753" s="39"/>
      <c r="AA753" s="28"/>
      <c r="AMJ753" s="0"/>
    </row>
    <row r="754" s="2" customFormat="true" ht="12.75" hidden="false" customHeight="true" outlineLevel="0" collapsed="false">
      <c r="A754" s="27" t="s">
        <v>1629</v>
      </c>
      <c r="B754" s="27" t="s">
        <v>1630</v>
      </c>
      <c r="C754" s="28" t="s">
        <v>41</v>
      </c>
      <c r="D754" s="27" t="s">
        <v>1536</v>
      </c>
      <c r="E754" s="27" t="s">
        <v>1585</v>
      </c>
      <c r="F754" s="29" t="s">
        <v>1586</v>
      </c>
      <c r="G754" s="30" t="n">
        <v>75015</v>
      </c>
      <c r="H754" s="31" t="s">
        <v>36</v>
      </c>
      <c r="I754" s="32" t="n">
        <v>144492323</v>
      </c>
      <c r="J754" s="33" t="n">
        <v>194</v>
      </c>
      <c r="K754" s="33" t="n">
        <v>1</v>
      </c>
      <c r="L754" s="34"/>
      <c r="M754" s="44" t="s">
        <v>321</v>
      </c>
      <c r="N754" s="36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9"/>
      <c r="Z754" s="39"/>
      <c r="AA754" s="28"/>
      <c r="AMJ754" s="0"/>
    </row>
    <row r="755" s="2" customFormat="true" ht="12.75" hidden="false" customHeight="true" outlineLevel="0" collapsed="false">
      <c r="A755" s="27" t="s">
        <v>1631</v>
      </c>
      <c r="B755" s="27" t="s">
        <v>1632</v>
      </c>
      <c r="C755" s="28" t="s">
        <v>41</v>
      </c>
      <c r="D755" s="27" t="s">
        <v>1536</v>
      </c>
      <c r="E755" s="27" t="s">
        <v>1585</v>
      </c>
      <c r="F755" s="29" t="s">
        <v>1586</v>
      </c>
      <c r="G755" s="30" t="n">
        <v>75015</v>
      </c>
      <c r="H755" s="31" t="s">
        <v>36</v>
      </c>
      <c r="I755" s="32" t="n">
        <v>144492323</v>
      </c>
      <c r="J755" s="33" t="n">
        <v>194</v>
      </c>
      <c r="K755" s="33" t="n">
        <v>1</v>
      </c>
      <c r="L755" s="34"/>
      <c r="M755" s="44" t="s">
        <v>321</v>
      </c>
      <c r="N755" s="36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9"/>
      <c r="Z755" s="39"/>
      <c r="AA755" s="28"/>
      <c r="AMJ755" s="0"/>
    </row>
    <row r="756" s="2" customFormat="true" ht="12.75" hidden="false" customHeight="true" outlineLevel="0" collapsed="false">
      <c r="A756" s="27" t="s">
        <v>1633</v>
      </c>
      <c r="B756" s="27" t="s">
        <v>425</v>
      </c>
      <c r="C756" s="28" t="s">
        <v>41</v>
      </c>
      <c r="D756" s="27" t="s">
        <v>1536</v>
      </c>
      <c r="E756" s="27" t="s">
        <v>1585</v>
      </c>
      <c r="F756" s="29" t="s">
        <v>1586</v>
      </c>
      <c r="G756" s="30" t="n">
        <v>75015</v>
      </c>
      <c r="H756" s="31" t="s">
        <v>36</v>
      </c>
      <c r="I756" s="32" t="n">
        <v>144494085</v>
      </c>
      <c r="J756" s="33" t="n">
        <v>191</v>
      </c>
      <c r="K756" s="33" t="n">
        <v>1</v>
      </c>
      <c r="L756" s="34"/>
      <c r="M756" s="44" t="s">
        <v>321</v>
      </c>
      <c r="N756" s="36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9"/>
      <c r="Z756" s="39"/>
      <c r="AA756" s="28"/>
      <c r="AMJ756" s="0"/>
    </row>
    <row r="757" s="2" customFormat="true" ht="12.75" hidden="false" customHeight="true" outlineLevel="0" collapsed="false">
      <c r="A757" s="27" t="s">
        <v>1634</v>
      </c>
      <c r="B757" s="27" t="s">
        <v>1635</v>
      </c>
      <c r="C757" s="28" t="s">
        <v>41</v>
      </c>
      <c r="D757" s="27" t="s">
        <v>1536</v>
      </c>
      <c r="E757" s="27" t="s">
        <v>1585</v>
      </c>
      <c r="F757" s="29" t="s">
        <v>1586</v>
      </c>
      <c r="G757" s="30" t="n">
        <v>75015</v>
      </c>
      <c r="H757" s="31" t="s">
        <v>36</v>
      </c>
      <c r="I757" s="32" t="n">
        <v>144495372</v>
      </c>
      <c r="J757" s="33" t="n">
        <v>186</v>
      </c>
      <c r="K757" s="33" t="n">
        <v>0</v>
      </c>
      <c r="L757" s="34"/>
      <c r="M757" s="44" t="s">
        <v>321</v>
      </c>
      <c r="N757" s="36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9"/>
      <c r="Z757" s="39"/>
      <c r="AA757" s="28"/>
      <c r="AMJ757" s="0"/>
    </row>
    <row r="758" s="2" customFormat="true" ht="12.75" hidden="false" customHeight="true" outlineLevel="0" collapsed="false">
      <c r="A758" s="27" t="s">
        <v>1636</v>
      </c>
      <c r="B758" s="27" t="s">
        <v>92</v>
      </c>
      <c r="C758" s="28" t="s">
        <v>41</v>
      </c>
      <c r="D758" s="27" t="s">
        <v>1536</v>
      </c>
      <c r="E758" s="27" t="s">
        <v>1585</v>
      </c>
      <c r="F758" s="29" t="s">
        <v>1586</v>
      </c>
      <c r="G758" s="30" t="n">
        <v>75015</v>
      </c>
      <c r="H758" s="31" t="s">
        <v>36</v>
      </c>
      <c r="I758" s="32" t="n">
        <v>144492323</v>
      </c>
      <c r="J758" s="33" t="n">
        <v>168</v>
      </c>
      <c r="K758" s="33" t="n">
        <v>1</v>
      </c>
      <c r="L758" s="34"/>
      <c r="M758" s="44" t="s">
        <v>321</v>
      </c>
      <c r="N758" s="36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9"/>
      <c r="Z758" s="39"/>
      <c r="AA758" s="28"/>
      <c r="AMJ758" s="0"/>
    </row>
    <row r="759" s="2" customFormat="true" ht="12.75" hidden="false" customHeight="true" outlineLevel="0" collapsed="false">
      <c r="A759" s="27" t="s">
        <v>1637</v>
      </c>
      <c r="B759" s="27" t="s">
        <v>1638</v>
      </c>
      <c r="C759" s="28" t="s">
        <v>41</v>
      </c>
      <c r="D759" s="27" t="s">
        <v>1536</v>
      </c>
      <c r="E759" s="27" t="s">
        <v>1585</v>
      </c>
      <c r="F759" s="29" t="s">
        <v>1586</v>
      </c>
      <c r="G759" s="30" t="n">
        <v>75015</v>
      </c>
      <c r="H759" s="31" t="s">
        <v>36</v>
      </c>
      <c r="I759" s="32" t="n">
        <v>144494292</v>
      </c>
      <c r="J759" s="33" t="n">
        <v>165</v>
      </c>
      <c r="K759" s="33" t="n">
        <v>1</v>
      </c>
      <c r="L759" s="34"/>
      <c r="M759" s="44" t="s">
        <v>321</v>
      </c>
      <c r="N759" s="36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9"/>
      <c r="Z759" s="39"/>
      <c r="AA759" s="28"/>
      <c r="AMJ759" s="0"/>
    </row>
    <row r="760" s="2" customFormat="true" ht="12.75" hidden="false" customHeight="true" outlineLevel="0" collapsed="false">
      <c r="A760" s="27" t="s">
        <v>1639</v>
      </c>
      <c r="B760" s="27" t="s">
        <v>1640</v>
      </c>
      <c r="C760" s="28" t="s">
        <v>41</v>
      </c>
      <c r="D760" s="27" t="s">
        <v>1536</v>
      </c>
      <c r="E760" s="27" t="s">
        <v>1585</v>
      </c>
      <c r="F760" s="29" t="s">
        <v>1586</v>
      </c>
      <c r="G760" s="30" t="n">
        <v>75015</v>
      </c>
      <c r="H760" s="31" t="s">
        <v>36</v>
      </c>
      <c r="I760" s="32" t="n">
        <v>144492323</v>
      </c>
      <c r="J760" s="33" t="n">
        <v>156</v>
      </c>
      <c r="K760" s="33" t="n">
        <v>0</v>
      </c>
      <c r="L760" s="34"/>
      <c r="M760" s="44" t="s">
        <v>321</v>
      </c>
      <c r="N760" s="36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9"/>
      <c r="Z760" s="39"/>
      <c r="AA760" s="28"/>
      <c r="AMJ760" s="0"/>
    </row>
    <row r="761" s="2" customFormat="true" ht="12.75" hidden="false" customHeight="true" outlineLevel="0" collapsed="false">
      <c r="A761" s="27" t="s">
        <v>1641</v>
      </c>
      <c r="B761" s="27" t="s">
        <v>133</v>
      </c>
      <c r="C761" s="28" t="s">
        <v>41</v>
      </c>
      <c r="D761" s="27" t="s">
        <v>1536</v>
      </c>
      <c r="E761" s="27" t="s">
        <v>1585</v>
      </c>
      <c r="F761" s="29" t="s">
        <v>1586</v>
      </c>
      <c r="G761" s="30" t="n">
        <v>75015</v>
      </c>
      <c r="H761" s="31" t="s">
        <v>36</v>
      </c>
      <c r="I761" s="32" t="n">
        <v>144492323</v>
      </c>
      <c r="J761" s="33" t="n">
        <v>124</v>
      </c>
      <c r="K761" s="33" t="n">
        <v>1</v>
      </c>
      <c r="L761" s="34"/>
      <c r="M761" s="44" t="s">
        <v>321</v>
      </c>
      <c r="N761" s="36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9"/>
      <c r="Z761" s="39"/>
      <c r="AA761" s="28"/>
      <c r="AMJ761" s="0"/>
    </row>
    <row r="762" s="2" customFormat="true" ht="12.75" hidden="false" customHeight="true" outlineLevel="0" collapsed="false">
      <c r="A762" s="27" t="s">
        <v>1642</v>
      </c>
      <c r="B762" s="27" t="s">
        <v>210</v>
      </c>
      <c r="C762" s="28" t="s">
        <v>41</v>
      </c>
      <c r="D762" s="27" t="s">
        <v>1536</v>
      </c>
      <c r="E762" s="27" t="s">
        <v>1585</v>
      </c>
      <c r="F762" s="29" t="s">
        <v>1586</v>
      </c>
      <c r="G762" s="30" t="n">
        <v>75015</v>
      </c>
      <c r="H762" s="31" t="s">
        <v>36</v>
      </c>
      <c r="I762" s="32" t="n">
        <v>144381992</v>
      </c>
      <c r="J762" s="33" t="n">
        <v>115</v>
      </c>
      <c r="K762" s="33" t="n">
        <v>1</v>
      </c>
      <c r="L762" s="34"/>
      <c r="M762" s="44" t="s">
        <v>321</v>
      </c>
      <c r="N762" s="36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9"/>
      <c r="Z762" s="39"/>
      <c r="AA762" s="28"/>
      <c r="AMJ762" s="0"/>
    </row>
    <row r="763" s="2" customFormat="true" ht="12.75" hidden="false" customHeight="true" outlineLevel="0" collapsed="false">
      <c r="A763" s="27" t="s">
        <v>1643</v>
      </c>
      <c r="B763" s="27" t="s">
        <v>760</v>
      </c>
      <c r="C763" s="28" t="s">
        <v>41</v>
      </c>
      <c r="D763" s="27" t="s">
        <v>1536</v>
      </c>
      <c r="E763" s="27" t="s">
        <v>1585</v>
      </c>
      <c r="F763" s="29" t="s">
        <v>1586</v>
      </c>
      <c r="G763" s="30" t="n">
        <v>75015</v>
      </c>
      <c r="H763" s="31" t="s">
        <v>36</v>
      </c>
      <c r="I763" s="32" t="n">
        <v>144494331</v>
      </c>
      <c r="J763" s="33" t="n">
        <v>11</v>
      </c>
      <c r="K763" s="33" t="n">
        <v>3</v>
      </c>
      <c r="L763" s="34"/>
      <c r="M763" s="44" t="s">
        <v>321</v>
      </c>
      <c r="N763" s="36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9"/>
      <c r="Z763" s="39"/>
      <c r="AA763" s="28"/>
      <c r="AMJ763" s="0"/>
    </row>
    <row r="764" s="2" customFormat="true" ht="12.75" hidden="false" customHeight="true" outlineLevel="0" collapsed="false">
      <c r="A764" s="27" t="s">
        <v>1644</v>
      </c>
      <c r="B764" s="27" t="s">
        <v>47</v>
      </c>
      <c r="C764" s="28" t="s">
        <v>41</v>
      </c>
      <c r="D764" s="27" t="s">
        <v>1536</v>
      </c>
      <c r="E764" s="27" t="s">
        <v>1585</v>
      </c>
      <c r="F764" s="29" t="s">
        <v>1586</v>
      </c>
      <c r="G764" s="30" t="n">
        <v>75015</v>
      </c>
      <c r="H764" s="31" t="s">
        <v>36</v>
      </c>
      <c r="I764" s="32" t="n">
        <v>144494292</v>
      </c>
      <c r="J764" s="33" t="n">
        <v>0</v>
      </c>
      <c r="K764" s="33" t="n">
        <v>2</v>
      </c>
      <c r="L764" s="34"/>
      <c r="M764" s="44" t="s">
        <v>321</v>
      </c>
      <c r="N764" s="36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9"/>
      <c r="Z764" s="39"/>
      <c r="AA764" s="28"/>
      <c r="AMJ764" s="0"/>
    </row>
    <row r="765" s="2" customFormat="true" ht="12.75" hidden="false" customHeight="true" outlineLevel="0" collapsed="false">
      <c r="A765" s="27" t="s">
        <v>1645</v>
      </c>
      <c r="B765" s="27" t="s">
        <v>1646</v>
      </c>
      <c r="C765" s="28" t="s">
        <v>77</v>
      </c>
      <c r="D765" s="27" t="s">
        <v>1536</v>
      </c>
      <c r="E765" s="27" t="s">
        <v>1585</v>
      </c>
      <c r="F765" s="29" t="s">
        <v>1586</v>
      </c>
      <c r="G765" s="30" t="n">
        <v>75015</v>
      </c>
      <c r="H765" s="31" t="s">
        <v>36</v>
      </c>
      <c r="I765" s="32" t="n">
        <v>144494854</v>
      </c>
      <c r="J765" s="33" t="n">
        <v>400</v>
      </c>
      <c r="K765" s="33"/>
      <c r="L765" s="34"/>
      <c r="M765" s="44" t="s">
        <v>321</v>
      </c>
      <c r="N765" s="36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9"/>
      <c r="Z765" s="39"/>
      <c r="AA765" s="28"/>
      <c r="AMJ765" s="0"/>
    </row>
    <row r="766" s="2" customFormat="true" ht="12.75" hidden="false" customHeight="true" outlineLevel="0" collapsed="false">
      <c r="A766" s="27" t="s">
        <v>1647</v>
      </c>
      <c r="B766" s="27" t="s">
        <v>1648</v>
      </c>
      <c r="C766" s="28" t="s">
        <v>77</v>
      </c>
      <c r="D766" s="27" t="s">
        <v>1536</v>
      </c>
      <c r="E766" s="27" t="s">
        <v>1585</v>
      </c>
      <c r="F766" s="29" t="s">
        <v>1586</v>
      </c>
      <c r="G766" s="30" t="n">
        <v>75015</v>
      </c>
      <c r="H766" s="31" t="s">
        <v>36</v>
      </c>
      <c r="I766" s="32" t="n">
        <v>144494854</v>
      </c>
      <c r="J766" s="33" t="n">
        <v>221</v>
      </c>
      <c r="K766" s="33"/>
      <c r="L766" s="34"/>
      <c r="M766" s="44" t="s">
        <v>321</v>
      </c>
      <c r="N766" s="36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9"/>
      <c r="Z766" s="39"/>
      <c r="AA766" s="28"/>
      <c r="AMJ766" s="0"/>
    </row>
    <row r="767" s="2" customFormat="true" ht="12.75" hidden="false" customHeight="true" outlineLevel="0" collapsed="false">
      <c r="A767" s="27" t="s">
        <v>1649</v>
      </c>
      <c r="B767" s="27" t="s">
        <v>232</v>
      </c>
      <c r="C767" s="28" t="s">
        <v>77</v>
      </c>
      <c r="D767" s="27" t="s">
        <v>1536</v>
      </c>
      <c r="E767" s="27" t="s">
        <v>1585</v>
      </c>
      <c r="F767" s="29" t="s">
        <v>1586</v>
      </c>
      <c r="G767" s="30" t="n">
        <v>75015</v>
      </c>
      <c r="H767" s="31" t="s">
        <v>36</v>
      </c>
      <c r="I767" s="32" t="n">
        <v>144494854</v>
      </c>
      <c r="J767" s="33" t="n">
        <v>198</v>
      </c>
      <c r="K767" s="33" t="n">
        <v>1</v>
      </c>
      <c r="L767" s="34"/>
      <c r="M767" s="44" t="s">
        <v>321</v>
      </c>
      <c r="N767" s="36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9"/>
      <c r="Z767" s="39"/>
      <c r="AA767" s="28"/>
      <c r="AMJ767" s="0"/>
    </row>
    <row r="768" s="2" customFormat="true" ht="12.75" hidden="false" customHeight="true" outlineLevel="0" collapsed="false">
      <c r="A768" s="27" t="s">
        <v>1650</v>
      </c>
      <c r="B768" s="27" t="s">
        <v>71</v>
      </c>
      <c r="C768" s="28" t="s">
        <v>77</v>
      </c>
      <c r="D768" s="27" t="s">
        <v>1536</v>
      </c>
      <c r="E768" s="27" t="s">
        <v>1585</v>
      </c>
      <c r="F768" s="29" t="s">
        <v>1586</v>
      </c>
      <c r="G768" s="30" t="n">
        <v>75015</v>
      </c>
      <c r="H768" s="31" t="s">
        <v>36</v>
      </c>
      <c r="I768" s="32" t="n">
        <v>144494252</v>
      </c>
      <c r="J768" s="33" t="n">
        <v>198</v>
      </c>
      <c r="K768" s="33" t="n">
        <v>1</v>
      </c>
      <c r="L768" s="34"/>
      <c r="M768" s="44" t="s">
        <v>321</v>
      </c>
      <c r="N768" s="36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9"/>
      <c r="Z768" s="39"/>
      <c r="AA768" s="28"/>
      <c r="AMJ768" s="0"/>
    </row>
    <row r="769" s="2" customFormat="true" ht="12.75" hidden="false" customHeight="true" outlineLevel="0" collapsed="false">
      <c r="A769" s="27" t="s">
        <v>1651</v>
      </c>
      <c r="B769" s="27" t="s">
        <v>598</v>
      </c>
      <c r="C769" s="28" t="s">
        <v>77</v>
      </c>
      <c r="D769" s="27" t="s">
        <v>1536</v>
      </c>
      <c r="E769" s="27" t="s">
        <v>1585</v>
      </c>
      <c r="F769" s="29" t="s">
        <v>1586</v>
      </c>
      <c r="G769" s="30" t="n">
        <v>75015</v>
      </c>
      <c r="H769" s="31" t="s">
        <v>36</v>
      </c>
      <c r="I769" s="32" t="n">
        <v>144494854</v>
      </c>
      <c r="J769" s="33" t="n">
        <v>198</v>
      </c>
      <c r="K769" s="33" t="n">
        <v>1</v>
      </c>
      <c r="L769" s="34"/>
      <c r="M769" s="44" t="s">
        <v>321</v>
      </c>
      <c r="N769" s="36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9"/>
      <c r="Z769" s="39"/>
      <c r="AA769" s="28"/>
      <c r="AMJ769" s="0"/>
    </row>
    <row r="770" s="2" customFormat="true" ht="12.75" hidden="false" customHeight="true" outlineLevel="0" collapsed="false">
      <c r="A770" s="27" t="s">
        <v>1652</v>
      </c>
      <c r="B770" s="27" t="s">
        <v>1653</v>
      </c>
      <c r="C770" s="28" t="s">
        <v>77</v>
      </c>
      <c r="D770" s="27" t="s">
        <v>1536</v>
      </c>
      <c r="E770" s="27" t="s">
        <v>1585</v>
      </c>
      <c r="F770" s="29" t="s">
        <v>1586</v>
      </c>
      <c r="G770" s="30" t="n">
        <v>75015</v>
      </c>
      <c r="H770" s="31" t="s">
        <v>36</v>
      </c>
      <c r="I770" s="32" t="n">
        <v>144494854</v>
      </c>
      <c r="J770" s="33" t="n">
        <v>198</v>
      </c>
      <c r="K770" s="33" t="n">
        <v>2</v>
      </c>
      <c r="L770" s="34"/>
      <c r="M770" s="44" t="s">
        <v>321</v>
      </c>
      <c r="N770" s="36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9"/>
      <c r="Z770" s="39"/>
      <c r="AA770" s="28"/>
      <c r="AMJ770" s="0"/>
    </row>
    <row r="771" s="2" customFormat="true" ht="12.75" hidden="false" customHeight="true" outlineLevel="0" collapsed="false">
      <c r="A771" s="27" t="s">
        <v>1654</v>
      </c>
      <c r="B771" s="27" t="s">
        <v>1655</v>
      </c>
      <c r="C771" s="28" t="s">
        <v>77</v>
      </c>
      <c r="D771" s="27" t="s">
        <v>1536</v>
      </c>
      <c r="E771" s="27" t="s">
        <v>1585</v>
      </c>
      <c r="F771" s="29" t="s">
        <v>1586</v>
      </c>
      <c r="G771" s="30" t="n">
        <v>75015</v>
      </c>
      <c r="H771" s="31" t="s">
        <v>36</v>
      </c>
      <c r="I771" s="32" t="n">
        <v>144495057</v>
      </c>
      <c r="J771" s="33" t="n">
        <v>198</v>
      </c>
      <c r="K771" s="33" t="n">
        <v>1</v>
      </c>
      <c r="L771" s="34"/>
      <c r="M771" s="44" t="s">
        <v>321</v>
      </c>
      <c r="N771" s="36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9"/>
      <c r="Z771" s="39"/>
      <c r="AA771" s="28"/>
      <c r="AMJ771" s="0"/>
    </row>
    <row r="772" s="2" customFormat="true" ht="12.75" hidden="false" customHeight="true" outlineLevel="0" collapsed="false">
      <c r="A772" s="27" t="s">
        <v>1656</v>
      </c>
      <c r="B772" s="27" t="s">
        <v>735</v>
      </c>
      <c r="C772" s="28" t="s">
        <v>77</v>
      </c>
      <c r="D772" s="27" t="s">
        <v>1536</v>
      </c>
      <c r="E772" s="27" t="s">
        <v>1585</v>
      </c>
      <c r="F772" s="29" t="s">
        <v>1586</v>
      </c>
      <c r="G772" s="30" t="n">
        <v>75015</v>
      </c>
      <c r="H772" s="31" t="s">
        <v>36</v>
      </c>
      <c r="I772" s="32" t="n">
        <v>144494252</v>
      </c>
      <c r="J772" s="33" t="n">
        <v>198</v>
      </c>
      <c r="K772" s="33" t="n">
        <v>1</v>
      </c>
      <c r="L772" s="34"/>
      <c r="M772" s="44" t="s">
        <v>321</v>
      </c>
      <c r="N772" s="36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9"/>
      <c r="Z772" s="39"/>
      <c r="AA772" s="28"/>
      <c r="AMJ772" s="0"/>
    </row>
    <row r="773" s="2" customFormat="true" ht="12.75" hidden="false" customHeight="true" outlineLevel="0" collapsed="false">
      <c r="A773" s="27" t="s">
        <v>1657</v>
      </c>
      <c r="B773" s="27" t="s">
        <v>884</v>
      </c>
      <c r="C773" s="28" t="s">
        <v>77</v>
      </c>
      <c r="D773" s="27" t="s">
        <v>1536</v>
      </c>
      <c r="E773" s="27" t="s">
        <v>1585</v>
      </c>
      <c r="F773" s="29" t="s">
        <v>1586</v>
      </c>
      <c r="G773" s="30" t="n">
        <v>75015</v>
      </c>
      <c r="H773" s="31" t="s">
        <v>36</v>
      </c>
      <c r="I773" s="32" t="n">
        <v>144495057</v>
      </c>
      <c r="J773" s="33" t="n">
        <v>198</v>
      </c>
      <c r="K773" s="33" t="n">
        <v>1</v>
      </c>
      <c r="L773" s="34"/>
      <c r="M773" s="44" t="s">
        <v>321</v>
      </c>
      <c r="N773" s="36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9"/>
      <c r="Z773" s="39"/>
      <c r="AA773" s="28"/>
      <c r="AMJ773" s="0"/>
    </row>
    <row r="774" s="2" customFormat="true" ht="12.75" hidden="false" customHeight="true" outlineLevel="0" collapsed="false">
      <c r="A774" s="27" t="s">
        <v>1658</v>
      </c>
      <c r="B774" s="27" t="s">
        <v>1659</v>
      </c>
      <c r="C774" s="28" t="s">
        <v>77</v>
      </c>
      <c r="D774" s="27" t="s">
        <v>1536</v>
      </c>
      <c r="E774" s="27" t="s">
        <v>1585</v>
      </c>
      <c r="F774" s="29" t="s">
        <v>1586</v>
      </c>
      <c r="G774" s="30" t="n">
        <v>75015</v>
      </c>
      <c r="H774" s="31" t="s">
        <v>36</v>
      </c>
      <c r="I774" s="32" t="n">
        <v>144494252</v>
      </c>
      <c r="J774" s="33" t="n">
        <v>0</v>
      </c>
      <c r="K774" s="33" t="n">
        <v>1</v>
      </c>
      <c r="L774" s="34"/>
      <c r="M774" s="44" t="s">
        <v>321</v>
      </c>
      <c r="N774" s="36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9"/>
      <c r="Z774" s="39"/>
      <c r="AA774" s="28"/>
      <c r="AMJ774" s="0"/>
    </row>
    <row r="775" s="2" customFormat="true" ht="12.75" hidden="false" customHeight="true" outlineLevel="0" collapsed="false">
      <c r="A775" s="27" t="s">
        <v>1660</v>
      </c>
      <c r="B775" s="27" t="s">
        <v>1661</v>
      </c>
      <c r="C775" s="28" t="s">
        <v>77</v>
      </c>
      <c r="D775" s="27" t="s">
        <v>1536</v>
      </c>
      <c r="E775" s="27" t="s">
        <v>1585</v>
      </c>
      <c r="F775" s="29" t="s">
        <v>1586</v>
      </c>
      <c r="G775" s="30" t="n">
        <v>75015</v>
      </c>
      <c r="H775" s="31" t="s">
        <v>36</v>
      </c>
      <c r="I775" s="32" t="n">
        <v>144494462</v>
      </c>
      <c r="J775" s="33" t="n">
        <v>0</v>
      </c>
      <c r="K775" s="33" t="n">
        <v>1</v>
      </c>
      <c r="L775" s="34"/>
      <c r="M775" s="44" t="s">
        <v>321</v>
      </c>
      <c r="N775" s="36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9"/>
      <c r="Z775" s="39"/>
      <c r="AA775" s="28"/>
      <c r="AMJ775" s="0"/>
    </row>
    <row r="776" s="2" customFormat="true" ht="12.75" hidden="false" customHeight="true" outlineLevel="0" collapsed="false">
      <c r="A776" s="27" t="s">
        <v>1662</v>
      </c>
      <c r="B776" s="27" t="s">
        <v>1663</v>
      </c>
      <c r="C776" s="28" t="s">
        <v>121</v>
      </c>
      <c r="D776" s="27" t="s">
        <v>1536</v>
      </c>
      <c r="E776" s="27" t="s">
        <v>1585</v>
      </c>
      <c r="F776" s="29" t="s">
        <v>1586</v>
      </c>
      <c r="G776" s="30" t="n">
        <v>75015</v>
      </c>
      <c r="H776" s="31" t="s">
        <v>36</v>
      </c>
      <c r="I776" s="32" t="n">
        <v>144494292</v>
      </c>
      <c r="J776" s="33" t="n">
        <v>400</v>
      </c>
      <c r="K776" s="33"/>
      <c r="L776" s="34"/>
      <c r="M776" s="44" t="s">
        <v>321</v>
      </c>
      <c r="N776" s="36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9"/>
      <c r="Z776" s="39"/>
      <c r="AA776" s="28"/>
      <c r="AMJ776" s="0"/>
    </row>
    <row r="777" s="2" customFormat="true" ht="12.75" hidden="false" customHeight="true" outlineLevel="0" collapsed="false">
      <c r="A777" s="27" t="s">
        <v>1664</v>
      </c>
      <c r="B777" s="27" t="s">
        <v>1665</v>
      </c>
      <c r="C777" s="28" t="s">
        <v>121</v>
      </c>
      <c r="D777" s="27" t="s">
        <v>1536</v>
      </c>
      <c r="E777" s="27" t="s">
        <v>1585</v>
      </c>
      <c r="F777" s="29" t="s">
        <v>1586</v>
      </c>
      <c r="G777" s="30" t="n">
        <v>75015</v>
      </c>
      <c r="H777" s="31" t="s">
        <v>36</v>
      </c>
      <c r="I777" s="32" t="n">
        <v>144494824</v>
      </c>
      <c r="J777" s="33" t="n">
        <v>400</v>
      </c>
      <c r="K777" s="33" t="n">
        <v>1</v>
      </c>
      <c r="L777" s="34"/>
      <c r="M777" s="44" t="s">
        <v>321</v>
      </c>
      <c r="N777" s="36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9"/>
      <c r="Z777" s="39"/>
      <c r="AA777" s="28"/>
      <c r="AMJ777" s="0"/>
    </row>
    <row r="778" s="2" customFormat="true" ht="12.75" hidden="false" customHeight="true" outlineLevel="0" collapsed="false">
      <c r="A778" s="27" t="s">
        <v>1666</v>
      </c>
      <c r="B778" s="27" t="s">
        <v>1667</v>
      </c>
      <c r="C778" s="28" t="s">
        <v>121</v>
      </c>
      <c r="D778" s="27" t="s">
        <v>1536</v>
      </c>
      <c r="E778" s="27" t="s">
        <v>1585</v>
      </c>
      <c r="F778" s="29" t="s">
        <v>1586</v>
      </c>
      <c r="G778" s="30" t="n">
        <v>75015</v>
      </c>
      <c r="H778" s="31" t="s">
        <v>36</v>
      </c>
      <c r="I778" s="32" t="n">
        <v>144494801</v>
      </c>
      <c r="J778" s="33" t="n">
        <v>400</v>
      </c>
      <c r="K778" s="33"/>
      <c r="L778" s="34"/>
      <c r="M778" s="44" t="s">
        <v>321</v>
      </c>
      <c r="N778" s="36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9"/>
      <c r="Z778" s="39"/>
      <c r="AA778" s="28"/>
      <c r="AMJ778" s="0"/>
    </row>
    <row r="779" s="2" customFormat="true" ht="12.75" hidden="false" customHeight="true" outlineLevel="0" collapsed="false">
      <c r="A779" s="27" t="s">
        <v>1668</v>
      </c>
      <c r="B779" s="27" t="s">
        <v>749</v>
      </c>
      <c r="C779" s="28" t="s">
        <v>121</v>
      </c>
      <c r="D779" s="27" t="s">
        <v>1536</v>
      </c>
      <c r="E779" s="27" t="s">
        <v>1585</v>
      </c>
      <c r="F779" s="29" t="s">
        <v>1586</v>
      </c>
      <c r="G779" s="30" t="n">
        <v>75015</v>
      </c>
      <c r="H779" s="31" t="s">
        <v>36</v>
      </c>
      <c r="I779" s="32" t="n">
        <v>171196288</v>
      </c>
      <c r="J779" s="33" t="n">
        <v>400</v>
      </c>
      <c r="K779" s="33"/>
      <c r="L779" s="34"/>
      <c r="M779" s="44" t="s">
        <v>321</v>
      </c>
      <c r="N779" s="36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9"/>
      <c r="Z779" s="39"/>
      <c r="AA779" s="28"/>
      <c r="AMJ779" s="0"/>
    </row>
    <row r="780" s="2" customFormat="true" ht="12.75" hidden="false" customHeight="true" outlineLevel="0" collapsed="false">
      <c r="A780" s="27" t="s">
        <v>1669</v>
      </c>
      <c r="B780" s="27" t="s">
        <v>1670</v>
      </c>
      <c r="C780" s="28" t="s">
        <v>121</v>
      </c>
      <c r="D780" s="27" t="s">
        <v>1536</v>
      </c>
      <c r="E780" s="27" t="s">
        <v>1585</v>
      </c>
      <c r="F780" s="29" t="s">
        <v>1586</v>
      </c>
      <c r="G780" s="30" t="n">
        <v>75015</v>
      </c>
      <c r="H780" s="31" t="s">
        <v>36</v>
      </c>
      <c r="I780" s="32" t="n">
        <v>144494848</v>
      </c>
      <c r="J780" s="33" t="n">
        <v>234</v>
      </c>
      <c r="K780" s="33" t="n">
        <v>4</v>
      </c>
      <c r="L780" s="34"/>
      <c r="M780" s="44" t="s">
        <v>321</v>
      </c>
      <c r="N780" s="36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9"/>
      <c r="Z780" s="39"/>
      <c r="AA780" s="28"/>
      <c r="AMJ780" s="0"/>
    </row>
    <row r="781" s="2" customFormat="true" ht="12.75" hidden="false" customHeight="true" outlineLevel="0" collapsed="false">
      <c r="A781" s="27" t="s">
        <v>1671</v>
      </c>
      <c r="B781" s="27" t="s">
        <v>1672</v>
      </c>
      <c r="C781" s="28" t="s">
        <v>121</v>
      </c>
      <c r="D781" s="27" t="s">
        <v>1536</v>
      </c>
      <c r="E781" s="27" t="s">
        <v>1585</v>
      </c>
      <c r="F781" s="29" t="s">
        <v>1586</v>
      </c>
      <c r="G781" s="30" t="n">
        <v>75015</v>
      </c>
      <c r="H781" s="31" t="s">
        <v>36</v>
      </c>
      <c r="I781" s="32" t="n">
        <v>144494854</v>
      </c>
      <c r="J781" s="33" t="n">
        <v>164</v>
      </c>
      <c r="K781" s="33" t="n">
        <v>1</v>
      </c>
      <c r="L781" s="34"/>
      <c r="M781" s="44" t="s">
        <v>321</v>
      </c>
      <c r="N781" s="36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9"/>
      <c r="Z781" s="39"/>
      <c r="AA781" s="28"/>
      <c r="AMJ781" s="0"/>
    </row>
    <row r="782" s="2" customFormat="true" ht="12.75" hidden="false" customHeight="true" outlineLevel="0" collapsed="false">
      <c r="A782" s="27" t="s">
        <v>1673</v>
      </c>
      <c r="B782" s="27" t="s">
        <v>1674</v>
      </c>
      <c r="C782" s="28" t="s">
        <v>121</v>
      </c>
      <c r="D782" s="27" t="s">
        <v>1536</v>
      </c>
      <c r="E782" s="27" t="s">
        <v>1585</v>
      </c>
      <c r="F782" s="29" t="s">
        <v>1586</v>
      </c>
      <c r="G782" s="30" t="n">
        <v>75015</v>
      </c>
      <c r="H782" s="31" t="s">
        <v>36</v>
      </c>
      <c r="I782" s="32" t="n">
        <v>144494854</v>
      </c>
      <c r="J782" s="33" t="n">
        <v>164</v>
      </c>
      <c r="K782" s="33" t="n">
        <v>0</v>
      </c>
      <c r="L782" s="34"/>
      <c r="M782" s="44" t="s">
        <v>321</v>
      </c>
      <c r="N782" s="36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9"/>
      <c r="Z782" s="39"/>
      <c r="AA782" s="28"/>
      <c r="AMJ782" s="0"/>
    </row>
    <row r="783" s="2" customFormat="true" ht="12.75" hidden="false" customHeight="true" outlineLevel="0" collapsed="false">
      <c r="A783" s="27" t="s">
        <v>1675</v>
      </c>
      <c r="B783" s="27" t="s">
        <v>374</v>
      </c>
      <c r="C783" s="28" t="s">
        <v>121</v>
      </c>
      <c r="D783" s="27" t="s">
        <v>1536</v>
      </c>
      <c r="E783" s="27" t="s">
        <v>1585</v>
      </c>
      <c r="F783" s="29" t="s">
        <v>1586</v>
      </c>
      <c r="G783" s="30" t="n">
        <v>75015</v>
      </c>
      <c r="H783" s="31" t="s">
        <v>36</v>
      </c>
      <c r="I783" s="32" t="n">
        <v>144494344</v>
      </c>
      <c r="J783" s="33" t="n">
        <v>164</v>
      </c>
      <c r="K783" s="33" t="n">
        <v>1</v>
      </c>
      <c r="L783" s="34"/>
      <c r="M783" s="44" t="s">
        <v>321</v>
      </c>
      <c r="N783" s="36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9"/>
      <c r="Z783" s="39"/>
      <c r="AA783" s="28"/>
      <c r="AMJ783" s="0"/>
    </row>
    <row r="784" s="2" customFormat="true" ht="12.75" hidden="false" customHeight="true" outlineLevel="0" collapsed="false">
      <c r="A784" s="27" t="s">
        <v>1676</v>
      </c>
      <c r="B784" s="27" t="s">
        <v>1677</v>
      </c>
      <c r="C784" s="28" t="s">
        <v>121</v>
      </c>
      <c r="D784" s="27" t="s">
        <v>1536</v>
      </c>
      <c r="E784" s="27" t="s">
        <v>1585</v>
      </c>
      <c r="F784" s="29" t="s">
        <v>1586</v>
      </c>
      <c r="G784" s="30" t="n">
        <v>75015</v>
      </c>
      <c r="H784" s="31" t="s">
        <v>36</v>
      </c>
      <c r="I784" s="32" t="n">
        <v>144381903</v>
      </c>
      <c r="J784" s="33" t="n">
        <v>164</v>
      </c>
      <c r="K784" s="33"/>
      <c r="L784" s="34"/>
      <c r="M784" s="44" t="s">
        <v>321</v>
      </c>
      <c r="N784" s="36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9"/>
      <c r="Z784" s="39"/>
      <c r="AA784" s="28"/>
      <c r="AMJ784" s="0"/>
    </row>
    <row r="785" s="2" customFormat="true" ht="12.75" hidden="false" customHeight="true" outlineLevel="0" collapsed="false">
      <c r="A785" s="27" t="s">
        <v>1678</v>
      </c>
      <c r="B785" s="27" t="s">
        <v>1085</v>
      </c>
      <c r="C785" s="28" t="s">
        <v>121</v>
      </c>
      <c r="D785" s="27" t="s">
        <v>1536</v>
      </c>
      <c r="E785" s="27" t="s">
        <v>1585</v>
      </c>
      <c r="F785" s="29" t="s">
        <v>1586</v>
      </c>
      <c r="G785" s="30" t="n">
        <v>75015</v>
      </c>
      <c r="H785" s="31" t="s">
        <v>36</v>
      </c>
      <c r="I785" s="32" t="n">
        <v>144494852</v>
      </c>
      <c r="J785" s="33" t="n">
        <v>162</v>
      </c>
      <c r="K785" s="33" t="n">
        <v>13</v>
      </c>
      <c r="L785" s="34"/>
      <c r="M785" s="44" t="s">
        <v>321</v>
      </c>
      <c r="N785" s="36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9"/>
      <c r="Z785" s="39"/>
      <c r="AA785" s="28"/>
      <c r="AMJ785" s="0"/>
    </row>
    <row r="786" s="2" customFormat="true" ht="12.75" hidden="false" customHeight="true" outlineLevel="0" collapsed="false">
      <c r="A786" s="27" t="s">
        <v>1679</v>
      </c>
      <c r="B786" s="27" t="s">
        <v>735</v>
      </c>
      <c r="C786" s="28" t="s">
        <v>121</v>
      </c>
      <c r="D786" s="27" t="s">
        <v>1536</v>
      </c>
      <c r="E786" s="27" t="s">
        <v>1585</v>
      </c>
      <c r="F786" s="29" t="s">
        <v>1586</v>
      </c>
      <c r="G786" s="30" t="n">
        <v>75015</v>
      </c>
      <c r="H786" s="31" t="s">
        <v>36</v>
      </c>
      <c r="I786" s="32" t="n">
        <v>144494801</v>
      </c>
      <c r="J786" s="33" t="n">
        <v>159</v>
      </c>
      <c r="K786" s="33" t="n">
        <v>2</v>
      </c>
      <c r="L786" s="34"/>
      <c r="M786" s="44" t="s">
        <v>321</v>
      </c>
      <c r="N786" s="36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9"/>
      <c r="Z786" s="39"/>
      <c r="AA786" s="28"/>
      <c r="AMJ786" s="0"/>
    </row>
    <row r="787" s="2" customFormat="true" ht="12.75" hidden="false" customHeight="true" outlineLevel="0" collapsed="false">
      <c r="A787" s="61" t="s">
        <v>1461</v>
      </c>
      <c r="B787" s="61" t="s">
        <v>384</v>
      </c>
      <c r="C787" s="60" t="s">
        <v>121</v>
      </c>
      <c r="D787" s="61" t="s">
        <v>1536</v>
      </c>
      <c r="E787" s="61" t="s">
        <v>1585</v>
      </c>
      <c r="F787" s="62" t="s">
        <v>1586</v>
      </c>
      <c r="G787" s="63" t="n">
        <v>75015</v>
      </c>
      <c r="H787" s="64" t="s">
        <v>36</v>
      </c>
      <c r="I787" s="65" t="n">
        <v>171196084</v>
      </c>
      <c r="J787" s="66" t="n">
        <v>155</v>
      </c>
      <c r="K787" s="66" t="n">
        <v>1</v>
      </c>
      <c r="L787" s="67"/>
      <c r="M787" s="68" t="s">
        <v>321</v>
      </c>
      <c r="N787" s="69" t="s">
        <v>1680</v>
      </c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9"/>
      <c r="Z787" s="39"/>
      <c r="AA787" s="28"/>
      <c r="AMJ787" s="0"/>
    </row>
    <row r="788" s="2" customFormat="true" ht="12.75" hidden="false" customHeight="true" outlineLevel="0" collapsed="false">
      <c r="A788" s="27" t="s">
        <v>1681</v>
      </c>
      <c r="B788" s="27" t="s">
        <v>61</v>
      </c>
      <c r="C788" s="28" t="s">
        <v>121</v>
      </c>
      <c r="D788" s="27" t="s">
        <v>1536</v>
      </c>
      <c r="E788" s="27" t="s">
        <v>1585</v>
      </c>
      <c r="F788" s="29" t="s">
        <v>1586</v>
      </c>
      <c r="G788" s="30" t="n">
        <v>75015</v>
      </c>
      <c r="H788" s="31" t="s">
        <v>36</v>
      </c>
      <c r="I788" s="32" t="n">
        <v>144494824</v>
      </c>
      <c r="J788" s="33" t="n">
        <v>154</v>
      </c>
      <c r="K788" s="33"/>
      <c r="L788" s="34"/>
      <c r="M788" s="44" t="s">
        <v>321</v>
      </c>
      <c r="N788" s="36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9"/>
      <c r="Z788" s="39"/>
      <c r="AA788" s="28"/>
      <c r="AMJ788" s="0"/>
    </row>
    <row r="789" s="2" customFormat="true" ht="12.75" hidden="false" customHeight="true" outlineLevel="0" collapsed="false">
      <c r="A789" s="27" t="s">
        <v>1682</v>
      </c>
      <c r="B789" s="27" t="s">
        <v>1683</v>
      </c>
      <c r="C789" s="28" t="s">
        <v>121</v>
      </c>
      <c r="D789" s="27" t="s">
        <v>1536</v>
      </c>
      <c r="E789" s="27" t="s">
        <v>1585</v>
      </c>
      <c r="F789" s="29" t="s">
        <v>1586</v>
      </c>
      <c r="G789" s="30" t="n">
        <v>75015</v>
      </c>
      <c r="H789" s="31" t="s">
        <v>36</v>
      </c>
      <c r="I789" s="32" t="n">
        <v>144494344</v>
      </c>
      <c r="J789" s="33" t="n">
        <v>151</v>
      </c>
      <c r="K789" s="33" t="n">
        <v>2</v>
      </c>
      <c r="L789" s="34"/>
      <c r="M789" s="44" t="s">
        <v>321</v>
      </c>
      <c r="N789" s="36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9"/>
      <c r="Z789" s="39"/>
      <c r="AA789" s="28"/>
      <c r="AMJ789" s="0"/>
    </row>
    <row r="790" s="2" customFormat="true" ht="12.75" hidden="false" customHeight="true" outlineLevel="0" collapsed="false">
      <c r="A790" s="27" t="s">
        <v>1684</v>
      </c>
      <c r="B790" s="27" t="s">
        <v>1685</v>
      </c>
      <c r="C790" s="28" t="s">
        <v>121</v>
      </c>
      <c r="D790" s="27" t="s">
        <v>1536</v>
      </c>
      <c r="E790" s="27" t="s">
        <v>1585</v>
      </c>
      <c r="F790" s="29" t="s">
        <v>1586</v>
      </c>
      <c r="G790" s="30" t="n">
        <v>75015</v>
      </c>
      <c r="H790" s="31" t="s">
        <v>36</v>
      </c>
      <c r="I790" s="32" t="n">
        <v>144494848</v>
      </c>
      <c r="J790" s="33" t="n">
        <v>151</v>
      </c>
      <c r="K790" s="33" t="n">
        <v>1</v>
      </c>
      <c r="L790" s="34"/>
      <c r="M790" s="44" t="s">
        <v>321</v>
      </c>
      <c r="N790" s="36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9"/>
      <c r="Z790" s="39"/>
      <c r="AA790" s="28"/>
      <c r="AMJ790" s="0"/>
    </row>
    <row r="791" s="2" customFormat="true" ht="12.75" hidden="false" customHeight="true" outlineLevel="0" collapsed="false">
      <c r="A791" s="27" t="s">
        <v>1686</v>
      </c>
      <c r="B791" s="27" t="s">
        <v>475</v>
      </c>
      <c r="C791" s="28" t="s">
        <v>121</v>
      </c>
      <c r="D791" s="27" t="s">
        <v>1536</v>
      </c>
      <c r="E791" s="27" t="s">
        <v>1585</v>
      </c>
      <c r="F791" s="29" t="s">
        <v>1586</v>
      </c>
      <c r="G791" s="30" t="n">
        <v>75015</v>
      </c>
      <c r="H791" s="31" t="s">
        <v>36</v>
      </c>
      <c r="I791" s="32" t="n">
        <v>144494462</v>
      </c>
      <c r="J791" s="33" t="n">
        <v>151</v>
      </c>
      <c r="K791" s="33" t="n">
        <v>1</v>
      </c>
      <c r="L791" s="34"/>
      <c r="M791" s="44" t="s">
        <v>321</v>
      </c>
      <c r="N791" s="36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9"/>
      <c r="Z791" s="39"/>
      <c r="AA791" s="28"/>
      <c r="AMJ791" s="0"/>
    </row>
    <row r="792" s="2" customFormat="true" ht="12.75" hidden="false" customHeight="true" outlineLevel="0" collapsed="false">
      <c r="A792" s="27" t="s">
        <v>1687</v>
      </c>
      <c r="B792" s="27" t="s">
        <v>1688</v>
      </c>
      <c r="C792" s="28" t="s">
        <v>121</v>
      </c>
      <c r="D792" s="27" t="s">
        <v>1536</v>
      </c>
      <c r="E792" s="27" t="s">
        <v>1585</v>
      </c>
      <c r="F792" s="29" t="s">
        <v>1586</v>
      </c>
      <c r="G792" s="30" t="n">
        <v>75015</v>
      </c>
      <c r="H792" s="31" t="s">
        <v>36</v>
      </c>
      <c r="I792" s="32" t="n">
        <v>474092853</v>
      </c>
      <c r="J792" s="33" t="n">
        <v>151</v>
      </c>
      <c r="K792" s="33" t="n">
        <v>1</v>
      </c>
      <c r="L792" s="34"/>
      <c r="M792" s="44" t="s">
        <v>321</v>
      </c>
      <c r="N792" s="36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9"/>
      <c r="Z792" s="39"/>
      <c r="AA792" s="28"/>
      <c r="AMJ792" s="0"/>
    </row>
    <row r="793" s="2" customFormat="true" ht="12.75" hidden="false" customHeight="true" outlineLevel="0" collapsed="false">
      <c r="A793" s="27" t="s">
        <v>1689</v>
      </c>
      <c r="B793" s="27" t="s">
        <v>1690</v>
      </c>
      <c r="C793" s="28" t="s">
        <v>121</v>
      </c>
      <c r="D793" s="27" t="s">
        <v>1536</v>
      </c>
      <c r="E793" s="27" t="s">
        <v>1585</v>
      </c>
      <c r="F793" s="29" t="s">
        <v>1586</v>
      </c>
      <c r="G793" s="30" t="n">
        <v>75015</v>
      </c>
      <c r="H793" s="31" t="s">
        <v>36</v>
      </c>
      <c r="I793" s="32"/>
      <c r="J793" s="33" t="n">
        <v>151</v>
      </c>
      <c r="K793" s="33" t="n">
        <v>1</v>
      </c>
      <c r="L793" s="34"/>
      <c r="M793" s="44" t="s">
        <v>321</v>
      </c>
      <c r="N793" s="36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9"/>
      <c r="Z793" s="39"/>
      <c r="AA793" s="28"/>
      <c r="AMJ793" s="0"/>
    </row>
    <row r="794" s="2" customFormat="true" ht="12.75" hidden="false" customHeight="true" outlineLevel="0" collapsed="false">
      <c r="A794" s="27" t="s">
        <v>1691</v>
      </c>
      <c r="B794" s="27" t="s">
        <v>205</v>
      </c>
      <c r="C794" s="28" t="s">
        <v>121</v>
      </c>
      <c r="D794" s="27" t="s">
        <v>1536</v>
      </c>
      <c r="E794" s="27" t="s">
        <v>1585</v>
      </c>
      <c r="F794" s="29" t="s">
        <v>1586</v>
      </c>
      <c r="G794" s="30" t="n">
        <v>75015</v>
      </c>
      <c r="H794" s="31" t="s">
        <v>36</v>
      </c>
      <c r="I794" s="32" t="n">
        <v>144492323</v>
      </c>
      <c r="J794" s="33" t="n">
        <v>151</v>
      </c>
      <c r="K794" s="33" t="n">
        <v>1</v>
      </c>
      <c r="L794" s="34"/>
      <c r="M794" s="44" t="s">
        <v>321</v>
      </c>
      <c r="N794" s="36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9"/>
      <c r="Z794" s="39"/>
      <c r="AA794" s="28"/>
      <c r="AMJ794" s="0"/>
    </row>
    <row r="795" s="2" customFormat="true" ht="12.75" hidden="false" customHeight="true" outlineLevel="0" collapsed="false">
      <c r="A795" s="27" t="s">
        <v>1692</v>
      </c>
      <c r="B795" s="27" t="s">
        <v>1693</v>
      </c>
      <c r="C795" s="28" t="s">
        <v>121</v>
      </c>
      <c r="D795" s="27" t="s">
        <v>1536</v>
      </c>
      <c r="E795" s="27" t="s">
        <v>1585</v>
      </c>
      <c r="F795" s="29" t="s">
        <v>1586</v>
      </c>
      <c r="G795" s="30" t="n">
        <v>75015</v>
      </c>
      <c r="H795" s="31" t="s">
        <v>36</v>
      </c>
      <c r="I795" s="32" t="n">
        <v>144494801</v>
      </c>
      <c r="J795" s="33" t="n">
        <v>138</v>
      </c>
      <c r="K795" s="33" t="n">
        <v>4</v>
      </c>
      <c r="L795" s="34"/>
      <c r="M795" s="44" t="s">
        <v>321</v>
      </c>
      <c r="N795" s="36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9"/>
      <c r="Z795" s="39"/>
      <c r="AA795" s="28"/>
      <c r="AMJ795" s="0"/>
    </row>
    <row r="796" s="2" customFormat="true" ht="12.75" hidden="false" customHeight="true" outlineLevel="0" collapsed="false">
      <c r="A796" s="27" t="s">
        <v>1694</v>
      </c>
      <c r="B796" s="27" t="s">
        <v>1695</v>
      </c>
      <c r="C796" s="28" t="s">
        <v>121</v>
      </c>
      <c r="D796" s="27" t="s">
        <v>1536</v>
      </c>
      <c r="E796" s="27" t="s">
        <v>1585</v>
      </c>
      <c r="F796" s="29" t="s">
        <v>1586</v>
      </c>
      <c r="G796" s="30" t="n">
        <v>75015</v>
      </c>
      <c r="H796" s="31" t="s">
        <v>36</v>
      </c>
      <c r="I796" s="32" t="n">
        <v>144494882</v>
      </c>
      <c r="J796" s="33" t="n">
        <v>136</v>
      </c>
      <c r="K796" s="33" t="n">
        <v>1</v>
      </c>
      <c r="L796" s="34"/>
      <c r="M796" s="44" t="s">
        <v>321</v>
      </c>
      <c r="N796" s="36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9"/>
      <c r="Z796" s="39"/>
      <c r="AA796" s="28"/>
      <c r="AMJ796" s="0"/>
    </row>
    <row r="797" s="2" customFormat="true" ht="12.75" hidden="false" customHeight="true" outlineLevel="0" collapsed="false">
      <c r="A797" s="27" t="s">
        <v>1696</v>
      </c>
      <c r="B797" s="27" t="s">
        <v>1697</v>
      </c>
      <c r="C797" s="28" t="s">
        <v>121</v>
      </c>
      <c r="D797" s="27" t="s">
        <v>1536</v>
      </c>
      <c r="E797" s="27" t="s">
        <v>1585</v>
      </c>
      <c r="F797" s="29" t="s">
        <v>1586</v>
      </c>
      <c r="G797" s="30" t="n">
        <v>75015</v>
      </c>
      <c r="H797" s="31" t="s">
        <v>36</v>
      </c>
      <c r="I797" s="32" t="n">
        <v>144494882</v>
      </c>
      <c r="J797" s="33" t="n">
        <v>136</v>
      </c>
      <c r="K797" s="33" t="n">
        <v>0</v>
      </c>
      <c r="L797" s="34"/>
      <c r="M797" s="44" t="s">
        <v>321</v>
      </c>
      <c r="N797" s="36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9"/>
      <c r="Z797" s="39"/>
      <c r="AA797" s="28"/>
      <c r="AMJ797" s="0"/>
    </row>
    <row r="798" s="2" customFormat="true" ht="12.75" hidden="false" customHeight="true" outlineLevel="0" collapsed="false">
      <c r="A798" s="27" t="s">
        <v>1698</v>
      </c>
      <c r="B798" s="27" t="s">
        <v>1211</v>
      </c>
      <c r="C798" s="28" t="s">
        <v>121</v>
      </c>
      <c r="D798" s="27" t="s">
        <v>1536</v>
      </c>
      <c r="E798" s="27" t="s">
        <v>1585</v>
      </c>
      <c r="F798" s="29" t="s">
        <v>1586</v>
      </c>
      <c r="G798" s="30" t="n">
        <v>75015</v>
      </c>
      <c r="H798" s="31" t="s">
        <v>36</v>
      </c>
      <c r="I798" s="32" t="n">
        <v>144494292</v>
      </c>
      <c r="J798" s="33" t="n">
        <v>135</v>
      </c>
      <c r="K798" s="33" t="n">
        <v>1</v>
      </c>
      <c r="L798" s="34"/>
      <c r="M798" s="44" t="s">
        <v>321</v>
      </c>
      <c r="N798" s="36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9"/>
      <c r="Z798" s="39"/>
      <c r="AA798" s="28"/>
      <c r="AMJ798" s="0"/>
    </row>
    <row r="799" s="2" customFormat="true" ht="12.75" hidden="false" customHeight="true" outlineLevel="0" collapsed="false">
      <c r="A799" s="61" t="s">
        <v>1594</v>
      </c>
      <c r="B799" s="27" t="s">
        <v>229</v>
      </c>
      <c r="C799" s="28" t="s">
        <v>121</v>
      </c>
      <c r="D799" s="27" t="s">
        <v>1536</v>
      </c>
      <c r="E799" s="27" t="s">
        <v>1585</v>
      </c>
      <c r="F799" s="29" t="s">
        <v>1586</v>
      </c>
      <c r="G799" s="30" t="n">
        <v>75015</v>
      </c>
      <c r="H799" s="31" t="s">
        <v>36</v>
      </c>
      <c r="I799" s="32" t="n">
        <v>144494412</v>
      </c>
      <c r="J799" s="33" t="n">
        <v>135</v>
      </c>
      <c r="K799" s="33" t="n">
        <v>1</v>
      </c>
      <c r="L799" s="34"/>
      <c r="M799" s="44" t="s">
        <v>321</v>
      </c>
      <c r="N799" s="69" t="s">
        <v>1588</v>
      </c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9"/>
      <c r="Z799" s="39"/>
      <c r="AA799" s="28"/>
      <c r="AMJ799" s="0"/>
    </row>
    <row r="800" s="2" customFormat="true" ht="12.75" hidden="false" customHeight="true" outlineLevel="0" collapsed="false">
      <c r="A800" s="27" t="s">
        <v>1699</v>
      </c>
      <c r="B800" s="27" t="s">
        <v>889</v>
      </c>
      <c r="C800" s="28" t="s">
        <v>121</v>
      </c>
      <c r="D800" s="27" t="s">
        <v>1536</v>
      </c>
      <c r="E800" s="27" t="s">
        <v>1585</v>
      </c>
      <c r="F800" s="29" t="s">
        <v>1586</v>
      </c>
      <c r="G800" s="30" t="n">
        <v>75015</v>
      </c>
      <c r="H800" s="31" t="s">
        <v>36</v>
      </c>
      <c r="I800" s="32"/>
      <c r="J800" s="33" t="n">
        <v>134</v>
      </c>
      <c r="K800" s="33" t="n">
        <v>1</v>
      </c>
      <c r="L800" s="34"/>
      <c r="M800" s="44" t="s">
        <v>321</v>
      </c>
      <c r="N800" s="36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9"/>
      <c r="Z800" s="39"/>
      <c r="AA800" s="28"/>
      <c r="AMJ800" s="0"/>
    </row>
    <row r="801" s="2" customFormat="true" ht="12.75" hidden="false" customHeight="true" outlineLevel="0" collapsed="false">
      <c r="A801" s="27" t="s">
        <v>1700</v>
      </c>
      <c r="B801" s="27" t="s">
        <v>1701</v>
      </c>
      <c r="C801" s="28" t="s">
        <v>121</v>
      </c>
      <c r="D801" s="27" t="s">
        <v>1536</v>
      </c>
      <c r="E801" s="27" t="s">
        <v>1585</v>
      </c>
      <c r="F801" s="29" t="s">
        <v>1586</v>
      </c>
      <c r="G801" s="30" t="n">
        <v>75015</v>
      </c>
      <c r="H801" s="31" t="s">
        <v>36</v>
      </c>
      <c r="I801" s="32" t="n">
        <v>144494882</v>
      </c>
      <c r="J801" s="33" t="n">
        <v>134</v>
      </c>
      <c r="K801" s="33" t="n">
        <v>1</v>
      </c>
      <c r="L801" s="34"/>
      <c r="M801" s="44" t="s">
        <v>321</v>
      </c>
      <c r="N801" s="36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9"/>
      <c r="Z801" s="39"/>
      <c r="AA801" s="28"/>
      <c r="AMJ801" s="0"/>
    </row>
    <row r="802" s="2" customFormat="true" ht="12.75" hidden="false" customHeight="true" outlineLevel="0" collapsed="false">
      <c r="A802" s="27" t="s">
        <v>1702</v>
      </c>
      <c r="B802" s="27" t="s">
        <v>1703</v>
      </c>
      <c r="C802" s="28" t="s">
        <v>121</v>
      </c>
      <c r="D802" s="27" t="s">
        <v>1536</v>
      </c>
      <c r="E802" s="27" t="s">
        <v>1585</v>
      </c>
      <c r="F802" s="29" t="s">
        <v>1586</v>
      </c>
      <c r="G802" s="30" t="n">
        <v>75015</v>
      </c>
      <c r="H802" s="31" t="s">
        <v>36</v>
      </c>
      <c r="I802" s="32" t="n">
        <v>144381507</v>
      </c>
      <c r="J802" s="33" t="n">
        <v>134</v>
      </c>
      <c r="K802" s="33" t="n">
        <v>0</v>
      </c>
      <c r="L802" s="34"/>
      <c r="M802" s="44" t="s">
        <v>321</v>
      </c>
      <c r="N802" s="36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9"/>
      <c r="Z802" s="39"/>
      <c r="AA802" s="28"/>
      <c r="AMJ802" s="0"/>
    </row>
    <row r="803" s="2" customFormat="true" ht="12.75" hidden="false" customHeight="true" outlineLevel="0" collapsed="false">
      <c r="A803" s="27" t="s">
        <v>1704</v>
      </c>
      <c r="B803" s="27" t="s">
        <v>1705</v>
      </c>
      <c r="C803" s="28" t="s">
        <v>121</v>
      </c>
      <c r="D803" s="27" t="s">
        <v>1536</v>
      </c>
      <c r="E803" s="27" t="s">
        <v>1585</v>
      </c>
      <c r="F803" s="29" t="s">
        <v>1586</v>
      </c>
      <c r="G803" s="30" t="n">
        <v>75015</v>
      </c>
      <c r="H803" s="31" t="s">
        <v>36</v>
      </c>
      <c r="I803" s="32" t="n">
        <v>171196194</v>
      </c>
      <c r="J803" s="33" t="n">
        <v>134</v>
      </c>
      <c r="K803" s="33" t="n">
        <v>0</v>
      </c>
      <c r="L803" s="34"/>
      <c r="M803" s="44" t="s">
        <v>321</v>
      </c>
      <c r="N803" s="57" t="s">
        <v>1706</v>
      </c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9"/>
      <c r="Z803" s="39"/>
      <c r="AA803" s="28"/>
      <c r="AMJ803" s="0"/>
    </row>
    <row r="804" s="2" customFormat="true" ht="12.75" hidden="false" customHeight="true" outlineLevel="0" collapsed="false">
      <c r="A804" s="27" t="s">
        <v>1707</v>
      </c>
      <c r="B804" s="27" t="s">
        <v>1708</v>
      </c>
      <c r="C804" s="28" t="s">
        <v>121</v>
      </c>
      <c r="D804" s="27" t="s">
        <v>1536</v>
      </c>
      <c r="E804" s="27" t="s">
        <v>1585</v>
      </c>
      <c r="F804" s="29" t="s">
        <v>1586</v>
      </c>
      <c r="G804" s="30" t="n">
        <v>75015</v>
      </c>
      <c r="H804" s="31" t="s">
        <v>36</v>
      </c>
      <c r="I804" s="32" t="n">
        <v>144494854</v>
      </c>
      <c r="J804" s="33" t="n">
        <v>134</v>
      </c>
      <c r="K804" s="33" t="n">
        <v>2</v>
      </c>
      <c r="L804" s="34" t="n">
        <v>1</v>
      </c>
      <c r="M804" s="44" t="s">
        <v>321</v>
      </c>
      <c r="N804" s="36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39"/>
      <c r="Z804" s="39"/>
      <c r="AA804" s="28" t="n">
        <v>3</v>
      </c>
      <c r="AMJ804" s="0"/>
    </row>
    <row r="805" s="2" customFormat="true" ht="12.75" hidden="false" customHeight="true" outlineLevel="0" collapsed="false">
      <c r="A805" s="27" t="s">
        <v>1709</v>
      </c>
      <c r="B805" s="27" t="s">
        <v>417</v>
      </c>
      <c r="C805" s="28" t="s">
        <v>121</v>
      </c>
      <c r="D805" s="27" t="s">
        <v>1536</v>
      </c>
      <c r="E805" s="27" t="s">
        <v>1585</v>
      </c>
      <c r="F805" s="29" t="s">
        <v>1586</v>
      </c>
      <c r="G805" s="30" t="n">
        <v>75015</v>
      </c>
      <c r="H805" s="31" t="s">
        <v>36</v>
      </c>
      <c r="I805" s="32" t="n">
        <v>144494824</v>
      </c>
      <c r="J805" s="33" t="n">
        <v>134</v>
      </c>
      <c r="K805" s="33" t="n">
        <v>1</v>
      </c>
      <c r="L805" s="34"/>
      <c r="M805" s="44" t="s">
        <v>321</v>
      </c>
      <c r="N805" s="36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9"/>
      <c r="Z805" s="39"/>
      <c r="AA805" s="28"/>
      <c r="AMJ805" s="0"/>
    </row>
    <row r="806" s="2" customFormat="true" ht="12.75" hidden="false" customHeight="true" outlineLevel="0" collapsed="false">
      <c r="A806" s="27" t="s">
        <v>1710</v>
      </c>
      <c r="B806" s="27" t="s">
        <v>395</v>
      </c>
      <c r="C806" s="28" t="s">
        <v>121</v>
      </c>
      <c r="D806" s="27" t="s">
        <v>1536</v>
      </c>
      <c r="E806" s="27" t="s">
        <v>1585</v>
      </c>
      <c r="F806" s="29" t="s">
        <v>1586</v>
      </c>
      <c r="G806" s="30" t="n">
        <v>75015</v>
      </c>
      <c r="H806" s="31" t="s">
        <v>36</v>
      </c>
      <c r="I806" s="32" t="n">
        <v>144494848</v>
      </c>
      <c r="J806" s="33" t="n">
        <v>134</v>
      </c>
      <c r="K806" s="33" t="n">
        <v>2</v>
      </c>
      <c r="L806" s="34"/>
      <c r="M806" s="44" t="s">
        <v>321</v>
      </c>
      <c r="N806" s="36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9"/>
      <c r="Z806" s="39"/>
      <c r="AA806" s="28"/>
      <c r="AMJ806" s="0"/>
    </row>
    <row r="807" s="2" customFormat="true" ht="12.75" hidden="false" customHeight="true" outlineLevel="0" collapsed="false">
      <c r="A807" s="27" t="s">
        <v>1711</v>
      </c>
      <c r="B807" s="27" t="s">
        <v>1305</v>
      </c>
      <c r="C807" s="28" t="s">
        <v>121</v>
      </c>
      <c r="D807" s="27" t="s">
        <v>1536</v>
      </c>
      <c r="E807" s="27" t="s">
        <v>1585</v>
      </c>
      <c r="F807" s="29" t="s">
        <v>1586</v>
      </c>
      <c r="G807" s="30" t="n">
        <v>75015</v>
      </c>
      <c r="H807" s="31" t="s">
        <v>36</v>
      </c>
      <c r="I807" s="32" t="n">
        <v>144494344</v>
      </c>
      <c r="J807" s="33" t="n">
        <v>134</v>
      </c>
      <c r="K807" s="33" t="n">
        <v>1</v>
      </c>
      <c r="L807" s="34"/>
      <c r="M807" s="44" t="s">
        <v>321</v>
      </c>
      <c r="N807" s="36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9"/>
      <c r="Z807" s="39"/>
      <c r="AA807" s="28"/>
      <c r="AMJ807" s="0"/>
    </row>
    <row r="808" s="2" customFormat="true" ht="12.75" hidden="false" customHeight="true" outlineLevel="0" collapsed="false">
      <c r="A808" s="27" t="s">
        <v>1712</v>
      </c>
      <c r="B808" s="27" t="s">
        <v>884</v>
      </c>
      <c r="C808" s="28" t="s">
        <v>121</v>
      </c>
      <c r="D808" s="27" t="s">
        <v>1536</v>
      </c>
      <c r="E808" s="27" t="s">
        <v>1585</v>
      </c>
      <c r="F808" s="29" t="s">
        <v>1586</v>
      </c>
      <c r="G808" s="30" t="n">
        <v>75015</v>
      </c>
      <c r="H808" s="31" t="s">
        <v>36</v>
      </c>
      <c r="I808" s="32" t="n">
        <v>144494854</v>
      </c>
      <c r="J808" s="33" t="n">
        <v>134</v>
      </c>
      <c r="K808" s="33" t="n">
        <v>2</v>
      </c>
      <c r="L808" s="34"/>
      <c r="M808" s="44" t="s">
        <v>321</v>
      </c>
      <c r="N808" s="36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9"/>
      <c r="Z808" s="39"/>
      <c r="AA808" s="28"/>
      <c r="AMJ808" s="0"/>
    </row>
    <row r="809" s="2" customFormat="true" ht="12.75" hidden="false" customHeight="true" outlineLevel="0" collapsed="false">
      <c r="A809" s="27" t="s">
        <v>1713</v>
      </c>
      <c r="B809" s="27" t="s">
        <v>124</v>
      </c>
      <c r="C809" s="28" t="s">
        <v>121</v>
      </c>
      <c r="D809" s="27" t="s">
        <v>1536</v>
      </c>
      <c r="E809" s="27" t="s">
        <v>1585</v>
      </c>
      <c r="F809" s="29" t="s">
        <v>1586</v>
      </c>
      <c r="G809" s="30" t="n">
        <v>75015</v>
      </c>
      <c r="H809" s="31" t="s">
        <v>36</v>
      </c>
      <c r="I809" s="32" t="n">
        <v>144381507</v>
      </c>
      <c r="J809" s="33" t="n">
        <v>134</v>
      </c>
      <c r="K809" s="33" t="n">
        <v>0</v>
      </c>
      <c r="L809" s="34"/>
      <c r="M809" s="44" t="s">
        <v>321</v>
      </c>
      <c r="N809" s="36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9"/>
      <c r="Z809" s="39"/>
      <c r="AA809" s="28"/>
      <c r="AMJ809" s="0"/>
    </row>
    <row r="810" s="2" customFormat="true" ht="12.75" hidden="false" customHeight="true" outlineLevel="0" collapsed="false">
      <c r="A810" s="27" t="s">
        <v>1714</v>
      </c>
      <c r="B810" s="27" t="s">
        <v>749</v>
      </c>
      <c r="C810" s="28" t="s">
        <v>121</v>
      </c>
      <c r="D810" s="27" t="s">
        <v>1536</v>
      </c>
      <c r="E810" s="27" t="s">
        <v>1585</v>
      </c>
      <c r="F810" s="29" t="s">
        <v>1586</v>
      </c>
      <c r="G810" s="30" t="n">
        <v>75015</v>
      </c>
      <c r="H810" s="31" t="s">
        <v>36</v>
      </c>
      <c r="I810" s="32" t="n">
        <v>144495888</v>
      </c>
      <c r="J810" s="33" t="n">
        <v>134</v>
      </c>
      <c r="K810" s="33" t="n">
        <v>0</v>
      </c>
      <c r="L810" s="34"/>
      <c r="M810" s="44" t="s">
        <v>321</v>
      </c>
      <c r="N810" s="36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9"/>
      <c r="Z810" s="39"/>
      <c r="AA810" s="28"/>
      <c r="AMJ810" s="0"/>
    </row>
    <row r="811" s="2" customFormat="true" ht="12.75" hidden="false" customHeight="true" outlineLevel="0" collapsed="false">
      <c r="A811" s="27" t="s">
        <v>1715</v>
      </c>
      <c r="B811" s="27" t="s">
        <v>537</v>
      </c>
      <c r="C811" s="28" t="s">
        <v>121</v>
      </c>
      <c r="D811" s="27" t="s">
        <v>1536</v>
      </c>
      <c r="E811" s="27" t="s">
        <v>1585</v>
      </c>
      <c r="F811" s="29" t="s">
        <v>1586</v>
      </c>
      <c r="G811" s="30" t="n">
        <v>75015</v>
      </c>
      <c r="H811" s="31" t="s">
        <v>36</v>
      </c>
      <c r="I811" s="32" t="n">
        <v>144494801</v>
      </c>
      <c r="J811" s="33" t="n">
        <v>134</v>
      </c>
      <c r="K811" s="33" t="n">
        <v>12</v>
      </c>
      <c r="L811" s="34"/>
      <c r="M811" s="44" t="s">
        <v>321</v>
      </c>
      <c r="N811" s="36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9"/>
      <c r="Z811" s="39"/>
      <c r="AA811" s="28"/>
      <c r="AMJ811" s="0"/>
    </row>
    <row r="812" s="2" customFormat="true" ht="12.75" hidden="false" customHeight="true" outlineLevel="0" collapsed="false">
      <c r="A812" s="27" t="s">
        <v>1716</v>
      </c>
      <c r="B812" s="27" t="s">
        <v>1601</v>
      </c>
      <c r="C812" s="28" t="s">
        <v>121</v>
      </c>
      <c r="D812" s="27" t="s">
        <v>1536</v>
      </c>
      <c r="E812" s="27" t="s">
        <v>1585</v>
      </c>
      <c r="F812" s="29" t="s">
        <v>1586</v>
      </c>
      <c r="G812" s="30" t="n">
        <v>75015</v>
      </c>
      <c r="H812" s="31" t="s">
        <v>36</v>
      </c>
      <c r="I812" s="32" t="n">
        <v>144494221</v>
      </c>
      <c r="J812" s="33" t="n">
        <v>134</v>
      </c>
      <c r="K812" s="33" t="n">
        <v>0</v>
      </c>
      <c r="L812" s="34"/>
      <c r="M812" s="44" t="s">
        <v>321</v>
      </c>
      <c r="N812" s="36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9"/>
      <c r="Z812" s="39"/>
      <c r="AA812" s="28"/>
      <c r="AMJ812" s="0"/>
    </row>
    <row r="813" s="2" customFormat="true" ht="12.75" hidden="false" customHeight="true" outlineLevel="0" collapsed="false">
      <c r="A813" s="27" t="s">
        <v>1717</v>
      </c>
      <c r="B813" s="27" t="s">
        <v>210</v>
      </c>
      <c r="C813" s="28" t="s">
        <v>121</v>
      </c>
      <c r="D813" s="27" t="s">
        <v>1536</v>
      </c>
      <c r="E813" s="27" t="s">
        <v>1585</v>
      </c>
      <c r="F813" s="29" t="s">
        <v>1586</v>
      </c>
      <c r="G813" s="30" t="n">
        <v>75015</v>
      </c>
      <c r="H813" s="31" t="s">
        <v>36</v>
      </c>
      <c r="I813" s="32" t="n">
        <v>144494292</v>
      </c>
      <c r="J813" s="33" t="n">
        <v>134</v>
      </c>
      <c r="K813" s="33" t="n">
        <v>1</v>
      </c>
      <c r="L813" s="34"/>
      <c r="M813" s="44" t="s">
        <v>321</v>
      </c>
      <c r="N813" s="36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9"/>
      <c r="Z813" s="39"/>
      <c r="AA813" s="28"/>
      <c r="AMJ813" s="0"/>
    </row>
    <row r="814" s="2" customFormat="true" ht="12.75" hidden="false" customHeight="true" outlineLevel="0" collapsed="false">
      <c r="A814" s="27" t="s">
        <v>1718</v>
      </c>
      <c r="B814" s="27" t="s">
        <v>1719</v>
      </c>
      <c r="C814" s="28" t="s">
        <v>121</v>
      </c>
      <c r="D814" s="27" t="s">
        <v>1536</v>
      </c>
      <c r="E814" s="27" t="s">
        <v>1585</v>
      </c>
      <c r="F814" s="29" t="s">
        <v>1586</v>
      </c>
      <c r="G814" s="30" t="n">
        <v>75015</v>
      </c>
      <c r="H814" s="31" t="s">
        <v>36</v>
      </c>
      <c r="I814" s="32" t="n">
        <v>144494344</v>
      </c>
      <c r="J814" s="33" t="n">
        <v>134</v>
      </c>
      <c r="K814" s="33" t="n">
        <v>1</v>
      </c>
      <c r="L814" s="34"/>
      <c r="M814" s="44" t="s">
        <v>321</v>
      </c>
      <c r="N814" s="36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9"/>
      <c r="Z814" s="39"/>
      <c r="AA814" s="28"/>
      <c r="AMJ814" s="0"/>
    </row>
    <row r="815" s="2" customFormat="true" ht="12.75" hidden="false" customHeight="true" outlineLevel="0" collapsed="false">
      <c r="A815" s="27" t="s">
        <v>1720</v>
      </c>
      <c r="B815" s="27" t="s">
        <v>1721</v>
      </c>
      <c r="C815" s="28" t="s">
        <v>121</v>
      </c>
      <c r="D815" s="27" t="s">
        <v>1536</v>
      </c>
      <c r="E815" s="27" t="s">
        <v>1585</v>
      </c>
      <c r="F815" s="29" t="s">
        <v>1586</v>
      </c>
      <c r="G815" s="30" t="n">
        <v>75015</v>
      </c>
      <c r="H815" s="31" t="s">
        <v>36</v>
      </c>
      <c r="I815" s="32" t="n">
        <v>144494882</v>
      </c>
      <c r="J815" s="33" t="n">
        <v>134</v>
      </c>
      <c r="K815" s="33" t="n">
        <v>1</v>
      </c>
      <c r="L815" s="34"/>
      <c r="M815" s="44" t="s">
        <v>321</v>
      </c>
      <c r="N815" s="36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9"/>
      <c r="Z815" s="39"/>
      <c r="AA815" s="28"/>
      <c r="AMJ815" s="0"/>
    </row>
    <row r="816" s="2" customFormat="true" ht="12.75" hidden="false" customHeight="true" outlineLevel="0" collapsed="false">
      <c r="A816" s="27" t="s">
        <v>1722</v>
      </c>
      <c r="B816" s="27" t="s">
        <v>846</v>
      </c>
      <c r="C816" s="28" t="s">
        <v>121</v>
      </c>
      <c r="D816" s="27" t="s">
        <v>1536</v>
      </c>
      <c r="E816" s="27" t="s">
        <v>1585</v>
      </c>
      <c r="F816" s="29" t="s">
        <v>1586</v>
      </c>
      <c r="G816" s="30" t="n">
        <v>75015</v>
      </c>
      <c r="H816" s="31" t="s">
        <v>36</v>
      </c>
      <c r="I816" s="32" t="n">
        <v>144494894</v>
      </c>
      <c r="J816" s="33" t="n">
        <v>134</v>
      </c>
      <c r="K816" s="33" t="n">
        <v>1</v>
      </c>
      <c r="L816" s="34"/>
      <c r="M816" s="44" t="s">
        <v>321</v>
      </c>
      <c r="N816" s="36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9"/>
      <c r="Z816" s="39"/>
      <c r="AA816" s="28"/>
      <c r="AMJ816" s="0"/>
    </row>
    <row r="817" s="2" customFormat="true" ht="12.75" hidden="false" customHeight="true" outlineLevel="0" collapsed="false">
      <c r="A817" s="59" t="s">
        <v>1723</v>
      </c>
      <c r="B817" s="59" t="s">
        <v>61</v>
      </c>
      <c r="C817" s="60" t="s">
        <v>121</v>
      </c>
      <c r="D817" s="61" t="s">
        <v>1536</v>
      </c>
      <c r="E817" s="61" t="s">
        <v>1585</v>
      </c>
      <c r="F817" s="62" t="s">
        <v>1586</v>
      </c>
      <c r="G817" s="63" t="n">
        <v>75015</v>
      </c>
      <c r="H817" s="64" t="s">
        <v>36</v>
      </c>
      <c r="I817" s="65" t="n">
        <v>171196084</v>
      </c>
      <c r="J817" s="66" t="n">
        <v>134</v>
      </c>
      <c r="K817" s="66" t="n">
        <v>4</v>
      </c>
      <c r="L817" s="67"/>
      <c r="M817" s="68" t="s">
        <v>321</v>
      </c>
      <c r="N817" s="69" t="s">
        <v>1680</v>
      </c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9"/>
      <c r="Z817" s="39"/>
      <c r="AA817" s="28"/>
      <c r="AMJ817" s="0"/>
    </row>
    <row r="818" s="2" customFormat="true" ht="12.75" hidden="false" customHeight="true" outlineLevel="0" collapsed="false">
      <c r="A818" s="27" t="s">
        <v>1724</v>
      </c>
      <c r="B818" s="27" t="s">
        <v>1725</v>
      </c>
      <c r="C818" s="28" t="s">
        <v>121</v>
      </c>
      <c r="D818" s="27" t="s">
        <v>1536</v>
      </c>
      <c r="E818" s="27" t="s">
        <v>1585</v>
      </c>
      <c r="F818" s="29" t="s">
        <v>1586</v>
      </c>
      <c r="G818" s="30" t="n">
        <v>75015</v>
      </c>
      <c r="H818" s="31" t="s">
        <v>36</v>
      </c>
      <c r="I818" s="32" t="n">
        <v>144494824</v>
      </c>
      <c r="J818" s="33" t="n">
        <v>134</v>
      </c>
      <c r="K818" s="33" t="n">
        <v>1</v>
      </c>
      <c r="L818" s="34"/>
      <c r="M818" s="44" t="s">
        <v>321</v>
      </c>
      <c r="N818" s="36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9"/>
      <c r="Z818" s="39"/>
      <c r="AA818" s="28"/>
      <c r="AMJ818" s="0"/>
    </row>
    <row r="819" s="2" customFormat="true" ht="12.75" hidden="false" customHeight="true" outlineLevel="0" collapsed="false">
      <c r="A819" s="27" t="s">
        <v>1726</v>
      </c>
      <c r="B819" s="27" t="s">
        <v>374</v>
      </c>
      <c r="C819" s="28" t="s">
        <v>121</v>
      </c>
      <c r="D819" s="27" t="s">
        <v>1536</v>
      </c>
      <c r="E819" s="27" t="s">
        <v>1585</v>
      </c>
      <c r="F819" s="29" t="s">
        <v>1586</v>
      </c>
      <c r="G819" s="30" t="n">
        <v>75015</v>
      </c>
      <c r="H819" s="31" t="s">
        <v>36</v>
      </c>
      <c r="I819" s="32" t="n">
        <v>144494882</v>
      </c>
      <c r="J819" s="33" t="n">
        <v>134</v>
      </c>
      <c r="K819" s="33" t="n">
        <v>1</v>
      </c>
      <c r="L819" s="34"/>
      <c r="M819" s="44" t="s">
        <v>321</v>
      </c>
      <c r="N819" s="36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9"/>
      <c r="Z819" s="39"/>
      <c r="AA819" s="28"/>
      <c r="AMJ819" s="0"/>
    </row>
    <row r="820" s="2" customFormat="true" ht="12.75" hidden="false" customHeight="true" outlineLevel="0" collapsed="false">
      <c r="A820" s="27" t="s">
        <v>1727</v>
      </c>
      <c r="B820" s="27" t="s">
        <v>1725</v>
      </c>
      <c r="C820" s="28" t="s">
        <v>121</v>
      </c>
      <c r="D820" s="27" t="s">
        <v>1536</v>
      </c>
      <c r="E820" s="27" t="s">
        <v>1585</v>
      </c>
      <c r="F820" s="29" t="s">
        <v>1586</v>
      </c>
      <c r="G820" s="30" t="n">
        <v>75015</v>
      </c>
      <c r="H820" s="31" t="s">
        <v>36</v>
      </c>
      <c r="I820" s="32" t="n">
        <v>144494882</v>
      </c>
      <c r="J820" s="33" t="n">
        <v>134</v>
      </c>
      <c r="K820" s="33" t="n">
        <v>1</v>
      </c>
      <c r="L820" s="34"/>
      <c r="M820" s="44" t="s">
        <v>321</v>
      </c>
      <c r="N820" s="36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9"/>
      <c r="Z820" s="39"/>
      <c r="AA820" s="28"/>
      <c r="AMJ820" s="0"/>
    </row>
    <row r="821" s="2" customFormat="true" ht="12.75" hidden="false" customHeight="true" outlineLevel="0" collapsed="false">
      <c r="A821" s="27" t="s">
        <v>1728</v>
      </c>
      <c r="B821" s="27" t="s">
        <v>145</v>
      </c>
      <c r="C821" s="28" t="s">
        <v>121</v>
      </c>
      <c r="D821" s="27" t="s">
        <v>1536</v>
      </c>
      <c r="E821" s="27" t="s">
        <v>1585</v>
      </c>
      <c r="F821" s="29" t="s">
        <v>1586</v>
      </c>
      <c r="G821" s="30" t="n">
        <v>75015</v>
      </c>
      <c r="H821" s="31" t="s">
        <v>36</v>
      </c>
      <c r="I821" s="32" t="n">
        <v>144494848</v>
      </c>
      <c r="J821" s="33" t="n">
        <v>134</v>
      </c>
      <c r="K821" s="33" t="n">
        <v>6</v>
      </c>
      <c r="L821" s="34"/>
      <c r="M821" s="44" t="s">
        <v>321</v>
      </c>
      <c r="N821" s="36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9"/>
      <c r="Z821" s="39"/>
      <c r="AA821" s="28"/>
      <c r="AMJ821" s="0"/>
    </row>
    <row r="822" s="2" customFormat="true" ht="12.75" hidden="false" customHeight="true" outlineLevel="0" collapsed="false">
      <c r="A822" s="27" t="s">
        <v>1729</v>
      </c>
      <c r="B822" s="27" t="s">
        <v>558</v>
      </c>
      <c r="C822" s="28" t="s">
        <v>121</v>
      </c>
      <c r="D822" s="27" t="s">
        <v>1536</v>
      </c>
      <c r="E822" s="27" t="s">
        <v>1585</v>
      </c>
      <c r="F822" s="29" t="s">
        <v>1586</v>
      </c>
      <c r="G822" s="30" t="n">
        <v>75015</v>
      </c>
      <c r="H822" s="31" t="s">
        <v>36</v>
      </c>
      <c r="I822" s="32" t="n">
        <v>144494854</v>
      </c>
      <c r="J822" s="33" t="n">
        <v>134</v>
      </c>
      <c r="K822" s="33" t="n">
        <v>2</v>
      </c>
      <c r="L822" s="34" t="n">
        <v>1</v>
      </c>
      <c r="M822" s="44" t="s">
        <v>321</v>
      </c>
      <c r="N822" s="36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39"/>
      <c r="Z822" s="39"/>
      <c r="AA822" s="28" t="n">
        <v>2</v>
      </c>
      <c r="AMJ822" s="0"/>
    </row>
    <row r="823" s="2" customFormat="true" ht="12.75" hidden="false" customHeight="true" outlineLevel="0" collapsed="false">
      <c r="A823" s="27" t="s">
        <v>1730</v>
      </c>
      <c r="B823" s="27" t="s">
        <v>1521</v>
      </c>
      <c r="C823" s="28" t="s">
        <v>121</v>
      </c>
      <c r="D823" s="27" t="s">
        <v>1536</v>
      </c>
      <c r="E823" s="27" t="s">
        <v>1585</v>
      </c>
      <c r="F823" s="29" t="s">
        <v>1586</v>
      </c>
      <c r="G823" s="30" t="n">
        <v>75015</v>
      </c>
      <c r="H823" s="31" t="s">
        <v>36</v>
      </c>
      <c r="I823" s="32" t="n">
        <v>144494292</v>
      </c>
      <c r="J823" s="33" t="n">
        <v>134</v>
      </c>
      <c r="K823" s="33" t="n">
        <v>1</v>
      </c>
      <c r="L823" s="34"/>
      <c r="M823" s="44" t="s">
        <v>321</v>
      </c>
      <c r="N823" s="36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9"/>
      <c r="Z823" s="39"/>
      <c r="AA823" s="28"/>
      <c r="AMJ823" s="0"/>
    </row>
    <row r="824" s="2" customFormat="true" ht="12.75" hidden="false" customHeight="true" outlineLevel="0" collapsed="false">
      <c r="A824" s="27" t="s">
        <v>1731</v>
      </c>
      <c r="B824" s="27" t="s">
        <v>490</v>
      </c>
      <c r="C824" s="28" t="s">
        <v>121</v>
      </c>
      <c r="D824" s="27" t="s">
        <v>1536</v>
      </c>
      <c r="E824" s="27" t="s">
        <v>1585</v>
      </c>
      <c r="F824" s="29" t="s">
        <v>1586</v>
      </c>
      <c r="G824" s="30" t="n">
        <v>75015</v>
      </c>
      <c r="H824" s="31" t="s">
        <v>36</v>
      </c>
      <c r="I824" s="32" t="n">
        <v>144381507</v>
      </c>
      <c r="J824" s="33" t="n">
        <v>134</v>
      </c>
      <c r="K824" s="33" t="n">
        <v>1</v>
      </c>
      <c r="L824" s="34"/>
      <c r="M824" s="44" t="s">
        <v>321</v>
      </c>
      <c r="N824" s="36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9"/>
      <c r="Z824" s="39"/>
      <c r="AA824" s="28"/>
      <c r="AMJ824" s="0"/>
    </row>
    <row r="825" s="2" customFormat="true" ht="12.75" hidden="false" customHeight="true" outlineLevel="0" collapsed="false">
      <c r="A825" s="27" t="s">
        <v>1732</v>
      </c>
      <c r="B825" s="27" t="s">
        <v>1733</v>
      </c>
      <c r="C825" s="28" t="s">
        <v>121</v>
      </c>
      <c r="D825" s="27" t="s">
        <v>1536</v>
      </c>
      <c r="E825" s="27" t="s">
        <v>1585</v>
      </c>
      <c r="F825" s="29" t="s">
        <v>1586</v>
      </c>
      <c r="G825" s="30" t="n">
        <v>75015</v>
      </c>
      <c r="H825" s="31" t="s">
        <v>36</v>
      </c>
      <c r="I825" s="32" t="n">
        <v>142730553</v>
      </c>
      <c r="J825" s="33" t="n">
        <v>134</v>
      </c>
      <c r="K825" s="33" t="n">
        <v>1</v>
      </c>
      <c r="L825" s="34"/>
      <c r="M825" s="44" t="s">
        <v>321</v>
      </c>
      <c r="N825" s="36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9"/>
      <c r="Z825" s="39"/>
      <c r="AA825" s="28"/>
      <c r="AMJ825" s="0"/>
    </row>
    <row r="826" s="2" customFormat="true" ht="12.75" hidden="false" customHeight="true" outlineLevel="0" collapsed="false">
      <c r="A826" s="27" t="s">
        <v>1734</v>
      </c>
      <c r="B826" s="27" t="s">
        <v>537</v>
      </c>
      <c r="C826" s="28" t="s">
        <v>121</v>
      </c>
      <c r="D826" s="27" t="s">
        <v>1536</v>
      </c>
      <c r="E826" s="27" t="s">
        <v>1585</v>
      </c>
      <c r="F826" s="29" t="s">
        <v>1586</v>
      </c>
      <c r="G826" s="30" t="n">
        <v>75015</v>
      </c>
      <c r="H826" s="31" t="s">
        <v>36</v>
      </c>
      <c r="I826" s="32" t="n">
        <v>144494848</v>
      </c>
      <c r="J826" s="33" t="n">
        <v>134</v>
      </c>
      <c r="K826" s="33" t="n">
        <v>3</v>
      </c>
      <c r="L826" s="34"/>
      <c r="M826" s="44" t="s">
        <v>321</v>
      </c>
      <c r="N826" s="36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9"/>
      <c r="Z826" s="39"/>
      <c r="AA826" s="28"/>
      <c r="AMJ826" s="0"/>
    </row>
    <row r="827" s="2" customFormat="true" ht="12.75" hidden="false" customHeight="true" outlineLevel="0" collapsed="false">
      <c r="A827" s="27" t="s">
        <v>1735</v>
      </c>
      <c r="B827" s="27" t="s">
        <v>1279</v>
      </c>
      <c r="C827" s="28" t="s">
        <v>121</v>
      </c>
      <c r="D827" s="27" t="s">
        <v>1536</v>
      </c>
      <c r="E827" s="27" t="s">
        <v>1585</v>
      </c>
      <c r="F827" s="29" t="s">
        <v>1586</v>
      </c>
      <c r="G827" s="30" t="n">
        <v>75015</v>
      </c>
      <c r="H827" s="31" t="s">
        <v>36</v>
      </c>
      <c r="I827" s="32" t="n">
        <v>144494852</v>
      </c>
      <c r="J827" s="33" t="n">
        <v>134</v>
      </c>
      <c r="K827" s="33" t="n">
        <v>2</v>
      </c>
      <c r="L827" s="34"/>
      <c r="M827" s="44" t="s">
        <v>321</v>
      </c>
      <c r="N827" s="36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9"/>
      <c r="Z827" s="39"/>
      <c r="AA827" s="28"/>
      <c r="AMJ827" s="0"/>
    </row>
    <row r="828" s="2" customFormat="true" ht="12.75" hidden="false" customHeight="true" outlineLevel="0" collapsed="false">
      <c r="A828" s="27" t="s">
        <v>1736</v>
      </c>
      <c r="B828" s="27" t="s">
        <v>151</v>
      </c>
      <c r="C828" s="28" t="s">
        <v>121</v>
      </c>
      <c r="D828" s="27" t="s">
        <v>1536</v>
      </c>
      <c r="E828" s="27" t="s">
        <v>1585</v>
      </c>
      <c r="F828" s="29" t="s">
        <v>1586</v>
      </c>
      <c r="G828" s="30" t="n">
        <v>75015</v>
      </c>
      <c r="H828" s="31" t="s">
        <v>36</v>
      </c>
      <c r="I828" s="32" t="n">
        <v>144494198</v>
      </c>
      <c r="J828" s="33" t="n">
        <v>134</v>
      </c>
      <c r="K828" s="33" t="n">
        <v>3</v>
      </c>
      <c r="L828" s="34"/>
      <c r="M828" s="44" t="s">
        <v>321</v>
      </c>
      <c r="N828" s="36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9"/>
      <c r="Z828" s="39"/>
      <c r="AA828" s="28"/>
      <c r="AMJ828" s="0"/>
    </row>
    <row r="829" s="2" customFormat="true" ht="12.75" hidden="false" customHeight="true" outlineLevel="0" collapsed="false">
      <c r="A829" s="27" t="s">
        <v>1737</v>
      </c>
      <c r="B829" s="27" t="s">
        <v>250</v>
      </c>
      <c r="C829" s="28" t="s">
        <v>121</v>
      </c>
      <c r="D829" s="27" t="s">
        <v>1536</v>
      </c>
      <c r="E829" s="27" t="s">
        <v>1585</v>
      </c>
      <c r="F829" s="29" t="s">
        <v>1586</v>
      </c>
      <c r="G829" s="30" t="n">
        <v>75015</v>
      </c>
      <c r="H829" s="31" t="s">
        <v>36</v>
      </c>
      <c r="I829" s="32" t="n">
        <v>144494854</v>
      </c>
      <c r="J829" s="33" t="n">
        <v>134</v>
      </c>
      <c r="K829" s="33" t="n">
        <v>1</v>
      </c>
      <c r="L829" s="34" t="n">
        <v>1</v>
      </c>
      <c r="M829" s="44" t="s">
        <v>321</v>
      </c>
      <c r="N829" s="36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39"/>
      <c r="Z829" s="39"/>
      <c r="AA829" s="28" t="n">
        <v>2</v>
      </c>
      <c r="AMJ829" s="0"/>
    </row>
    <row r="830" s="2" customFormat="true" ht="12.75" hidden="false" customHeight="true" outlineLevel="0" collapsed="false">
      <c r="A830" s="27" t="s">
        <v>1738</v>
      </c>
      <c r="B830" s="27" t="s">
        <v>273</v>
      </c>
      <c r="C830" s="28" t="s">
        <v>121</v>
      </c>
      <c r="D830" s="27" t="s">
        <v>1536</v>
      </c>
      <c r="E830" s="27" t="s">
        <v>1585</v>
      </c>
      <c r="F830" s="29" t="s">
        <v>1586</v>
      </c>
      <c r="G830" s="30" t="n">
        <v>75015</v>
      </c>
      <c r="H830" s="31" t="s">
        <v>36</v>
      </c>
      <c r="I830" s="32" t="n">
        <v>144494848</v>
      </c>
      <c r="J830" s="33" t="n">
        <v>134</v>
      </c>
      <c r="K830" s="33" t="n">
        <v>1</v>
      </c>
      <c r="L830" s="34"/>
      <c r="M830" s="44" t="s">
        <v>321</v>
      </c>
      <c r="N830" s="36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9"/>
      <c r="Z830" s="39"/>
      <c r="AA830" s="28"/>
      <c r="AMJ830" s="0"/>
    </row>
    <row r="831" s="2" customFormat="true" ht="12.75" hidden="false" customHeight="true" outlineLevel="0" collapsed="false">
      <c r="A831" s="27" t="s">
        <v>1739</v>
      </c>
      <c r="B831" s="27" t="s">
        <v>1740</v>
      </c>
      <c r="C831" s="28" t="s">
        <v>121</v>
      </c>
      <c r="D831" s="27" t="s">
        <v>1536</v>
      </c>
      <c r="E831" s="27" t="s">
        <v>1585</v>
      </c>
      <c r="F831" s="29" t="s">
        <v>1586</v>
      </c>
      <c r="G831" s="30" t="n">
        <v>75015</v>
      </c>
      <c r="H831" s="31" t="s">
        <v>36</v>
      </c>
      <c r="I831" s="32" t="n">
        <v>144495057</v>
      </c>
      <c r="J831" s="33" t="n">
        <v>134</v>
      </c>
      <c r="K831" s="33" t="n">
        <v>1</v>
      </c>
      <c r="L831" s="34"/>
      <c r="M831" s="44" t="s">
        <v>321</v>
      </c>
      <c r="N831" s="36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9"/>
      <c r="Z831" s="39"/>
      <c r="AA831" s="28"/>
      <c r="AMJ831" s="0"/>
    </row>
    <row r="832" s="2" customFormat="true" ht="12.75" hidden="false" customHeight="true" outlineLevel="0" collapsed="false">
      <c r="A832" s="27" t="s">
        <v>1741</v>
      </c>
      <c r="B832" s="27" t="s">
        <v>1341</v>
      </c>
      <c r="C832" s="28" t="s">
        <v>121</v>
      </c>
      <c r="D832" s="27" t="s">
        <v>1536</v>
      </c>
      <c r="E832" s="27" t="s">
        <v>1585</v>
      </c>
      <c r="F832" s="29" t="s">
        <v>1586</v>
      </c>
      <c r="G832" s="30" t="n">
        <v>75015</v>
      </c>
      <c r="H832" s="31" t="s">
        <v>36</v>
      </c>
      <c r="I832" s="32" t="n">
        <v>144494801</v>
      </c>
      <c r="J832" s="33" t="n">
        <v>134</v>
      </c>
      <c r="K832" s="33" t="n">
        <v>1</v>
      </c>
      <c r="L832" s="34"/>
      <c r="M832" s="44" t="s">
        <v>321</v>
      </c>
      <c r="N832" s="36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9"/>
      <c r="Z832" s="39"/>
      <c r="AA832" s="28"/>
      <c r="AMJ832" s="0"/>
    </row>
    <row r="833" s="2" customFormat="true" ht="12.75" hidden="false" customHeight="true" outlineLevel="0" collapsed="false">
      <c r="A833" s="27" t="s">
        <v>1742</v>
      </c>
      <c r="B833" s="27" t="s">
        <v>1067</v>
      </c>
      <c r="C833" s="28" t="s">
        <v>121</v>
      </c>
      <c r="D833" s="27" t="s">
        <v>1536</v>
      </c>
      <c r="E833" s="27" t="s">
        <v>1585</v>
      </c>
      <c r="F833" s="29" t="s">
        <v>1586</v>
      </c>
      <c r="G833" s="30" t="n">
        <v>75015</v>
      </c>
      <c r="H833" s="31" t="s">
        <v>36</v>
      </c>
      <c r="I833" s="32" t="n">
        <v>144495047</v>
      </c>
      <c r="J833" s="33" t="n">
        <v>134</v>
      </c>
      <c r="K833" s="33" t="n">
        <v>13</v>
      </c>
      <c r="L833" s="34"/>
      <c r="M833" s="44" t="s">
        <v>321</v>
      </c>
      <c r="N833" s="36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9"/>
      <c r="Z833" s="39"/>
      <c r="AA833" s="28"/>
      <c r="AMJ833" s="0"/>
    </row>
    <row r="834" s="2" customFormat="true" ht="12.75" hidden="false" customHeight="true" outlineLevel="0" collapsed="false">
      <c r="A834" s="27" t="s">
        <v>1743</v>
      </c>
      <c r="B834" s="27" t="s">
        <v>234</v>
      </c>
      <c r="C834" s="28" t="s">
        <v>121</v>
      </c>
      <c r="D834" s="27" t="s">
        <v>1536</v>
      </c>
      <c r="E834" s="27" t="s">
        <v>1585</v>
      </c>
      <c r="F834" s="29" t="s">
        <v>1586</v>
      </c>
      <c r="G834" s="30" t="n">
        <v>75015</v>
      </c>
      <c r="H834" s="31" t="s">
        <v>36</v>
      </c>
      <c r="I834" s="32" t="n">
        <v>144494824</v>
      </c>
      <c r="J834" s="33" t="n">
        <v>134</v>
      </c>
      <c r="K834" s="33" t="n">
        <v>14</v>
      </c>
      <c r="L834" s="34"/>
      <c r="M834" s="44" t="s">
        <v>321</v>
      </c>
      <c r="N834" s="36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9"/>
      <c r="Z834" s="39"/>
      <c r="AA834" s="28"/>
      <c r="AMJ834" s="0"/>
    </row>
    <row r="835" s="2" customFormat="true" ht="12.75" hidden="false" customHeight="true" outlineLevel="0" collapsed="false">
      <c r="A835" s="27" t="s">
        <v>1744</v>
      </c>
      <c r="B835" s="27" t="s">
        <v>1745</v>
      </c>
      <c r="C835" s="28" t="s">
        <v>121</v>
      </c>
      <c r="D835" s="27" t="s">
        <v>1536</v>
      </c>
      <c r="E835" s="27" t="s">
        <v>1585</v>
      </c>
      <c r="F835" s="29" t="s">
        <v>1586</v>
      </c>
      <c r="G835" s="30" t="n">
        <v>75015</v>
      </c>
      <c r="H835" s="31" t="s">
        <v>36</v>
      </c>
      <c r="I835" s="32" t="n">
        <v>144494462</v>
      </c>
      <c r="J835" s="33" t="n">
        <v>134</v>
      </c>
      <c r="K835" s="33" t="n">
        <v>2</v>
      </c>
      <c r="L835" s="34"/>
      <c r="M835" s="44" t="s">
        <v>321</v>
      </c>
      <c r="N835" s="36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9"/>
      <c r="Z835" s="39"/>
      <c r="AA835" s="28"/>
      <c r="AMJ835" s="0"/>
    </row>
    <row r="836" s="2" customFormat="true" ht="12.75" hidden="false" customHeight="true" outlineLevel="0" collapsed="false">
      <c r="A836" s="61" t="s">
        <v>690</v>
      </c>
      <c r="B836" s="27" t="s">
        <v>962</v>
      </c>
      <c r="C836" s="28" t="s">
        <v>121</v>
      </c>
      <c r="D836" s="27" t="s">
        <v>1536</v>
      </c>
      <c r="E836" s="27" t="s">
        <v>1585</v>
      </c>
      <c r="F836" s="29" t="s">
        <v>1586</v>
      </c>
      <c r="G836" s="30" t="n">
        <v>75015</v>
      </c>
      <c r="H836" s="31" t="s">
        <v>36</v>
      </c>
      <c r="I836" s="32" t="n">
        <v>144494412</v>
      </c>
      <c r="J836" s="33" t="n">
        <v>134</v>
      </c>
      <c r="K836" s="33" t="n">
        <v>2</v>
      </c>
      <c r="L836" s="34"/>
      <c r="M836" s="44" t="s">
        <v>321</v>
      </c>
      <c r="N836" s="69" t="s">
        <v>1588</v>
      </c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9"/>
      <c r="Z836" s="39"/>
      <c r="AA836" s="28"/>
      <c r="AMJ836" s="0"/>
    </row>
    <row r="837" s="2" customFormat="true" ht="12.75" hidden="false" customHeight="true" outlineLevel="0" collapsed="false">
      <c r="A837" s="27" t="s">
        <v>1746</v>
      </c>
      <c r="B837" s="27" t="s">
        <v>425</v>
      </c>
      <c r="C837" s="28" t="s">
        <v>121</v>
      </c>
      <c r="D837" s="27" t="s">
        <v>1536</v>
      </c>
      <c r="E837" s="27" t="s">
        <v>1585</v>
      </c>
      <c r="F837" s="29" t="s">
        <v>1586</v>
      </c>
      <c r="G837" s="30" t="n">
        <v>75015</v>
      </c>
      <c r="H837" s="31" t="s">
        <v>36</v>
      </c>
      <c r="I837" s="32" t="n">
        <v>171196194</v>
      </c>
      <c r="J837" s="33" t="n">
        <v>134</v>
      </c>
      <c r="K837" s="33" t="n">
        <v>1</v>
      </c>
      <c r="L837" s="34"/>
      <c r="M837" s="44" t="s">
        <v>321</v>
      </c>
      <c r="N837" s="57" t="s">
        <v>1706</v>
      </c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9"/>
      <c r="Z837" s="39"/>
      <c r="AA837" s="28"/>
      <c r="AMJ837" s="0"/>
    </row>
    <row r="838" s="2" customFormat="true" ht="12.75" hidden="false" customHeight="true" outlineLevel="0" collapsed="false">
      <c r="A838" s="27" t="s">
        <v>1747</v>
      </c>
      <c r="B838" s="27" t="s">
        <v>32</v>
      </c>
      <c r="C838" s="28" t="s">
        <v>121</v>
      </c>
      <c r="D838" s="27" t="s">
        <v>1536</v>
      </c>
      <c r="E838" s="27" t="s">
        <v>1585</v>
      </c>
      <c r="F838" s="29" t="s">
        <v>1586</v>
      </c>
      <c r="G838" s="30" t="n">
        <v>75015</v>
      </c>
      <c r="H838" s="31" t="s">
        <v>36</v>
      </c>
      <c r="I838" s="32" t="n">
        <v>144494743</v>
      </c>
      <c r="J838" s="33" t="n">
        <v>134</v>
      </c>
      <c r="K838" s="33" t="n">
        <v>8</v>
      </c>
      <c r="L838" s="34"/>
      <c r="M838" s="44" t="s">
        <v>321</v>
      </c>
      <c r="N838" s="36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9"/>
      <c r="Z838" s="39"/>
      <c r="AA838" s="28"/>
      <c r="AMJ838" s="0"/>
    </row>
    <row r="839" s="2" customFormat="true" ht="12.75" hidden="false" customHeight="true" outlineLevel="0" collapsed="false">
      <c r="A839" s="27" t="s">
        <v>1748</v>
      </c>
      <c r="B839" s="27" t="s">
        <v>584</v>
      </c>
      <c r="C839" s="28" t="s">
        <v>121</v>
      </c>
      <c r="D839" s="27" t="s">
        <v>1536</v>
      </c>
      <c r="E839" s="27" t="s">
        <v>1585</v>
      </c>
      <c r="F839" s="29" t="s">
        <v>1586</v>
      </c>
      <c r="G839" s="30" t="n">
        <v>75015</v>
      </c>
      <c r="H839" s="31" t="s">
        <v>36</v>
      </c>
      <c r="I839" s="32" t="n">
        <v>144494801</v>
      </c>
      <c r="J839" s="33" t="n">
        <v>134</v>
      </c>
      <c r="K839" s="33" t="n">
        <v>1</v>
      </c>
      <c r="L839" s="34"/>
      <c r="M839" s="44" t="s">
        <v>321</v>
      </c>
      <c r="N839" s="36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9"/>
      <c r="Z839" s="39"/>
      <c r="AA839" s="28"/>
      <c r="AMJ839" s="0"/>
    </row>
    <row r="840" s="2" customFormat="true" ht="12.75" hidden="false" customHeight="true" outlineLevel="0" collapsed="false">
      <c r="A840" s="27" t="s">
        <v>1749</v>
      </c>
      <c r="B840" s="27" t="s">
        <v>47</v>
      </c>
      <c r="C840" s="28" t="s">
        <v>121</v>
      </c>
      <c r="D840" s="27" t="s">
        <v>1536</v>
      </c>
      <c r="E840" s="27" t="s">
        <v>1585</v>
      </c>
      <c r="F840" s="29" t="s">
        <v>1586</v>
      </c>
      <c r="G840" s="30" t="n">
        <v>75015</v>
      </c>
      <c r="H840" s="31" t="s">
        <v>36</v>
      </c>
      <c r="I840" s="32" t="n">
        <v>144494221</v>
      </c>
      <c r="J840" s="33" t="n">
        <v>134</v>
      </c>
      <c r="K840" s="33" t="n">
        <v>1</v>
      </c>
      <c r="L840" s="34"/>
      <c r="M840" s="44" t="s">
        <v>321</v>
      </c>
      <c r="N840" s="36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9"/>
      <c r="Z840" s="39"/>
      <c r="AA840" s="28"/>
      <c r="AMJ840" s="0"/>
    </row>
    <row r="841" s="2" customFormat="true" ht="12.75" hidden="false" customHeight="true" outlineLevel="0" collapsed="false">
      <c r="A841" s="27" t="s">
        <v>445</v>
      </c>
      <c r="B841" s="27" t="s">
        <v>329</v>
      </c>
      <c r="C841" s="28" t="s">
        <v>121</v>
      </c>
      <c r="D841" s="27" t="s">
        <v>1536</v>
      </c>
      <c r="E841" s="27" t="s">
        <v>1585</v>
      </c>
      <c r="F841" s="29" t="s">
        <v>1586</v>
      </c>
      <c r="G841" s="30" t="n">
        <v>75015</v>
      </c>
      <c r="H841" s="31" t="s">
        <v>36</v>
      </c>
      <c r="I841" s="32" t="n">
        <v>144381903</v>
      </c>
      <c r="J841" s="33" t="n">
        <v>134</v>
      </c>
      <c r="K841" s="33" t="n">
        <v>1</v>
      </c>
      <c r="L841" s="34"/>
      <c r="M841" s="44" t="s">
        <v>321</v>
      </c>
      <c r="N841" s="36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9"/>
      <c r="Z841" s="39"/>
      <c r="AA841" s="28"/>
      <c r="AMJ841" s="0"/>
    </row>
    <row r="842" s="2" customFormat="true" ht="12.75" hidden="false" customHeight="true" outlineLevel="0" collapsed="false">
      <c r="A842" s="27" t="s">
        <v>1750</v>
      </c>
      <c r="B842" s="27" t="s">
        <v>1751</v>
      </c>
      <c r="C842" s="28" t="s">
        <v>121</v>
      </c>
      <c r="D842" s="27" t="s">
        <v>1536</v>
      </c>
      <c r="E842" s="27" t="s">
        <v>1585</v>
      </c>
      <c r="F842" s="29" t="s">
        <v>1586</v>
      </c>
      <c r="G842" s="30" t="n">
        <v>75015</v>
      </c>
      <c r="H842" s="31" t="s">
        <v>36</v>
      </c>
      <c r="I842" s="32" t="n">
        <v>171196194</v>
      </c>
      <c r="J842" s="33" t="n">
        <v>134</v>
      </c>
      <c r="K842" s="33" t="n">
        <v>2</v>
      </c>
      <c r="L842" s="34"/>
      <c r="M842" s="44" t="s">
        <v>321</v>
      </c>
      <c r="N842" s="57" t="s">
        <v>1706</v>
      </c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9"/>
      <c r="Z842" s="39"/>
      <c r="AA842" s="28"/>
      <c r="AMJ842" s="0"/>
    </row>
    <row r="843" s="2" customFormat="true" ht="12.75" hidden="false" customHeight="true" outlineLevel="0" collapsed="false">
      <c r="A843" s="27" t="s">
        <v>1752</v>
      </c>
      <c r="B843" s="27" t="s">
        <v>1632</v>
      </c>
      <c r="C843" s="28" t="s">
        <v>121</v>
      </c>
      <c r="D843" s="27" t="s">
        <v>1536</v>
      </c>
      <c r="E843" s="27" t="s">
        <v>1585</v>
      </c>
      <c r="F843" s="29" t="s">
        <v>1586</v>
      </c>
      <c r="G843" s="30" t="n">
        <v>75015</v>
      </c>
      <c r="H843" s="31" t="s">
        <v>36</v>
      </c>
      <c r="I843" s="32" t="n">
        <v>144494848</v>
      </c>
      <c r="J843" s="33" t="n">
        <v>134</v>
      </c>
      <c r="K843" s="33" t="n">
        <v>7</v>
      </c>
      <c r="L843" s="34"/>
      <c r="M843" s="44" t="s">
        <v>321</v>
      </c>
      <c r="N843" s="36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9"/>
      <c r="Z843" s="39"/>
      <c r="AA843" s="28"/>
      <c r="AMJ843" s="0"/>
    </row>
    <row r="844" s="2" customFormat="true" ht="12.75" hidden="false" customHeight="true" outlineLevel="0" collapsed="false">
      <c r="A844" s="27" t="s">
        <v>1753</v>
      </c>
      <c r="B844" s="27" t="s">
        <v>250</v>
      </c>
      <c r="C844" s="28" t="s">
        <v>121</v>
      </c>
      <c r="D844" s="27" t="s">
        <v>1536</v>
      </c>
      <c r="E844" s="27" t="s">
        <v>1585</v>
      </c>
      <c r="F844" s="29" t="s">
        <v>1586</v>
      </c>
      <c r="G844" s="30" t="n">
        <v>75015</v>
      </c>
      <c r="H844" s="31" t="s">
        <v>36</v>
      </c>
      <c r="I844" s="32" t="n">
        <v>144494292</v>
      </c>
      <c r="J844" s="33" t="n">
        <v>134</v>
      </c>
      <c r="K844" s="33" t="n">
        <v>1</v>
      </c>
      <c r="L844" s="34"/>
      <c r="M844" s="44" t="s">
        <v>321</v>
      </c>
      <c r="N844" s="36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9"/>
      <c r="Z844" s="39"/>
      <c r="AA844" s="28"/>
      <c r="AMJ844" s="0"/>
    </row>
    <row r="845" s="2" customFormat="true" ht="12.75" hidden="false" customHeight="true" outlineLevel="0" collapsed="false">
      <c r="A845" s="27" t="s">
        <v>1754</v>
      </c>
      <c r="B845" s="27" t="s">
        <v>672</v>
      </c>
      <c r="C845" s="28" t="s">
        <v>121</v>
      </c>
      <c r="D845" s="27" t="s">
        <v>1536</v>
      </c>
      <c r="E845" s="27" t="s">
        <v>1585</v>
      </c>
      <c r="F845" s="29" t="s">
        <v>1586</v>
      </c>
      <c r="G845" s="30" t="n">
        <v>75015</v>
      </c>
      <c r="H845" s="31" t="s">
        <v>36</v>
      </c>
      <c r="I845" s="32" t="n">
        <v>144494331</v>
      </c>
      <c r="J845" s="33" t="n">
        <v>134</v>
      </c>
      <c r="K845" s="33" t="n">
        <v>3</v>
      </c>
      <c r="L845" s="34"/>
      <c r="M845" s="44" t="s">
        <v>321</v>
      </c>
      <c r="N845" s="36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9"/>
      <c r="Z845" s="39"/>
      <c r="AA845" s="28"/>
      <c r="AMJ845" s="0"/>
    </row>
    <row r="846" s="2" customFormat="true" ht="12.75" hidden="false" customHeight="true" outlineLevel="0" collapsed="false">
      <c r="A846" s="27" t="s">
        <v>1755</v>
      </c>
      <c r="B846" s="27" t="s">
        <v>749</v>
      </c>
      <c r="C846" s="28" t="s">
        <v>121</v>
      </c>
      <c r="D846" s="27" t="s">
        <v>1536</v>
      </c>
      <c r="E846" s="27" t="s">
        <v>1585</v>
      </c>
      <c r="F846" s="29" t="s">
        <v>1586</v>
      </c>
      <c r="G846" s="30" t="n">
        <v>75015</v>
      </c>
      <c r="H846" s="31" t="s">
        <v>36</v>
      </c>
      <c r="I846" s="32" t="n">
        <v>144495869</v>
      </c>
      <c r="J846" s="33" t="n">
        <v>134</v>
      </c>
      <c r="K846" s="33" t="n">
        <v>1</v>
      </c>
      <c r="L846" s="34"/>
      <c r="M846" s="44" t="s">
        <v>321</v>
      </c>
      <c r="N846" s="36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9"/>
      <c r="Z846" s="39"/>
      <c r="AA846" s="28"/>
      <c r="AMJ846" s="0"/>
    </row>
    <row r="847" s="2" customFormat="true" ht="12.75" hidden="false" customHeight="true" outlineLevel="0" collapsed="false">
      <c r="A847" s="27" t="s">
        <v>1756</v>
      </c>
      <c r="B847" s="27" t="s">
        <v>1757</v>
      </c>
      <c r="C847" s="28" t="s">
        <v>121</v>
      </c>
      <c r="D847" s="27" t="s">
        <v>1536</v>
      </c>
      <c r="E847" s="27" t="s">
        <v>1585</v>
      </c>
      <c r="F847" s="29" t="s">
        <v>1586</v>
      </c>
      <c r="G847" s="30" t="n">
        <v>75015</v>
      </c>
      <c r="H847" s="31" t="s">
        <v>36</v>
      </c>
      <c r="I847" s="32" t="n">
        <v>171196194</v>
      </c>
      <c r="J847" s="33" t="n">
        <v>134</v>
      </c>
      <c r="K847" s="33" t="n">
        <v>0</v>
      </c>
      <c r="L847" s="34"/>
      <c r="M847" s="44" t="s">
        <v>321</v>
      </c>
      <c r="N847" s="57" t="s">
        <v>1706</v>
      </c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9"/>
      <c r="Z847" s="39"/>
      <c r="AA847" s="28"/>
      <c r="AMJ847" s="0"/>
    </row>
    <row r="848" s="2" customFormat="true" ht="12.75" hidden="false" customHeight="true" outlineLevel="0" collapsed="false">
      <c r="A848" s="27" t="s">
        <v>1758</v>
      </c>
      <c r="B848" s="27" t="s">
        <v>1733</v>
      </c>
      <c r="C848" s="28" t="s">
        <v>121</v>
      </c>
      <c r="D848" s="27" t="s">
        <v>1536</v>
      </c>
      <c r="E848" s="27" t="s">
        <v>1585</v>
      </c>
      <c r="F848" s="29" t="s">
        <v>1586</v>
      </c>
      <c r="G848" s="30" t="n">
        <v>75015</v>
      </c>
      <c r="H848" s="31" t="s">
        <v>36</v>
      </c>
      <c r="I848" s="32" t="n">
        <v>144494172</v>
      </c>
      <c r="J848" s="33" t="n">
        <v>134</v>
      </c>
      <c r="K848" s="33" t="n">
        <v>2</v>
      </c>
      <c r="L848" s="34"/>
      <c r="M848" s="44" t="s">
        <v>321</v>
      </c>
      <c r="N848" s="36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9"/>
      <c r="Z848" s="39"/>
      <c r="AA848" s="28"/>
      <c r="AMJ848" s="0"/>
    </row>
    <row r="849" s="2" customFormat="true" ht="12.75" hidden="false" customHeight="true" outlineLevel="0" collapsed="false">
      <c r="A849" s="27" t="s">
        <v>1759</v>
      </c>
      <c r="B849" s="27" t="s">
        <v>1760</v>
      </c>
      <c r="C849" s="28" t="s">
        <v>121</v>
      </c>
      <c r="D849" s="27" t="s">
        <v>1536</v>
      </c>
      <c r="E849" s="27" t="s">
        <v>1585</v>
      </c>
      <c r="F849" s="29" t="s">
        <v>1586</v>
      </c>
      <c r="G849" s="30" t="n">
        <v>75015</v>
      </c>
      <c r="H849" s="31" t="s">
        <v>36</v>
      </c>
      <c r="I849" s="32" t="n">
        <v>144494030</v>
      </c>
      <c r="J849" s="33" t="n">
        <v>134</v>
      </c>
      <c r="K849" s="33" t="n">
        <v>3</v>
      </c>
      <c r="L849" s="34"/>
      <c r="M849" s="44" t="s">
        <v>321</v>
      </c>
      <c r="N849" s="36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9"/>
      <c r="Z849" s="39"/>
      <c r="AA849" s="28"/>
      <c r="AMJ849" s="0"/>
    </row>
    <row r="850" s="2" customFormat="true" ht="12.75" hidden="false" customHeight="true" outlineLevel="0" collapsed="false">
      <c r="A850" s="27" t="s">
        <v>1761</v>
      </c>
      <c r="B850" s="27" t="s">
        <v>1762</v>
      </c>
      <c r="C850" s="28" t="s">
        <v>121</v>
      </c>
      <c r="D850" s="27" t="s">
        <v>1536</v>
      </c>
      <c r="E850" s="27" t="s">
        <v>1585</v>
      </c>
      <c r="F850" s="29" t="s">
        <v>1586</v>
      </c>
      <c r="G850" s="30" t="n">
        <v>75015</v>
      </c>
      <c r="H850" s="31" t="s">
        <v>36</v>
      </c>
      <c r="I850" s="32" t="n">
        <v>144494344</v>
      </c>
      <c r="J850" s="33" t="n">
        <v>134</v>
      </c>
      <c r="K850" s="33" t="n">
        <v>2</v>
      </c>
      <c r="L850" s="34"/>
      <c r="M850" s="44" t="s">
        <v>321</v>
      </c>
      <c r="N850" s="36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9"/>
      <c r="Z850" s="39"/>
      <c r="AA850" s="28"/>
      <c r="AMJ850" s="0"/>
    </row>
    <row r="851" s="2" customFormat="true" ht="12.75" hidden="false" customHeight="true" outlineLevel="0" collapsed="false">
      <c r="A851" s="61" t="s">
        <v>1763</v>
      </c>
      <c r="B851" s="27" t="s">
        <v>61</v>
      </c>
      <c r="C851" s="28" t="s">
        <v>121</v>
      </c>
      <c r="D851" s="27" t="s">
        <v>1536</v>
      </c>
      <c r="E851" s="27" t="s">
        <v>1585</v>
      </c>
      <c r="F851" s="29" t="s">
        <v>1586</v>
      </c>
      <c r="G851" s="30" t="n">
        <v>75015</v>
      </c>
      <c r="H851" s="31" t="s">
        <v>36</v>
      </c>
      <c r="I851" s="32" t="n">
        <v>144494412</v>
      </c>
      <c r="J851" s="33" t="n">
        <v>134</v>
      </c>
      <c r="K851" s="33" t="n">
        <v>1</v>
      </c>
      <c r="L851" s="34"/>
      <c r="M851" s="44" t="s">
        <v>321</v>
      </c>
      <c r="N851" s="69" t="s">
        <v>1588</v>
      </c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9"/>
      <c r="Z851" s="39"/>
      <c r="AA851" s="28"/>
      <c r="AMJ851" s="0"/>
    </row>
    <row r="852" s="2" customFormat="true" ht="12.75" hidden="false" customHeight="true" outlineLevel="0" collapsed="false">
      <c r="A852" s="61" t="s">
        <v>1764</v>
      </c>
      <c r="B852" s="27" t="s">
        <v>32</v>
      </c>
      <c r="C852" s="28" t="s">
        <v>121</v>
      </c>
      <c r="D852" s="27" t="s">
        <v>1536</v>
      </c>
      <c r="E852" s="27" t="s">
        <v>1585</v>
      </c>
      <c r="F852" s="29" t="s">
        <v>1586</v>
      </c>
      <c r="G852" s="30" t="n">
        <v>75015</v>
      </c>
      <c r="H852" s="31" t="s">
        <v>36</v>
      </c>
      <c r="I852" s="32" t="n">
        <v>144494412</v>
      </c>
      <c r="J852" s="33" t="n">
        <v>134</v>
      </c>
      <c r="K852" s="33" t="n">
        <v>6</v>
      </c>
      <c r="L852" s="34"/>
      <c r="M852" s="44" t="s">
        <v>321</v>
      </c>
      <c r="N852" s="69" t="s">
        <v>1588</v>
      </c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9"/>
      <c r="Z852" s="39"/>
      <c r="AA852" s="28"/>
      <c r="AMJ852" s="0"/>
    </row>
    <row r="853" s="2" customFormat="true" ht="12.75" hidden="false" customHeight="true" outlineLevel="0" collapsed="false">
      <c r="A853" s="27" t="s">
        <v>1765</v>
      </c>
      <c r="B853" s="27" t="s">
        <v>842</v>
      </c>
      <c r="C853" s="28" t="s">
        <v>121</v>
      </c>
      <c r="D853" s="27" t="s">
        <v>1536</v>
      </c>
      <c r="E853" s="27" t="s">
        <v>1585</v>
      </c>
      <c r="F853" s="29" t="s">
        <v>1586</v>
      </c>
      <c r="G853" s="30" t="n">
        <v>75015</v>
      </c>
      <c r="H853" s="31" t="s">
        <v>36</v>
      </c>
      <c r="I853" s="32" t="n">
        <v>171196194</v>
      </c>
      <c r="J853" s="33" t="n">
        <v>134</v>
      </c>
      <c r="K853" s="33" t="n">
        <v>9</v>
      </c>
      <c r="L853" s="34"/>
      <c r="M853" s="44" t="s">
        <v>321</v>
      </c>
      <c r="N853" s="57" t="s">
        <v>1706</v>
      </c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9"/>
      <c r="Z853" s="39"/>
      <c r="AA853" s="28"/>
      <c r="AMJ853" s="0"/>
    </row>
    <row r="854" s="2" customFormat="true" ht="12.75" hidden="false" customHeight="true" outlineLevel="0" collapsed="false">
      <c r="A854" s="27" t="s">
        <v>1766</v>
      </c>
      <c r="B854" s="27" t="s">
        <v>160</v>
      </c>
      <c r="C854" s="28" t="s">
        <v>121</v>
      </c>
      <c r="D854" s="27" t="s">
        <v>1536</v>
      </c>
      <c r="E854" s="27" t="s">
        <v>1585</v>
      </c>
      <c r="F854" s="29" t="s">
        <v>1586</v>
      </c>
      <c r="G854" s="30" t="n">
        <v>75015</v>
      </c>
      <c r="H854" s="31" t="s">
        <v>36</v>
      </c>
      <c r="I854" s="32" t="n">
        <v>171196194</v>
      </c>
      <c r="J854" s="33" t="n">
        <v>134</v>
      </c>
      <c r="K854" s="33" t="n">
        <v>6</v>
      </c>
      <c r="L854" s="34"/>
      <c r="M854" s="44" t="s">
        <v>321</v>
      </c>
      <c r="N854" s="57" t="s">
        <v>1706</v>
      </c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9"/>
      <c r="Z854" s="39"/>
      <c r="AA854" s="28"/>
      <c r="AMJ854" s="0"/>
    </row>
    <row r="855" s="2" customFormat="true" ht="12.75" hidden="false" customHeight="true" outlineLevel="0" collapsed="false">
      <c r="A855" s="27" t="s">
        <v>1767</v>
      </c>
      <c r="B855" s="27" t="s">
        <v>962</v>
      </c>
      <c r="C855" s="28" t="s">
        <v>121</v>
      </c>
      <c r="D855" s="27" t="s">
        <v>1536</v>
      </c>
      <c r="E855" s="27" t="s">
        <v>1585</v>
      </c>
      <c r="F855" s="29" t="s">
        <v>1586</v>
      </c>
      <c r="G855" s="30" t="n">
        <v>75015</v>
      </c>
      <c r="H855" s="31" t="s">
        <v>36</v>
      </c>
      <c r="I855" s="32" t="n">
        <v>144494848</v>
      </c>
      <c r="J855" s="33" t="n">
        <v>134</v>
      </c>
      <c r="K855" s="33" t="n">
        <v>13</v>
      </c>
      <c r="L855" s="34"/>
      <c r="M855" s="44" t="s">
        <v>321</v>
      </c>
      <c r="N855" s="36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9"/>
      <c r="Z855" s="39"/>
      <c r="AA855" s="28"/>
      <c r="AMJ855" s="0"/>
    </row>
    <row r="856" s="2" customFormat="true" ht="12.75" hidden="false" customHeight="true" outlineLevel="0" collapsed="false">
      <c r="A856" s="27" t="s">
        <v>1028</v>
      </c>
      <c r="B856" s="27" t="s">
        <v>1768</v>
      </c>
      <c r="C856" s="28" t="s">
        <v>121</v>
      </c>
      <c r="D856" s="27" t="s">
        <v>1536</v>
      </c>
      <c r="E856" s="27" t="s">
        <v>1585</v>
      </c>
      <c r="F856" s="29" t="s">
        <v>1586</v>
      </c>
      <c r="G856" s="30" t="n">
        <v>75015</v>
      </c>
      <c r="H856" s="31" t="s">
        <v>36</v>
      </c>
      <c r="I856" s="32" t="n">
        <v>144381507</v>
      </c>
      <c r="J856" s="33" t="n">
        <v>134</v>
      </c>
      <c r="K856" s="33"/>
      <c r="L856" s="34"/>
      <c r="M856" s="44" t="s">
        <v>321</v>
      </c>
      <c r="N856" s="36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9"/>
      <c r="Z856" s="39"/>
      <c r="AA856" s="28"/>
      <c r="AMJ856" s="0"/>
    </row>
    <row r="857" s="2" customFormat="true" ht="12.75" hidden="false" customHeight="true" outlineLevel="0" collapsed="false">
      <c r="A857" s="27" t="s">
        <v>1769</v>
      </c>
      <c r="B857" s="27" t="s">
        <v>782</v>
      </c>
      <c r="C857" s="28" t="s">
        <v>121</v>
      </c>
      <c r="D857" s="27" t="s">
        <v>1536</v>
      </c>
      <c r="E857" s="27" t="s">
        <v>1585</v>
      </c>
      <c r="F857" s="29" t="s">
        <v>1586</v>
      </c>
      <c r="G857" s="30" t="n">
        <v>75015</v>
      </c>
      <c r="H857" s="31" t="s">
        <v>36</v>
      </c>
      <c r="I857" s="32" t="n">
        <v>171196194</v>
      </c>
      <c r="J857" s="33" t="n">
        <v>134</v>
      </c>
      <c r="K857" s="33" t="n">
        <v>1</v>
      </c>
      <c r="L857" s="34"/>
      <c r="M857" s="44" t="s">
        <v>321</v>
      </c>
      <c r="N857" s="57" t="s">
        <v>1706</v>
      </c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9"/>
      <c r="Z857" s="39"/>
      <c r="AA857" s="28"/>
      <c r="AMJ857" s="0"/>
    </row>
    <row r="858" s="2" customFormat="true" ht="12.75" hidden="false" customHeight="true" outlineLevel="0" collapsed="false">
      <c r="A858" s="27" t="s">
        <v>1770</v>
      </c>
      <c r="B858" s="27" t="s">
        <v>304</v>
      </c>
      <c r="C858" s="28" t="s">
        <v>121</v>
      </c>
      <c r="D858" s="27" t="s">
        <v>1536</v>
      </c>
      <c r="E858" s="27" t="s">
        <v>1585</v>
      </c>
      <c r="F858" s="29" t="s">
        <v>1586</v>
      </c>
      <c r="G858" s="30" t="n">
        <v>75015</v>
      </c>
      <c r="H858" s="31" t="s">
        <v>36</v>
      </c>
      <c r="I858" s="32" t="n">
        <v>144494221</v>
      </c>
      <c r="J858" s="33" t="n">
        <v>134</v>
      </c>
      <c r="K858" s="33" t="n">
        <v>1</v>
      </c>
      <c r="L858" s="34"/>
      <c r="M858" s="44" t="s">
        <v>321</v>
      </c>
      <c r="N858" s="36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9"/>
      <c r="Z858" s="39"/>
      <c r="AA858" s="28"/>
      <c r="AMJ858" s="0"/>
    </row>
    <row r="859" s="2" customFormat="true" ht="12.75" hidden="false" customHeight="true" outlineLevel="0" collapsed="false">
      <c r="A859" s="27" t="s">
        <v>1771</v>
      </c>
      <c r="B859" s="27" t="s">
        <v>1772</v>
      </c>
      <c r="C859" s="28" t="s">
        <v>121</v>
      </c>
      <c r="D859" s="27" t="s">
        <v>1536</v>
      </c>
      <c r="E859" s="27" t="s">
        <v>1585</v>
      </c>
      <c r="F859" s="29" t="s">
        <v>1586</v>
      </c>
      <c r="G859" s="30" t="n">
        <v>75015</v>
      </c>
      <c r="H859" s="31" t="s">
        <v>36</v>
      </c>
      <c r="I859" s="32" t="n">
        <v>144495246</v>
      </c>
      <c r="J859" s="33" t="n">
        <v>134</v>
      </c>
      <c r="K859" s="33" t="n">
        <v>1</v>
      </c>
      <c r="L859" s="34"/>
      <c r="M859" s="44" t="s">
        <v>321</v>
      </c>
      <c r="N859" s="36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9"/>
      <c r="Z859" s="39"/>
      <c r="AA859" s="28"/>
      <c r="AMJ859" s="0"/>
    </row>
    <row r="860" s="2" customFormat="true" ht="12.75" hidden="false" customHeight="true" outlineLevel="0" collapsed="false">
      <c r="A860" s="71" t="s">
        <v>1773</v>
      </c>
      <c r="B860" s="71" t="s">
        <v>266</v>
      </c>
      <c r="C860" s="28" t="s">
        <v>121</v>
      </c>
      <c r="D860" s="27" t="s">
        <v>1536</v>
      </c>
      <c r="E860" s="27" t="s">
        <v>1585</v>
      </c>
      <c r="F860" s="29" t="s">
        <v>1586</v>
      </c>
      <c r="G860" s="30" t="n">
        <v>75015</v>
      </c>
      <c r="H860" s="31" t="s">
        <v>36</v>
      </c>
      <c r="I860" s="32" t="n">
        <v>171196194</v>
      </c>
      <c r="J860" s="33" t="n">
        <v>134</v>
      </c>
      <c r="K860" s="33" t="n">
        <v>9</v>
      </c>
      <c r="L860" s="34"/>
      <c r="M860" s="44" t="s">
        <v>321</v>
      </c>
      <c r="N860" s="57" t="s">
        <v>1706</v>
      </c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9"/>
      <c r="Z860" s="39"/>
      <c r="AA860" s="28"/>
      <c r="AMJ860" s="0"/>
    </row>
    <row r="861" s="2" customFormat="true" ht="12.75" hidden="false" customHeight="true" outlineLevel="0" collapsed="false">
      <c r="A861" s="27" t="s">
        <v>1774</v>
      </c>
      <c r="B861" s="27" t="s">
        <v>1775</v>
      </c>
      <c r="C861" s="28" t="s">
        <v>121</v>
      </c>
      <c r="D861" s="27" t="s">
        <v>1536</v>
      </c>
      <c r="E861" s="27" t="s">
        <v>1585</v>
      </c>
      <c r="F861" s="29" t="s">
        <v>1586</v>
      </c>
      <c r="G861" s="30" t="n">
        <v>75015</v>
      </c>
      <c r="H861" s="31" t="s">
        <v>36</v>
      </c>
      <c r="I861" s="32" t="n">
        <v>144494824</v>
      </c>
      <c r="J861" s="33" t="n">
        <v>134</v>
      </c>
      <c r="K861" s="33" t="n">
        <v>1</v>
      </c>
      <c r="L861" s="34"/>
      <c r="M861" s="44" t="s">
        <v>321</v>
      </c>
      <c r="N861" s="36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9"/>
      <c r="Z861" s="39"/>
      <c r="AA861" s="28"/>
      <c r="AMJ861" s="0"/>
    </row>
    <row r="862" s="2" customFormat="true" ht="12.75" hidden="false" customHeight="true" outlineLevel="0" collapsed="false">
      <c r="A862" s="27" t="s">
        <v>1776</v>
      </c>
      <c r="B862" s="27" t="s">
        <v>1772</v>
      </c>
      <c r="C862" s="28" t="s">
        <v>121</v>
      </c>
      <c r="D862" s="27" t="s">
        <v>1536</v>
      </c>
      <c r="E862" s="27" t="s">
        <v>1585</v>
      </c>
      <c r="F862" s="29" t="s">
        <v>1586</v>
      </c>
      <c r="G862" s="30" t="n">
        <v>75015</v>
      </c>
      <c r="H862" s="31" t="s">
        <v>36</v>
      </c>
      <c r="I862" s="32" t="n">
        <v>144381903</v>
      </c>
      <c r="J862" s="33" t="n">
        <v>134</v>
      </c>
      <c r="K862" s="33" t="n">
        <v>1</v>
      </c>
      <c r="L862" s="34"/>
      <c r="M862" s="44" t="s">
        <v>321</v>
      </c>
      <c r="N862" s="36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9"/>
      <c r="Z862" s="39"/>
      <c r="AA862" s="28"/>
      <c r="AMJ862" s="0"/>
    </row>
    <row r="863" s="2" customFormat="true" ht="12.75" hidden="false" customHeight="true" outlineLevel="0" collapsed="false">
      <c r="A863" s="27" t="s">
        <v>1777</v>
      </c>
      <c r="B863" s="27" t="s">
        <v>61</v>
      </c>
      <c r="C863" s="28" t="s">
        <v>121</v>
      </c>
      <c r="D863" s="27" t="s">
        <v>1536</v>
      </c>
      <c r="E863" s="27" t="s">
        <v>1585</v>
      </c>
      <c r="F863" s="29" t="s">
        <v>1586</v>
      </c>
      <c r="G863" s="30" t="n">
        <v>75015</v>
      </c>
      <c r="H863" s="31" t="s">
        <v>36</v>
      </c>
      <c r="I863" s="32" t="n">
        <v>144495869</v>
      </c>
      <c r="J863" s="33" t="n">
        <v>134</v>
      </c>
      <c r="K863" s="33" t="n">
        <v>1</v>
      </c>
      <c r="L863" s="34"/>
      <c r="M863" s="44" t="s">
        <v>321</v>
      </c>
      <c r="N863" s="36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9"/>
      <c r="Z863" s="39"/>
      <c r="AA863" s="28"/>
      <c r="AMJ863" s="0"/>
    </row>
    <row r="864" s="2" customFormat="true" ht="12.75" hidden="false" customHeight="true" outlineLevel="0" collapsed="false">
      <c r="A864" s="27" t="s">
        <v>1778</v>
      </c>
      <c r="B864" s="27" t="s">
        <v>1779</v>
      </c>
      <c r="C864" s="28" t="s">
        <v>121</v>
      </c>
      <c r="D864" s="27" t="s">
        <v>1536</v>
      </c>
      <c r="E864" s="27" t="s">
        <v>1585</v>
      </c>
      <c r="F864" s="29" t="s">
        <v>1586</v>
      </c>
      <c r="G864" s="30" t="n">
        <v>75015</v>
      </c>
      <c r="H864" s="31" t="s">
        <v>36</v>
      </c>
      <c r="I864" s="32" t="n">
        <v>144495869</v>
      </c>
      <c r="J864" s="33" t="n">
        <v>134</v>
      </c>
      <c r="K864" s="33" t="n">
        <v>1</v>
      </c>
      <c r="L864" s="34"/>
      <c r="M864" s="44" t="s">
        <v>321</v>
      </c>
      <c r="N864" s="36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9"/>
      <c r="Z864" s="39"/>
      <c r="AA864" s="28"/>
      <c r="AMJ864" s="0"/>
    </row>
    <row r="865" s="2" customFormat="true" ht="12.75" hidden="false" customHeight="true" outlineLevel="0" collapsed="false">
      <c r="A865" s="27" t="s">
        <v>1780</v>
      </c>
      <c r="B865" s="27" t="s">
        <v>884</v>
      </c>
      <c r="C865" s="28" t="s">
        <v>121</v>
      </c>
      <c r="D865" s="27" t="s">
        <v>1536</v>
      </c>
      <c r="E865" s="27" t="s">
        <v>1585</v>
      </c>
      <c r="F865" s="29" t="s">
        <v>1586</v>
      </c>
      <c r="G865" s="30" t="n">
        <v>75015</v>
      </c>
      <c r="H865" s="31" t="s">
        <v>36</v>
      </c>
      <c r="I865" s="32" t="n">
        <v>144494030</v>
      </c>
      <c r="J865" s="33" t="n">
        <v>134</v>
      </c>
      <c r="K865" s="33" t="n">
        <v>1</v>
      </c>
      <c r="L865" s="34"/>
      <c r="M865" s="44" t="s">
        <v>321</v>
      </c>
      <c r="N865" s="36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9"/>
      <c r="Z865" s="39"/>
      <c r="AA865" s="28"/>
      <c r="AMJ865" s="0"/>
    </row>
    <row r="866" s="2" customFormat="true" ht="12.75" hidden="false" customHeight="true" outlineLevel="0" collapsed="false">
      <c r="A866" s="59" t="s">
        <v>1781</v>
      </c>
      <c r="B866" s="59" t="s">
        <v>1067</v>
      </c>
      <c r="C866" s="60" t="s">
        <v>121</v>
      </c>
      <c r="D866" s="61" t="s">
        <v>1536</v>
      </c>
      <c r="E866" s="61" t="s">
        <v>1585</v>
      </c>
      <c r="F866" s="62" t="s">
        <v>1586</v>
      </c>
      <c r="G866" s="63" t="n">
        <v>75015</v>
      </c>
      <c r="H866" s="64" t="s">
        <v>36</v>
      </c>
      <c r="I866" s="65" t="n">
        <v>144494412</v>
      </c>
      <c r="J866" s="66" t="n">
        <v>134</v>
      </c>
      <c r="K866" s="66" t="n">
        <v>7</v>
      </c>
      <c r="L866" s="67"/>
      <c r="M866" s="68" t="s">
        <v>321</v>
      </c>
      <c r="N866" s="69" t="s">
        <v>1588</v>
      </c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9"/>
      <c r="Z866" s="39"/>
      <c r="AA866" s="28"/>
      <c r="AMJ866" s="0"/>
    </row>
    <row r="867" s="2" customFormat="true" ht="12.75" hidden="false" customHeight="true" outlineLevel="0" collapsed="false">
      <c r="A867" s="27" t="s">
        <v>1782</v>
      </c>
      <c r="B867" s="27" t="s">
        <v>106</v>
      </c>
      <c r="C867" s="28" t="s">
        <v>121</v>
      </c>
      <c r="D867" s="27" t="s">
        <v>1536</v>
      </c>
      <c r="E867" s="27" t="s">
        <v>1585</v>
      </c>
      <c r="F867" s="29" t="s">
        <v>1586</v>
      </c>
      <c r="G867" s="30" t="n">
        <v>75015</v>
      </c>
      <c r="H867" s="31" t="s">
        <v>36</v>
      </c>
      <c r="I867" s="32" t="n">
        <v>144494801</v>
      </c>
      <c r="J867" s="33" t="n">
        <v>134</v>
      </c>
      <c r="K867" s="33" t="n">
        <v>2</v>
      </c>
      <c r="L867" s="34"/>
      <c r="M867" s="44" t="s">
        <v>321</v>
      </c>
      <c r="N867" s="36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9"/>
      <c r="Z867" s="39"/>
      <c r="AA867" s="28"/>
      <c r="AMJ867" s="0"/>
    </row>
    <row r="868" s="2" customFormat="true" ht="12.75" hidden="false" customHeight="true" outlineLevel="0" collapsed="false">
      <c r="A868" s="27" t="s">
        <v>1783</v>
      </c>
      <c r="B868" s="27" t="s">
        <v>234</v>
      </c>
      <c r="C868" s="28" t="s">
        <v>121</v>
      </c>
      <c r="D868" s="27" t="s">
        <v>1536</v>
      </c>
      <c r="E868" s="27" t="s">
        <v>1585</v>
      </c>
      <c r="F868" s="29" t="s">
        <v>1586</v>
      </c>
      <c r="G868" s="30" t="n">
        <v>75015</v>
      </c>
      <c r="H868" s="31" t="s">
        <v>36</v>
      </c>
      <c r="I868" s="32" t="n">
        <v>144494824</v>
      </c>
      <c r="J868" s="33" t="n">
        <v>134</v>
      </c>
      <c r="K868" s="33" t="n">
        <v>2</v>
      </c>
      <c r="L868" s="34"/>
      <c r="M868" s="44" t="s">
        <v>321</v>
      </c>
      <c r="N868" s="36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9"/>
      <c r="Z868" s="39"/>
      <c r="AA868" s="28"/>
      <c r="AMJ868" s="0"/>
    </row>
    <row r="869" s="2" customFormat="true" ht="12.75" hidden="false" customHeight="true" outlineLevel="0" collapsed="false">
      <c r="A869" s="27" t="s">
        <v>1784</v>
      </c>
      <c r="B869" s="27" t="s">
        <v>1785</v>
      </c>
      <c r="C869" s="28" t="s">
        <v>121</v>
      </c>
      <c r="D869" s="27" t="s">
        <v>1536</v>
      </c>
      <c r="E869" s="27" t="s">
        <v>1585</v>
      </c>
      <c r="F869" s="29" t="s">
        <v>1586</v>
      </c>
      <c r="G869" s="30" t="n">
        <v>75015</v>
      </c>
      <c r="H869" s="31" t="s">
        <v>36</v>
      </c>
      <c r="I869" s="32" t="n">
        <v>144494801</v>
      </c>
      <c r="J869" s="33" t="n">
        <v>134</v>
      </c>
      <c r="K869" s="33" t="n">
        <v>5</v>
      </c>
      <c r="L869" s="34"/>
      <c r="M869" s="44" t="s">
        <v>321</v>
      </c>
      <c r="N869" s="36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9"/>
      <c r="Z869" s="39"/>
      <c r="AA869" s="28"/>
      <c r="AMJ869" s="0"/>
    </row>
    <row r="870" s="2" customFormat="true" ht="12.75" hidden="false" customHeight="true" outlineLevel="0" collapsed="false">
      <c r="A870" s="27" t="s">
        <v>1786</v>
      </c>
      <c r="B870" s="27" t="s">
        <v>237</v>
      </c>
      <c r="C870" s="28" t="s">
        <v>121</v>
      </c>
      <c r="D870" s="27" t="s">
        <v>1536</v>
      </c>
      <c r="E870" s="27" t="s">
        <v>1585</v>
      </c>
      <c r="F870" s="29" t="s">
        <v>1586</v>
      </c>
      <c r="G870" s="30" t="n">
        <v>75015</v>
      </c>
      <c r="H870" s="31" t="s">
        <v>36</v>
      </c>
      <c r="I870" s="32" t="n">
        <v>144494882</v>
      </c>
      <c r="J870" s="33" t="n">
        <v>134</v>
      </c>
      <c r="K870" s="33" t="n">
        <v>2</v>
      </c>
      <c r="L870" s="34"/>
      <c r="M870" s="44" t="s">
        <v>321</v>
      </c>
      <c r="N870" s="36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9"/>
      <c r="Z870" s="39"/>
      <c r="AA870" s="28"/>
      <c r="AMJ870" s="0"/>
    </row>
    <row r="871" s="2" customFormat="true" ht="12.75" hidden="false" customHeight="true" outlineLevel="0" collapsed="false">
      <c r="A871" s="27" t="s">
        <v>1787</v>
      </c>
      <c r="B871" s="27" t="s">
        <v>250</v>
      </c>
      <c r="C871" s="28" t="s">
        <v>121</v>
      </c>
      <c r="D871" s="27" t="s">
        <v>1536</v>
      </c>
      <c r="E871" s="27" t="s">
        <v>1585</v>
      </c>
      <c r="F871" s="29" t="s">
        <v>1586</v>
      </c>
      <c r="G871" s="30" t="n">
        <v>75015</v>
      </c>
      <c r="H871" s="31" t="s">
        <v>36</v>
      </c>
      <c r="I871" s="32" t="n">
        <v>144494848</v>
      </c>
      <c r="J871" s="33" t="n">
        <v>134</v>
      </c>
      <c r="K871" s="33" t="n">
        <v>7</v>
      </c>
      <c r="L871" s="34"/>
      <c r="M871" s="44" t="s">
        <v>321</v>
      </c>
      <c r="N871" s="36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9"/>
      <c r="Z871" s="39"/>
      <c r="AA871" s="28"/>
      <c r="AMJ871" s="0"/>
    </row>
    <row r="872" s="2" customFormat="true" ht="12.75" hidden="false" customHeight="true" outlineLevel="0" collapsed="false">
      <c r="A872" s="27" t="s">
        <v>1788</v>
      </c>
      <c r="B872" s="27" t="s">
        <v>590</v>
      </c>
      <c r="C872" s="28" t="s">
        <v>121</v>
      </c>
      <c r="D872" s="27" t="s">
        <v>1536</v>
      </c>
      <c r="E872" s="27" t="s">
        <v>1585</v>
      </c>
      <c r="F872" s="29" t="s">
        <v>1586</v>
      </c>
      <c r="G872" s="30" t="n">
        <v>75015</v>
      </c>
      <c r="H872" s="31" t="s">
        <v>36</v>
      </c>
      <c r="I872" s="32" t="n">
        <v>144494344</v>
      </c>
      <c r="J872" s="33" t="n">
        <v>134</v>
      </c>
      <c r="K872" s="33" t="n">
        <v>1</v>
      </c>
      <c r="L872" s="34"/>
      <c r="M872" s="44" t="s">
        <v>321</v>
      </c>
      <c r="N872" s="36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9"/>
      <c r="Z872" s="39"/>
      <c r="AA872" s="28"/>
      <c r="AMJ872" s="0"/>
    </row>
    <row r="873" s="2" customFormat="true" ht="12.75" hidden="false" customHeight="true" outlineLevel="0" collapsed="false">
      <c r="A873" s="61" t="s">
        <v>1789</v>
      </c>
      <c r="B873" s="27" t="s">
        <v>32</v>
      </c>
      <c r="C873" s="28" t="s">
        <v>121</v>
      </c>
      <c r="D873" s="27" t="s">
        <v>1536</v>
      </c>
      <c r="E873" s="27" t="s">
        <v>1585</v>
      </c>
      <c r="F873" s="29" t="s">
        <v>1586</v>
      </c>
      <c r="G873" s="30" t="n">
        <v>75015</v>
      </c>
      <c r="H873" s="31" t="s">
        <v>36</v>
      </c>
      <c r="I873" s="32" t="n">
        <v>144494412</v>
      </c>
      <c r="J873" s="33" t="n">
        <v>134</v>
      </c>
      <c r="K873" s="33" t="n">
        <v>2</v>
      </c>
      <c r="L873" s="34"/>
      <c r="M873" s="44" t="s">
        <v>321</v>
      </c>
      <c r="N873" s="69" t="s">
        <v>1588</v>
      </c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9"/>
      <c r="Z873" s="39"/>
      <c r="AA873" s="28"/>
      <c r="AMJ873" s="0"/>
    </row>
    <row r="874" s="2" customFormat="true" ht="12.75" hidden="false" customHeight="true" outlineLevel="0" collapsed="false">
      <c r="A874" s="27" t="s">
        <v>1790</v>
      </c>
      <c r="B874" s="27" t="s">
        <v>1211</v>
      </c>
      <c r="C874" s="28" t="s">
        <v>121</v>
      </c>
      <c r="D874" s="27" t="s">
        <v>1536</v>
      </c>
      <c r="E874" s="27" t="s">
        <v>1585</v>
      </c>
      <c r="F874" s="29" t="s">
        <v>1586</v>
      </c>
      <c r="G874" s="30" t="n">
        <v>75015</v>
      </c>
      <c r="H874" s="31" t="s">
        <v>36</v>
      </c>
      <c r="I874" s="32" t="n">
        <v>144494801</v>
      </c>
      <c r="J874" s="33" t="n">
        <v>134</v>
      </c>
      <c r="K874" s="33" t="n">
        <v>2</v>
      </c>
      <c r="L874" s="34"/>
      <c r="M874" s="44" t="s">
        <v>321</v>
      </c>
      <c r="N874" s="36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9"/>
      <c r="Z874" s="39"/>
      <c r="AA874" s="28"/>
      <c r="AMJ874" s="0"/>
    </row>
    <row r="875" s="2" customFormat="true" ht="12.75" hidden="false" customHeight="true" outlineLevel="0" collapsed="false">
      <c r="A875" s="27" t="s">
        <v>1791</v>
      </c>
      <c r="B875" s="27" t="s">
        <v>245</v>
      </c>
      <c r="C875" s="28" t="s">
        <v>121</v>
      </c>
      <c r="D875" s="27" t="s">
        <v>1536</v>
      </c>
      <c r="E875" s="27" t="s">
        <v>1585</v>
      </c>
      <c r="F875" s="29" t="s">
        <v>1586</v>
      </c>
      <c r="G875" s="30" t="n">
        <v>75015</v>
      </c>
      <c r="H875" s="31" t="s">
        <v>36</v>
      </c>
      <c r="I875" s="32" t="n">
        <v>144494292</v>
      </c>
      <c r="J875" s="33" t="n">
        <v>134</v>
      </c>
      <c r="K875" s="33" t="n">
        <v>1</v>
      </c>
      <c r="L875" s="34"/>
      <c r="M875" s="44" t="s">
        <v>321</v>
      </c>
      <c r="N875" s="36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9"/>
      <c r="Z875" s="39"/>
      <c r="AA875" s="28"/>
      <c r="AMJ875" s="0"/>
    </row>
    <row r="876" s="2" customFormat="true" ht="12.75" hidden="false" customHeight="true" outlineLevel="0" collapsed="false">
      <c r="A876" s="27" t="s">
        <v>1792</v>
      </c>
      <c r="B876" s="27" t="s">
        <v>229</v>
      </c>
      <c r="C876" s="28" t="s">
        <v>121</v>
      </c>
      <c r="D876" s="27" t="s">
        <v>1536</v>
      </c>
      <c r="E876" s="27" t="s">
        <v>1585</v>
      </c>
      <c r="F876" s="29" t="s">
        <v>1586</v>
      </c>
      <c r="G876" s="30" t="n">
        <v>75015</v>
      </c>
      <c r="H876" s="31" t="s">
        <v>36</v>
      </c>
      <c r="I876" s="32" t="n">
        <v>144494882</v>
      </c>
      <c r="J876" s="33" t="n">
        <v>134</v>
      </c>
      <c r="K876" s="33" t="n">
        <v>2</v>
      </c>
      <c r="L876" s="34" t="n">
        <v>1</v>
      </c>
      <c r="M876" s="44" t="s">
        <v>321</v>
      </c>
      <c r="N876" s="36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39"/>
      <c r="Z876" s="39"/>
      <c r="AA876" s="28" t="n">
        <v>3</v>
      </c>
      <c r="AMJ876" s="0"/>
    </row>
    <row r="877" s="2" customFormat="true" ht="12.75" hidden="false" customHeight="true" outlineLevel="0" collapsed="false">
      <c r="A877" s="27" t="s">
        <v>1793</v>
      </c>
      <c r="B877" s="27" t="s">
        <v>652</v>
      </c>
      <c r="C877" s="28" t="s">
        <v>121</v>
      </c>
      <c r="D877" s="27" t="s">
        <v>1536</v>
      </c>
      <c r="E877" s="27" t="s">
        <v>1585</v>
      </c>
      <c r="F877" s="29" t="s">
        <v>1586</v>
      </c>
      <c r="G877" s="30" t="n">
        <v>75015</v>
      </c>
      <c r="H877" s="31" t="s">
        <v>36</v>
      </c>
      <c r="I877" s="32" t="n">
        <v>144494848</v>
      </c>
      <c r="J877" s="33" t="n">
        <v>134</v>
      </c>
      <c r="K877" s="33" t="n">
        <v>2</v>
      </c>
      <c r="L877" s="34"/>
      <c r="M877" s="44" t="s">
        <v>321</v>
      </c>
      <c r="N877" s="36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9"/>
      <c r="Z877" s="39"/>
      <c r="AA877" s="28"/>
      <c r="AMJ877" s="0"/>
    </row>
    <row r="878" s="2" customFormat="true" ht="12.75" hidden="false" customHeight="true" outlineLevel="0" collapsed="false">
      <c r="A878" s="27" t="s">
        <v>1794</v>
      </c>
      <c r="B878" s="27" t="s">
        <v>1795</v>
      </c>
      <c r="C878" s="28" t="s">
        <v>121</v>
      </c>
      <c r="D878" s="27" t="s">
        <v>1536</v>
      </c>
      <c r="E878" s="27" t="s">
        <v>1585</v>
      </c>
      <c r="F878" s="29" t="s">
        <v>1586</v>
      </c>
      <c r="G878" s="30" t="n">
        <v>75015</v>
      </c>
      <c r="H878" s="31" t="s">
        <v>36</v>
      </c>
      <c r="I878" s="32" t="n">
        <v>144494221</v>
      </c>
      <c r="J878" s="33" t="n">
        <v>134</v>
      </c>
      <c r="K878" s="33" t="n">
        <v>1</v>
      </c>
      <c r="L878" s="34"/>
      <c r="M878" s="44" t="s">
        <v>321</v>
      </c>
      <c r="N878" s="36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9"/>
      <c r="Z878" s="39"/>
      <c r="AA878" s="28"/>
      <c r="AMJ878" s="0"/>
    </row>
    <row r="879" s="2" customFormat="true" ht="12.75" hidden="false" customHeight="true" outlineLevel="0" collapsed="false">
      <c r="A879" s="27" t="s">
        <v>1796</v>
      </c>
      <c r="B879" s="27" t="s">
        <v>475</v>
      </c>
      <c r="C879" s="28" t="s">
        <v>121</v>
      </c>
      <c r="D879" s="27" t="s">
        <v>1536</v>
      </c>
      <c r="E879" s="27" t="s">
        <v>1585</v>
      </c>
      <c r="F879" s="29" t="s">
        <v>1586</v>
      </c>
      <c r="G879" s="30" t="n">
        <v>75015</v>
      </c>
      <c r="H879" s="31" t="s">
        <v>36</v>
      </c>
      <c r="I879" s="32" t="n">
        <v>144495047</v>
      </c>
      <c r="J879" s="33" t="n">
        <v>133</v>
      </c>
      <c r="K879" s="33" t="n">
        <v>17</v>
      </c>
      <c r="L879" s="34"/>
      <c r="M879" s="44" t="s">
        <v>321</v>
      </c>
      <c r="N879" s="36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9"/>
      <c r="Z879" s="39"/>
      <c r="AA879" s="28"/>
      <c r="AMJ879" s="0"/>
    </row>
    <row r="880" s="2" customFormat="true" ht="12.75" hidden="false" customHeight="true" outlineLevel="0" collapsed="false">
      <c r="A880" s="27" t="s">
        <v>1797</v>
      </c>
      <c r="B880" s="27" t="s">
        <v>145</v>
      </c>
      <c r="C880" s="28" t="s">
        <v>121</v>
      </c>
      <c r="D880" s="27" t="s">
        <v>1536</v>
      </c>
      <c r="E880" s="27" t="s">
        <v>1585</v>
      </c>
      <c r="F880" s="29" t="s">
        <v>1586</v>
      </c>
      <c r="G880" s="30" t="n">
        <v>75015</v>
      </c>
      <c r="H880" s="31" t="s">
        <v>36</v>
      </c>
      <c r="I880" s="32" t="n">
        <v>144495888</v>
      </c>
      <c r="J880" s="33" t="n">
        <v>133</v>
      </c>
      <c r="K880" s="33" t="n">
        <v>2</v>
      </c>
      <c r="L880" s="34"/>
      <c r="M880" s="44" t="s">
        <v>321</v>
      </c>
      <c r="N880" s="36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9"/>
      <c r="Z880" s="39"/>
      <c r="AA880" s="28"/>
      <c r="AMJ880" s="0"/>
    </row>
    <row r="881" s="2" customFormat="true" ht="12.75" hidden="false" customHeight="true" outlineLevel="0" collapsed="false">
      <c r="A881" s="27" t="s">
        <v>1798</v>
      </c>
      <c r="B881" s="27" t="s">
        <v>1799</v>
      </c>
      <c r="C881" s="28" t="s">
        <v>121</v>
      </c>
      <c r="D881" s="27" t="s">
        <v>1536</v>
      </c>
      <c r="E881" s="27" t="s">
        <v>1585</v>
      </c>
      <c r="F881" s="29" t="s">
        <v>1586</v>
      </c>
      <c r="G881" s="30" t="n">
        <v>75015</v>
      </c>
      <c r="H881" s="31" t="s">
        <v>36</v>
      </c>
      <c r="I881" s="32" t="n">
        <v>144494744</v>
      </c>
      <c r="J881" s="33" t="n">
        <v>133</v>
      </c>
      <c r="K881" s="33"/>
      <c r="L881" s="34"/>
      <c r="M881" s="44" t="s">
        <v>321</v>
      </c>
      <c r="N881" s="36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9"/>
      <c r="Z881" s="39"/>
      <c r="AA881" s="28"/>
      <c r="AMJ881" s="0"/>
    </row>
    <row r="882" s="2" customFormat="true" ht="12.75" hidden="false" customHeight="true" outlineLevel="0" collapsed="false">
      <c r="A882" s="27" t="s">
        <v>1800</v>
      </c>
      <c r="B882" s="27" t="s">
        <v>32</v>
      </c>
      <c r="C882" s="28" t="s">
        <v>121</v>
      </c>
      <c r="D882" s="27" t="s">
        <v>1536</v>
      </c>
      <c r="E882" s="27" t="s">
        <v>1585</v>
      </c>
      <c r="F882" s="29" t="s">
        <v>1586</v>
      </c>
      <c r="G882" s="30" t="n">
        <v>75015</v>
      </c>
      <c r="H882" s="31" t="s">
        <v>36</v>
      </c>
      <c r="I882" s="32" t="n">
        <v>144494894</v>
      </c>
      <c r="J882" s="33" t="n">
        <v>129</v>
      </c>
      <c r="K882" s="33" t="n">
        <v>1</v>
      </c>
      <c r="L882" s="34"/>
      <c r="M882" s="44" t="s">
        <v>321</v>
      </c>
      <c r="N882" s="36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9"/>
      <c r="Z882" s="39"/>
      <c r="AA882" s="28"/>
      <c r="AMJ882" s="0"/>
    </row>
    <row r="883" s="2" customFormat="true" ht="12.75" hidden="false" customHeight="true" outlineLevel="0" collapsed="false">
      <c r="A883" s="27" t="s">
        <v>1801</v>
      </c>
      <c r="B883" s="27" t="s">
        <v>1802</v>
      </c>
      <c r="C883" s="28" t="s">
        <v>121</v>
      </c>
      <c r="D883" s="27" t="s">
        <v>1536</v>
      </c>
      <c r="E883" s="27" t="s">
        <v>1585</v>
      </c>
      <c r="F883" s="29" t="s">
        <v>1586</v>
      </c>
      <c r="G883" s="30" t="n">
        <v>75015</v>
      </c>
      <c r="H883" s="31" t="s">
        <v>36</v>
      </c>
      <c r="I883" s="32" t="n">
        <v>144494221</v>
      </c>
      <c r="J883" s="33" t="n">
        <v>125</v>
      </c>
      <c r="K883" s="33" t="n">
        <v>2</v>
      </c>
      <c r="L883" s="34"/>
      <c r="M883" s="44" t="s">
        <v>321</v>
      </c>
      <c r="N883" s="36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9"/>
      <c r="Z883" s="39"/>
      <c r="AA883" s="28"/>
      <c r="AMJ883" s="0"/>
    </row>
    <row r="884" s="2" customFormat="true" ht="12.75" hidden="false" customHeight="true" outlineLevel="0" collapsed="false">
      <c r="A884" s="27" t="s">
        <v>1803</v>
      </c>
      <c r="B884" s="27" t="s">
        <v>1245</v>
      </c>
      <c r="C884" s="28" t="s">
        <v>121</v>
      </c>
      <c r="D884" s="27" t="s">
        <v>1536</v>
      </c>
      <c r="E884" s="27" t="s">
        <v>1585</v>
      </c>
      <c r="F884" s="29" t="s">
        <v>1586</v>
      </c>
      <c r="G884" s="30" t="n">
        <v>75015</v>
      </c>
      <c r="H884" s="31" t="s">
        <v>36</v>
      </c>
      <c r="I884" s="32" t="n">
        <v>144494462</v>
      </c>
      <c r="J884" s="33" t="n">
        <v>125</v>
      </c>
      <c r="K884" s="33" t="n">
        <v>1</v>
      </c>
      <c r="L884" s="34"/>
      <c r="M884" s="44" t="s">
        <v>321</v>
      </c>
      <c r="N884" s="36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9"/>
      <c r="Z884" s="39"/>
      <c r="AA884" s="28"/>
      <c r="AMJ884" s="0"/>
    </row>
    <row r="885" s="2" customFormat="true" ht="12.75" hidden="false" customHeight="true" outlineLevel="0" collapsed="false">
      <c r="A885" s="27" t="s">
        <v>1804</v>
      </c>
      <c r="B885" s="27" t="s">
        <v>1805</v>
      </c>
      <c r="C885" s="28" t="s">
        <v>121</v>
      </c>
      <c r="D885" s="27" t="s">
        <v>1536</v>
      </c>
      <c r="E885" s="27" t="s">
        <v>1585</v>
      </c>
      <c r="F885" s="29" t="s">
        <v>1586</v>
      </c>
      <c r="G885" s="30" t="n">
        <v>75015</v>
      </c>
      <c r="H885" s="31" t="s">
        <v>36</v>
      </c>
      <c r="I885" s="32" t="n">
        <v>144494801</v>
      </c>
      <c r="J885" s="33" t="n">
        <v>125</v>
      </c>
      <c r="K885" s="33" t="n">
        <v>1</v>
      </c>
      <c r="L885" s="34"/>
      <c r="M885" s="44" t="s">
        <v>321</v>
      </c>
      <c r="N885" s="36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9"/>
      <c r="Z885" s="39"/>
      <c r="AA885" s="28"/>
      <c r="AMJ885" s="0"/>
    </row>
    <row r="886" s="2" customFormat="true" ht="12.75" hidden="false" customHeight="true" outlineLevel="0" collapsed="false">
      <c r="A886" s="27" t="s">
        <v>331</v>
      </c>
      <c r="B886" s="27" t="s">
        <v>1441</v>
      </c>
      <c r="C886" s="28" t="s">
        <v>121</v>
      </c>
      <c r="D886" s="27" t="s">
        <v>1536</v>
      </c>
      <c r="E886" s="27" t="s">
        <v>1585</v>
      </c>
      <c r="F886" s="29" t="s">
        <v>1586</v>
      </c>
      <c r="G886" s="30" t="n">
        <v>75015</v>
      </c>
      <c r="H886" s="31" t="s">
        <v>36</v>
      </c>
      <c r="I886" s="32" t="n">
        <v>142192623</v>
      </c>
      <c r="J886" s="33" t="n">
        <v>125</v>
      </c>
      <c r="K886" s="33" t="n">
        <v>1</v>
      </c>
      <c r="L886" s="34"/>
      <c r="M886" s="44" t="s">
        <v>321</v>
      </c>
      <c r="N886" s="36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9"/>
      <c r="Z886" s="39"/>
      <c r="AA886" s="28"/>
      <c r="AMJ886" s="0"/>
    </row>
    <row r="887" s="2" customFormat="true" ht="12.75" hidden="false" customHeight="true" outlineLevel="0" collapsed="false">
      <c r="A887" s="61" t="s">
        <v>1806</v>
      </c>
      <c r="B887" s="27" t="s">
        <v>1807</v>
      </c>
      <c r="C887" s="28" t="s">
        <v>121</v>
      </c>
      <c r="D887" s="27" t="s">
        <v>1536</v>
      </c>
      <c r="E887" s="27" t="s">
        <v>1585</v>
      </c>
      <c r="F887" s="29" t="s">
        <v>1586</v>
      </c>
      <c r="G887" s="30" t="n">
        <v>75015</v>
      </c>
      <c r="H887" s="31" t="s">
        <v>36</v>
      </c>
      <c r="I887" s="32" t="n">
        <v>144494412</v>
      </c>
      <c r="J887" s="33" t="n">
        <v>125</v>
      </c>
      <c r="K887" s="33" t="n">
        <v>1</v>
      </c>
      <c r="L887" s="34"/>
      <c r="M887" s="44" t="s">
        <v>321</v>
      </c>
      <c r="N887" s="69" t="s">
        <v>1588</v>
      </c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9"/>
      <c r="Z887" s="39"/>
      <c r="AA887" s="28"/>
      <c r="AMJ887" s="0"/>
    </row>
    <row r="888" s="2" customFormat="true" ht="12.75" hidden="false" customHeight="true" outlineLevel="0" collapsed="false">
      <c r="A888" s="27" t="s">
        <v>1808</v>
      </c>
      <c r="B888" s="27" t="s">
        <v>1211</v>
      </c>
      <c r="C888" s="28" t="s">
        <v>121</v>
      </c>
      <c r="D888" s="27" t="s">
        <v>1536</v>
      </c>
      <c r="E888" s="27" t="s">
        <v>1585</v>
      </c>
      <c r="F888" s="29" t="s">
        <v>1586</v>
      </c>
      <c r="G888" s="30" t="n">
        <v>75015</v>
      </c>
      <c r="H888" s="31" t="s">
        <v>36</v>
      </c>
      <c r="I888" s="32" t="n">
        <v>144495888</v>
      </c>
      <c r="J888" s="33" t="n">
        <v>120</v>
      </c>
      <c r="K888" s="33" t="n">
        <v>2</v>
      </c>
      <c r="L888" s="34"/>
      <c r="M888" s="44" t="s">
        <v>321</v>
      </c>
      <c r="N888" s="36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9"/>
      <c r="Z888" s="39"/>
      <c r="AA888" s="28"/>
      <c r="AMJ888" s="0"/>
    </row>
    <row r="889" s="2" customFormat="true" ht="12.75" hidden="false" customHeight="true" outlineLevel="0" collapsed="false">
      <c r="A889" s="27" t="s">
        <v>1809</v>
      </c>
      <c r="B889" s="27" t="s">
        <v>1632</v>
      </c>
      <c r="C889" s="28" t="s">
        <v>121</v>
      </c>
      <c r="D889" s="27" t="s">
        <v>1536</v>
      </c>
      <c r="E889" s="27" t="s">
        <v>1585</v>
      </c>
      <c r="F889" s="29" t="s">
        <v>1586</v>
      </c>
      <c r="G889" s="30" t="n">
        <v>75015</v>
      </c>
      <c r="H889" s="31" t="s">
        <v>36</v>
      </c>
      <c r="I889" s="32" t="n">
        <v>144494854</v>
      </c>
      <c r="J889" s="33" t="n">
        <v>118</v>
      </c>
      <c r="K889" s="33" t="n">
        <v>2</v>
      </c>
      <c r="L889" s="34"/>
      <c r="M889" s="44" t="s">
        <v>321</v>
      </c>
      <c r="N889" s="36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9"/>
      <c r="Z889" s="39"/>
      <c r="AA889" s="28"/>
      <c r="AMJ889" s="0"/>
    </row>
    <row r="890" s="2" customFormat="true" ht="12.75" hidden="false" customHeight="true" outlineLevel="0" collapsed="false">
      <c r="A890" s="27" t="s">
        <v>1810</v>
      </c>
      <c r="B890" s="27" t="s">
        <v>1811</v>
      </c>
      <c r="C890" s="28" t="s">
        <v>121</v>
      </c>
      <c r="D890" s="27" t="s">
        <v>1536</v>
      </c>
      <c r="E890" s="27" t="s">
        <v>1585</v>
      </c>
      <c r="F890" s="29" t="s">
        <v>1586</v>
      </c>
      <c r="G890" s="30" t="n">
        <v>75015</v>
      </c>
      <c r="H890" s="31" t="s">
        <v>36</v>
      </c>
      <c r="I890" s="32" t="n">
        <v>171196194</v>
      </c>
      <c r="J890" s="33" t="n">
        <v>116</v>
      </c>
      <c r="K890" s="33"/>
      <c r="L890" s="34"/>
      <c r="M890" s="44" t="s">
        <v>321</v>
      </c>
      <c r="N890" s="57" t="s">
        <v>1706</v>
      </c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9"/>
      <c r="Z890" s="39"/>
      <c r="AA890" s="28"/>
      <c r="AMJ890" s="0"/>
    </row>
    <row r="891" s="2" customFormat="true" ht="12.75" hidden="false" customHeight="true" outlineLevel="0" collapsed="false">
      <c r="A891" s="27" t="s">
        <v>1812</v>
      </c>
      <c r="B891" s="27" t="s">
        <v>1211</v>
      </c>
      <c r="C891" s="28" t="s">
        <v>121</v>
      </c>
      <c r="D891" s="27" t="s">
        <v>1536</v>
      </c>
      <c r="E891" s="27" t="s">
        <v>1585</v>
      </c>
      <c r="F891" s="29" t="s">
        <v>1586</v>
      </c>
      <c r="G891" s="30" t="n">
        <v>75015</v>
      </c>
      <c r="H891" s="31" t="s">
        <v>36</v>
      </c>
      <c r="I891" s="32" t="n">
        <v>144494824</v>
      </c>
      <c r="J891" s="33" t="n">
        <v>113</v>
      </c>
      <c r="K891" s="33" t="n">
        <v>1</v>
      </c>
      <c r="L891" s="34"/>
      <c r="M891" s="44" t="s">
        <v>321</v>
      </c>
      <c r="N891" s="36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9"/>
      <c r="Z891" s="39"/>
      <c r="AA891" s="28"/>
      <c r="AMJ891" s="0"/>
    </row>
    <row r="892" s="2" customFormat="true" ht="12.75" hidden="false" customHeight="true" outlineLevel="0" collapsed="false">
      <c r="A892" s="27" t="s">
        <v>1813</v>
      </c>
      <c r="B892" s="27" t="s">
        <v>846</v>
      </c>
      <c r="C892" s="28" t="s">
        <v>121</v>
      </c>
      <c r="D892" s="27" t="s">
        <v>1536</v>
      </c>
      <c r="E892" s="27" t="s">
        <v>1585</v>
      </c>
      <c r="F892" s="29" t="s">
        <v>1586</v>
      </c>
      <c r="G892" s="30" t="n">
        <v>75015</v>
      </c>
      <c r="H892" s="31" t="s">
        <v>36</v>
      </c>
      <c r="I892" s="32" t="n">
        <v>144494848</v>
      </c>
      <c r="J892" s="33" t="n">
        <v>112</v>
      </c>
      <c r="K892" s="33" t="n">
        <v>1</v>
      </c>
      <c r="L892" s="34"/>
      <c r="M892" s="44" t="s">
        <v>321</v>
      </c>
      <c r="N892" s="36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9"/>
      <c r="Z892" s="39"/>
      <c r="AA892" s="28"/>
      <c r="AMJ892" s="0"/>
    </row>
    <row r="893" s="2" customFormat="true" ht="12.75" hidden="false" customHeight="true" outlineLevel="0" collapsed="false">
      <c r="A893" s="27" t="s">
        <v>1814</v>
      </c>
      <c r="B893" s="27" t="s">
        <v>53</v>
      </c>
      <c r="C893" s="28" t="s">
        <v>121</v>
      </c>
      <c r="D893" s="27" t="s">
        <v>1536</v>
      </c>
      <c r="E893" s="27" t="s">
        <v>1585</v>
      </c>
      <c r="F893" s="29" t="s">
        <v>1586</v>
      </c>
      <c r="G893" s="30" t="n">
        <v>75015</v>
      </c>
      <c r="H893" s="31" t="s">
        <v>36</v>
      </c>
      <c r="I893" s="32" t="n">
        <v>144381903</v>
      </c>
      <c r="J893" s="33" t="n">
        <v>108</v>
      </c>
      <c r="K893" s="33" t="n">
        <v>1</v>
      </c>
      <c r="L893" s="34"/>
      <c r="M893" s="44" t="s">
        <v>321</v>
      </c>
      <c r="N893" s="36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9"/>
      <c r="Z893" s="39"/>
      <c r="AA893" s="28"/>
      <c r="AMJ893" s="0"/>
    </row>
    <row r="894" s="2" customFormat="true" ht="12.75" hidden="false" customHeight="true" outlineLevel="0" collapsed="false">
      <c r="A894" s="27" t="s">
        <v>1815</v>
      </c>
      <c r="B894" s="27" t="s">
        <v>147</v>
      </c>
      <c r="C894" s="28" t="s">
        <v>121</v>
      </c>
      <c r="D894" s="27" t="s">
        <v>1536</v>
      </c>
      <c r="E894" s="27" t="s">
        <v>1585</v>
      </c>
      <c r="F894" s="29" t="s">
        <v>1586</v>
      </c>
      <c r="G894" s="30" t="n">
        <v>75015</v>
      </c>
      <c r="H894" s="31" t="s">
        <v>36</v>
      </c>
      <c r="I894" s="32" t="n">
        <v>144494852</v>
      </c>
      <c r="J894" s="33" t="n">
        <v>106</v>
      </c>
      <c r="K894" s="33" t="n">
        <v>13</v>
      </c>
      <c r="L894" s="34"/>
      <c r="M894" s="44" t="s">
        <v>321</v>
      </c>
      <c r="N894" s="36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9"/>
      <c r="Z894" s="39"/>
      <c r="AA894" s="28"/>
      <c r="AMJ894" s="0"/>
    </row>
    <row r="895" s="2" customFormat="true" ht="12.75" hidden="false" customHeight="true" outlineLevel="0" collapsed="false">
      <c r="A895" s="27" t="s">
        <v>1816</v>
      </c>
      <c r="B895" s="27" t="s">
        <v>735</v>
      </c>
      <c r="C895" s="28" t="s">
        <v>121</v>
      </c>
      <c r="D895" s="27" t="s">
        <v>1536</v>
      </c>
      <c r="E895" s="27" t="s">
        <v>1585</v>
      </c>
      <c r="F895" s="29" t="s">
        <v>1586</v>
      </c>
      <c r="G895" s="30" t="n">
        <v>75015</v>
      </c>
      <c r="H895" s="31" t="s">
        <v>36</v>
      </c>
      <c r="I895" s="32" t="n">
        <v>171196194</v>
      </c>
      <c r="J895" s="33" t="n">
        <v>106</v>
      </c>
      <c r="K895" s="33" t="n">
        <v>1</v>
      </c>
      <c r="L895" s="34"/>
      <c r="M895" s="44" t="s">
        <v>321</v>
      </c>
      <c r="N895" s="57" t="s">
        <v>1706</v>
      </c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9"/>
      <c r="Z895" s="39"/>
      <c r="AA895" s="28"/>
      <c r="AMJ895" s="0"/>
    </row>
    <row r="896" s="2" customFormat="true" ht="12.75" hidden="false" customHeight="true" outlineLevel="0" collapsed="false">
      <c r="A896" s="27" t="s">
        <v>1817</v>
      </c>
      <c r="B896" s="27" t="s">
        <v>1818</v>
      </c>
      <c r="C896" s="28" t="s">
        <v>121</v>
      </c>
      <c r="D896" s="27" t="s">
        <v>1536</v>
      </c>
      <c r="E896" s="27" t="s">
        <v>1585</v>
      </c>
      <c r="F896" s="29" t="s">
        <v>1586</v>
      </c>
      <c r="G896" s="30" t="n">
        <v>75015</v>
      </c>
      <c r="H896" s="31" t="s">
        <v>36</v>
      </c>
      <c r="I896" s="32" t="n">
        <v>144494882</v>
      </c>
      <c r="J896" s="33" t="n">
        <v>106</v>
      </c>
      <c r="K896" s="33" t="n">
        <v>1</v>
      </c>
      <c r="L896" s="34"/>
      <c r="M896" s="44" t="s">
        <v>321</v>
      </c>
      <c r="N896" s="36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9"/>
      <c r="Z896" s="39"/>
      <c r="AA896" s="28"/>
      <c r="AMJ896" s="0"/>
    </row>
    <row r="897" s="2" customFormat="true" ht="12.75" hidden="false" customHeight="true" outlineLevel="0" collapsed="false">
      <c r="A897" s="27" t="s">
        <v>1819</v>
      </c>
      <c r="B897" s="27" t="s">
        <v>1019</v>
      </c>
      <c r="C897" s="28" t="s">
        <v>121</v>
      </c>
      <c r="D897" s="27" t="s">
        <v>1536</v>
      </c>
      <c r="E897" s="27" t="s">
        <v>1585</v>
      </c>
      <c r="F897" s="29" t="s">
        <v>1586</v>
      </c>
      <c r="G897" s="30" t="n">
        <v>75015</v>
      </c>
      <c r="H897" s="31" t="s">
        <v>36</v>
      </c>
      <c r="I897" s="32" t="n">
        <v>144494852</v>
      </c>
      <c r="J897" s="33" t="n">
        <v>106</v>
      </c>
      <c r="K897" s="33" t="n">
        <v>13</v>
      </c>
      <c r="L897" s="34"/>
      <c r="M897" s="44" t="s">
        <v>321</v>
      </c>
      <c r="N897" s="36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9"/>
      <c r="Z897" s="39"/>
      <c r="AA897" s="28"/>
      <c r="AMJ897" s="0"/>
    </row>
    <row r="898" s="2" customFormat="true" ht="12.75" hidden="false" customHeight="true" outlineLevel="0" collapsed="false">
      <c r="A898" s="27" t="s">
        <v>1820</v>
      </c>
      <c r="B898" s="27" t="s">
        <v>217</v>
      </c>
      <c r="C898" s="28" t="s">
        <v>121</v>
      </c>
      <c r="D898" s="27" t="s">
        <v>1536</v>
      </c>
      <c r="E898" s="27" t="s">
        <v>1585</v>
      </c>
      <c r="F898" s="29" t="s">
        <v>1586</v>
      </c>
      <c r="G898" s="30" t="n">
        <v>75015</v>
      </c>
      <c r="H898" s="31" t="s">
        <v>36</v>
      </c>
      <c r="I898" s="32" t="n">
        <v>144494882</v>
      </c>
      <c r="J898" s="33" t="n">
        <v>105</v>
      </c>
      <c r="K898" s="33" t="n">
        <v>3</v>
      </c>
      <c r="L898" s="34"/>
      <c r="M898" s="44" t="s">
        <v>321</v>
      </c>
      <c r="N898" s="36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9"/>
      <c r="Z898" s="39"/>
      <c r="AA898" s="28"/>
      <c r="AMJ898" s="0"/>
    </row>
    <row r="899" s="2" customFormat="true" ht="12.75" hidden="false" customHeight="true" outlineLevel="0" collapsed="false">
      <c r="A899" s="27" t="s">
        <v>1821</v>
      </c>
      <c r="B899" s="27" t="s">
        <v>782</v>
      </c>
      <c r="C899" s="28" t="s">
        <v>121</v>
      </c>
      <c r="D899" s="27" t="s">
        <v>1536</v>
      </c>
      <c r="E899" s="27" t="s">
        <v>1585</v>
      </c>
      <c r="F899" s="29" t="s">
        <v>1586</v>
      </c>
      <c r="G899" s="30" t="n">
        <v>75015</v>
      </c>
      <c r="H899" s="31" t="s">
        <v>36</v>
      </c>
      <c r="I899" s="32" t="n">
        <v>144494848</v>
      </c>
      <c r="J899" s="33" t="n">
        <v>100</v>
      </c>
      <c r="K899" s="33" t="n">
        <v>4</v>
      </c>
      <c r="L899" s="34"/>
      <c r="M899" s="44" t="s">
        <v>321</v>
      </c>
      <c r="N899" s="36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9"/>
      <c r="Z899" s="39"/>
      <c r="AA899" s="28"/>
      <c r="AMJ899" s="0"/>
    </row>
    <row r="900" s="2" customFormat="true" ht="12.75" hidden="false" customHeight="true" outlineLevel="0" collapsed="false">
      <c r="A900" s="27" t="s">
        <v>1822</v>
      </c>
      <c r="B900" s="27" t="s">
        <v>1823</v>
      </c>
      <c r="C900" s="28" t="s">
        <v>121</v>
      </c>
      <c r="D900" s="27" t="s">
        <v>1536</v>
      </c>
      <c r="E900" s="27" t="s">
        <v>1585</v>
      </c>
      <c r="F900" s="29" t="s">
        <v>1586</v>
      </c>
      <c r="G900" s="30" t="n">
        <v>75015</v>
      </c>
      <c r="H900" s="31" t="s">
        <v>36</v>
      </c>
      <c r="I900" s="32" t="n">
        <v>144494801</v>
      </c>
      <c r="J900" s="33" t="n">
        <v>99</v>
      </c>
      <c r="K900" s="33" t="n">
        <v>4</v>
      </c>
      <c r="L900" s="34"/>
      <c r="M900" s="44" t="s">
        <v>321</v>
      </c>
      <c r="N900" s="36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9"/>
      <c r="Z900" s="39"/>
      <c r="AA900" s="28"/>
      <c r="AMJ900" s="0"/>
    </row>
    <row r="901" s="2" customFormat="true" ht="12.75" hidden="false" customHeight="true" outlineLevel="0" collapsed="false">
      <c r="A901" s="27" t="s">
        <v>1824</v>
      </c>
      <c r="B901" s="27" t="s">
        <v>1825</v>
      </c>
      <c r="C901" s="28" t="s">
        <v>121</v>
      </c>
      <c r="D901" s="27" t="s">
        <v>1536</v>
      </c>
      <c r="E901" s="27" t="s">
        <v>1585</v>
      </c>
      <c r="F901" s="29" t="s">
        <v>1586</v>
      </c>
      <c r="G901" s="30" t="n">
        <v>75015</v>
      </c>
      <c r="H901" s="31" t="s">
        <v>36</v>
      </c>
      <c r="I901" s="32" t="n">
        <v>144495057</v>
      </c>
      <c r="J901" s="33" t="n">
        <v>99</v>
      </c>
      <c r="K901" s="33" t="n">
        <v>1</v>
      </c>
      <c r="L901" s="34"/>
      <c r="M901" s="44" t="s">
        <v>321</v>
      </c>
      <c r="N901" s="36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9"/>
      <c r="Z901" s="39"/>
      <c r="AA901" s="28"/>
      <c r="AMJ901" s="0"/>
    </row>
    <row r="902" s="2" customFormat="true" ht="12.75" hidden="false" customHeight="true" outlineLevel="0" collapsed="false">
      <c r="A902" s="27" t="s">
        <v>1826</v>
      </c>
      <c r="B902" s="27" t="s">
        <v>237</v>
      </c>
      <c r="C902" s="28" t="s">
        <v>121</v>
      </c>
      <c r="D902" s="27" t="s">
        <v>1536</v>
      </c>
      <c r="E902" s="27" t="s">
        <v>1585</v>
      </c>
      <c r="F902" s="29" t="s">
        <v>1586</v>
      </c>
      <c r="G902" s="30" t="n">
        <v>75015</v>
      </c>
      <c r="H902" s="31" t="s">
        <v>36</v>
      </c>
      <c r="I902" s="32" t="n">
        <v>144494292</v>
      </c>
      <c r="J902" s="33" t="n">
        <v>96</v>
      </c>
      <c r="K902" s="33" t="n">
        <v>0</v>
      </c>
      <c r="L902" s="34"/>
      <c r="M902" s="44" t="s">
        <v>321</v>
      </c>
      <c r="N902" s="36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9"/>
      <c r="Z902" s="39"/>
      <c r="AA902" s="28"/>
      <c r="AMJ902" s="0"/>
    </row>
    <row r="903" s="2" customFormat="true" ht="12.75" hidden="false" customHeight="true" outlineLevel="0" collapsed="false">
      <c r="A903" s="27" t="s">
        <v>1827</v>
      </c>
      <c r="B903" s="27" t="s">
        <v>71</v>
      </c>
      <c r="C903" s="28" t="s">
        <v>121</v>
      </c>
      <c r="D903" s="27" t="s">
        <v>1536</v>
      </c>
      <c r="E903" s="27" t="s">
        <v>1585</v>
      </c>
      <c r="F903" s="29" t="s">
        <v>1586</v>
      </c>
      <c r="G903" s="30" t="n">
        <v>75015</v>
      </c>
      <c r="H903" s="31" t="s">
        <v>36</v>
      </c>
      <c r="I903" s="32" t="n">
        <v>144494854</v>
      </c>
      <c r="J903" s="33" t="n">
        <v>95</v>
      </c>
      <c r="K903" s="33" t="n">
        <v>1</v>
      </c>
      <c r="L903" s="34"/>
      <c r="M903" s="44" t="s">
        <v>321</v>
      </c>
      <c r="N903" s="36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9"/>
      <c r="Z903" s="39"/>
      <c r="AA903" s="28"/>
      <c r="AMJ903" s="0"/>
    </row>
    <row r="904" s="2" customFormat="true" ht="12.75" hidden="false" customHeight="true" outlineLevel="0" collapsed="false">
      <c r="A904" s="27" t="s">
        <v>1828</v>
      </c>
      <c r="B904" s="27" t="s">
        <v>340</v>
      </c>
      <c r="C904" s="28" t="s">
        <v>121</v>
      </c>
      <c r="D904" s="27" t="s">
        <v>1536</v>
      </c>
      <c r="E904" s="27" t="s">
        <v>1585</v>
      </c>
      <c r="F904" s="29" t="s">
        <v>1586</v>
      </c>
      <c r="G904" s="30" t="n">
        <v>75015</v>
      </c>
      <c r="H904" s="31" t="s">
        <v>36</v>
      </c>
      <c r="I904" s="32" t="n">
        <v>171196194</v>
      </c>
      <c r="J904" s="33" t="n">
        <v>88</v>
      </c>
      <c r="K904" s="33" t="n">
        <v>1</v>
      </c>
      <c r="L904" s="34"/>
      <c r="M904" s="44" t="s">
        <v>321</v>
      </c>
      <c r="N904" s="57" t="s">
        <v>1706</v>
      </c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9"/>
      <c r="Z904" s="39"/>
      <c r="AA904" s="28"/>
      <c r="AMJ904" s="0"/>
    </row>
    <row r="905" s="2" customFormat="true" ht="12.75" hidden="false" customHeight="true" outlineLevel="0" collapsed="false">
      <c r="A905" s="27" t="s">
        <v>1829</v>
      </c>
      <c r="B905" s="27" t="s">
        <v>1830</v>
      </c>
      <c r="C905" s="28" t="s">
        <v>121</v>
      </c>
      <c r="D905" s="27" t="s">
        <v>1536</v>
      </c>
      <c r="E905" s="27" t="s">
        <v>1585</v>
      </c>
      <c r="F905" s="29" t="s">
        <v>1586</v>
      </c>
      <c r="G905" s="30" t="n">
        <v>75015</v>
      </c>
      <c r="H905" s="31" t="s">
        <v>36</v>
      </c>
      <c r="I905" s="32" t="n">
        <v>144494344</v>
      </c>
      <c r="J905" s="33" t="n">
        <v>86</v>
      </c>
      <c r="K905" s="33" t="n">
        <v>1</v>
      </c>
      <c r="L905" s="34"/>
      <c r="M905" s="44" t="s">
        <v>321</v>
      </c>
      <c r="N905" s="36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9"/>
      <c r="Z905" s="39"/>
      <c r="AA905" s="28"/>
      <c r="AMJ905" s="0"/>
    </row>
    <row r="906" s="2" customFormat="true" ht="12.75" hidden="false" customHeight="true" outlineLevel="0" collapsed="false">
      <c r="A906" s="27" t="s">
        <v>1831</v>
      </c>
      <c r="B906" s="27" t="s">
        <v>250</v>
      </c>
      <c r="C906" s="28" t="s">
        <v>121</v>
      </c>
      <c r="D906" s="27" t="s">
        <v>1536</v>
      </c>
      <c r="E906" s="27" t="s">
        <v>1585</v>
      </c>
      <c r="F906" s="29" t="s">
        <v>1586</v>
      </c>
      <c r="G906" s="30" t="n">
        <v>75015</v>
      </c>
      <c r="H906" s="31" t="s">
        <v>36</v>
      </c>
      <c r="I906" s="32" t="n">
        <v>144494801</v>
      </c>
      <c r="J906" s="33" t="n">
        <v>82</v>
      </c>
      <c r="K906" s="33" t="n">
        <v>3</v>
      </c>
      <c r="L906" s="34"/>
      <c r="M906" s="44" t="s">
        <v>321</v>
      </c>
      <c r="N906" s="36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9"/>
      <c r="Z906" s="39"/>
      <c r="AA906" s="28"/>
      <c r="AMJ906" s="0"/>
    </row>
    <row r="907" s="2" customFormat="true" ht="12.75" hidden="false" customHeight="true" outlineLevel="0" collapsed="false">
      <c r="A907" s="27" t="s">
        <v>1832</v>
      </c>
      <c r="B907" s="27" t="s">
        <v>593</v>
      </c>
      <c r="C907" s="28" t="s">
        <v>121</v>
      </c>
      <c r="D907" s="27" t="s">
        <v>1536</v>
      </c>
      <c r="E907" s="27" t="s">
        <v>1585</v>
      </c>
      <c r="F907" s="29" t="s">
        <v>1586</v>
      </c>
      <c r="G907" s="30" t="n">
        <v>75015</v>
      </c>
      <c r="H907" s="31" t="s">
        <v>36</v>
      </c>
      <c r="I907" s="32" t="n">
        <v>144494801</v>
      </c>
      <c r="J907" s="33" t="n">
        <v>82</v>
      </c>
      <c r="K907" s="33" t="n">
        <v>2</v>
      </c>
      <c r="L907" s="34"/>
      <c r="M907" s="44" t="s">
        <v>321</v>
      </c>
      <c r="N907" s="36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9"/>
      <c r="Z907" s="39"/>
      <c r="AA907" s="28"/>
      <c r="AMJ907" s="0"/>
    </row>
    <row r="908" s="2" customFormat="true" ht="12.75" hidden="false" customHeight="true" outlineLevel="0" collapsed="false">
      <c r="A908" s="27" t="s">
        <v>1833</v>
      </c>
      <c r="B908" s="27" t="s">
        <v>865</v>
      </c>
      <c r="C908" s="28" t="s">
        <v>121</v>
      </c>
      <c r="D908" s="27" t="s">
        <v>1536</v>
      </c>
      <c r="E908" s="27" t="s">
        <v>1585</v>
      </c>
      <c r="F908" s="29" t="s">
        <v>1586</v>
      </c>
      <c r="G908" s="30" t="n">
        <v>75015</v>
      </c>
      <c r="H908" s="31" t="s">
        <v>36</v>
      </c>
      <c r="I908" s="32" t="n">
        <v>144494292</v>
      </c>
      <c r="J908" s="33" t="n">
        <v>82</v>
      </c>
      <c r="K908" s="33" t="n">
        <v>1</v>
      </c>
      <c r="L908" s="34"/>
      <c r="M908" s="44" t="s">
        <v>321</v>
      </c>
      <c r="N908" s="36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9"/>
      <c r="Z908" s="39"/>
      <c r="AA908" s="28"/>
      <c r="AMJ908" s="0"/>
    </row>
    <row r="909" s="2" customFormat="true" ht="12.75" hidden="false" customHeight="true" outlineLevel="0" collapsed="false">
      <c r="A909" s="27" t="s">
        <v>1834</v>
      </c>
      <c r="B909" s="27" t="s">
        <v>1835</v>
      </c>
      <c r="C909" s="28" t="s">
        <v>121</v>
      </c>
      <c r="D909" s="27" t="s">
        <v>1536</v>
      </c>
      <c r="E909" s="27" t="s">
        <v>1585</v>
      </c>
      <c r="F909" s="29" t="s">
        <v>1586</v>
      </c>
      <c r="G909" s="30" t="n">
        <v>75015</v>
      </c>
      <c r="H909" s="31" t="s">
        <v>36</v>
      </c>
      <c r="I909" s="32" t="n">
        <v>171196288</v>
      </c>
      <c r="J909" s="33" t="n">
        <v>81</v>
      </c>
      <c r="K909" s="33" t="n">
        <v>1</v>
      </c>
      <c r="L909" s="34"/>
      <c r="M909" s="44" t="s">
        <v>321</v>
      </c>
      <c r="N909" s="36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9"/>
      <c r="Z909" s="39"/>
      <c r="AA909" s="28"/>
      <c r="AMJ909" s="0"/>
    </row>
    <row r="910" s="2" customFormat="true" ht="12.75" hidden="false" customHeight="true" outlineLevel="0" collapsed="false">
      <c r="A910" s="27" t="s">
        <v>1836</v>
      </c>
      <c r="B910" s="27" t="s">
        <v>1603</v>
      </c>
      <c r="C910" s="28" t="s">
        <v>121</v>
      </c>
      <c r="D910" s="27" t="s">
        <v>1536</v>
      </c>
      <c r="E910" s="27" t="s">
        <v>1585</v>
      </c>
      <c r="F910" s="29" t="s">
        <v>1586</v>
      </c>
      <c r="G910" s="30" t="n">
        <v>75015</v>
      </c>
      <c r="H910" s="31" t="s">
        <v>36</v>
      </c>
      <c r="I910" s="32" t="n">
        <v>144494801</v>
      </c>
      <c r="J910" s="33" t="n">
        <v>80</v>
      </c>
      <c r="K910" s="33"/>
      <c r="L910" s="34"/>
      <c r="M910" s="44" t="s">
        <v>321</v>
      </c>
      <c r="N910" s="36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9"/>
      <c r="Z910" s="39"/>
      <c r="AA910" s="28"/>
      <c r="AMJ910" s="0"/>
    </row>
    <row r="911" s="2" customFormat="true" ht="12.75" hidden="false" customHeight="true" outlineLevel="0" collapsed="false">
      <c r="A911" s="27" t="s">
        <v>1837</v>
      </c>
      <c r="B911" s="27" t="s">
        <v>1838</v>
      </c>
      <c r="C911" s="28" t="s">
        <v>121</v>
      </c>
      <c r="D911" s="27" t="s">
        <v>1536</v>
      </c>
      <c r="E911" s="27" t="s">
        <v>1585</v>
      </c>
      <c r="F911" s="29" t="s">
        <v>1586</v>
      </c>
      <c r="G911" s="30" t="n">
        <v>75015</v>
      </c>
      <c r="H911" s="31" t="s">
        <v>36</v>
      </c>
      <c r="I911" s="32" t="n">
        <v>144494882</v>
      </c>
      <c r="J911" s="33" t="n">
        <v>78</v>
      </c>
      <c r="K911" s="33" t="n">
        <v>0</v>
      </c>
      <c r="L911" s="34"/>
      <c r="M911" s="44" t="s">
        <v>321</v>
      </c>
      <c r="N911" s="36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9"/>
      <c r="Z911" s="39"/>
      <c r="AA911" s="28"/>
      <c r="AMJ911" s="0"/>
    </row>
    <row r="912" s="2" customFormat="true" ht="12.75" hidden="false" customHeight="true" outlineLevel="0" collapsed="false">
      <c r="A912" s="27" t="s">
        <v>1839</v>
      </c>
      <c r="B912" s="27" t="s">
        <v>61</v>
      </c>
      <c r="C912" s="28" t="s">
        <v>121</v>
      </c>
      <c r="D912" s="27" t="s">
        <v>1536</v>
      </c>
      <c r="E912" s="27" t="s">
        <v>1585</v>
      </c>
      <c r="F912" s="29" t="s">
        <v>1586</v>
      </c>
      <c r="G912" s="30" t="n">
        <v>75015</v>
      </c>
      <c r="H912" s="31" t="s">
        <v>36</v>
      </c>
      <c r="I912" s="32" t="n">
        <v>144494882</v>
      </c>
      <c r="J912" s="33" t="n">
        <v>76</v>
      </c>
      <c r="K912" s="33" t="n">
        <v>6</v>
      </c>
      <c r="L912" s="34" t="n">
        <v>1</v>
      </c>
      <c r="M912" s="44" t="s">
        <v>321</v>
      </c>
      <c r="N912" s="36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39"/>
      <c r="Z912" s="39"/>
      <c r="AA912" s="28" t="n">
        <v>3</v>
      </c>
      <c r="AMJ912" s="0"/>
    </row>
    <row r="913" s="2" customFormat="true" ht="12.75" hidden="false" customHeight="true" outlineLevel="0" collapsed="false">
      <c r="A913" s="27" t="s">
        <v>1840</v>
      </c>
      <c r="B913" s="27" t="s">
        <v>1841</v>
      </c>
      <c r="C913" s="28" t="s">
        <v>121</v>
      </c>
      <c r="D913" s="27" t="s">
        <v>1536</v>
      </c>
      <c r="E913" s="27" t="s">
        <v>1585</v>
      </c>
      <c r="F913" s="29" t="s">
        <v>1586</v>
      </c>
      <c r="G913" s="30" t="n">
        <v>75015</v>
      </c>
      <c r="H913" s="31" t="s">
        <v>36</v>
      </c>
      <c r="I913" s="32" t="n">
        <v>144494668</v>
      </c>
      <c r="J913" s="33" t="n">
        <v>61</v>
      </c>
      <c r="K913" s="33" t="n">
        <v>9</v>
      </c>
      <c r="L913" s="34"/>
      <c r="M913" s="44" t="s">
        <v>321</v>
      </c>
      <c r="N913" s="36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9"/>
      <c r="Z913" s="39"/>
      <c r="AA913" s="28"/>
      <c r="AMJ913" s="0"/>
    </row>
    <row r="914" s="2" customFormat="true" ht="12.75" hidden="false" customHeight="true" outlineLevel="0" collapsed="false">
      <c r="A914" s="27" t="s">
        <v>1842</v>
      </c>
      <c r="B914" s="27" t="s">
        <v>1843</v>
      </c>
      <c r="C914" s="28" t="s">
        <v>121</v>
      </c>
      <c r="D914" s="27" t="s">
        <v>1536</v>
      </c>
      <c r="E914" s="27" t="s">
        <v>1585</v>
      </c>
      <c r="F914" s="29" t="s">
        <v>1586</v>
      </c>
      <c r="G914" s="30" t="n">
        <v>75015</v>
      </c>
      <c r="H914" s="31" t="s">
        <v>36</v>
      </c>
      <c r="I914" s="32" t="n">
        <v>171196194</v>
      </c>
      <c r="J914" s="33" t="n">
        <v>61</v>
      </c>
      <c r="K914" s="33" t="n">
        <v>1</v>
      </c>
      <c r="L914" s="34"/>
      <c r="M914" s="44" t="s">
        <v>321</v>
      </c>
      <c r="N914" s="57" t="s">
        <v>1706</v>
      </c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9"/>
      <c r="Z914" s="39"/>
      <c r="AA914" s="28"/>
      <c r="AMJ914" s="0"/>
    </row>
    <row r="915" s="2" customFormat="true" ht="12.75" hidden="false" customHeight="true" outlineLevel="0" collapsed="false">
      <c r="A915" s="27" t="s">
        <v>1844</v>
      </c>
      <c r="B915" s="27" t="s">
        <v>1845</v>
      </c>
      <c r="C915" s="28" t="s">
        <v>121</v>
      </c>
      <c r="D915" s="27" t="s">
        <v>1536</v>
      </c>
      <c r="E915" s="27" t="s">
        <v>1585</v>
      </c>
      <c r="F915" s="29" t="s">
        <v>1586</v>
      </c>
      <c r="G915" s="30" t="n">
        <v>75015</v>
      </c>
      <c r="H915" s="31" t="s">
        <v>36</v>
      </c>
      <c r="I915" s="32" t="n">
        <v>144494687</v>
      </c>
      <c r="J915" s="33" t="n">
        <v>53</v>
      </c>
      <c r="K915" s="33" t="n">
        <v>1</v>
      </c>
      <c r="L915" s="34"/>
      <c r="M915" s="44" t="s">
        <v>321</v>
      </c>
      <c r="N915" s="36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9"/>
      <c r="Z915" s="39"/>
      <c r="AA915" s="28"/>
      <c r="AMJ915" s="0"/>
    </row>
    <row r="916" s="2" customFormat="true" ht="12.75" hidden="false" customHeight="true" outlineLevel="0" collapsed="false">
      <c r="A916" s="27" t="s">
        <v>1846</v>
      </c>
      <c r="B916" s="27" t="s">
        <v>182</v>
      </c>
      <c r="C916" s="28" t="s">
        <v>121</v>
      </c>
      <c r="D916" s="27" t="s">
        <v>1536</v>
      </c>
      <c r="E916" s="27" t="s">
        <v>1585</v>
      </c>
      <c r="F916" s="29" t="s">
        <v>1586</v>
      </c>
      <c r="G916" s="30" t="n">
        <v>75015</v>
      </c>
      <c r="H916" s="31" t="s">
        <v>36</v>
      </c>
      <c r="I916" s="32" t="n">
        <v>144494172</v>
      </c>
      <c r="J916" s="33" t="n">
        <v>53</v>
      </c>
      <c r="K916" s="33" t="n">
        <v>1</v>
      </c>
      <c r="L916" s="34"/>
      <c r="M916" s="44" t="s">
        <v>321</v>
      </c>
      <c r="N916" s="36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9"/>
      <c r="Z916" s="39"/>
      <c r="AA916" s="28"/>
      <c r="AMJ916" s="0"/>
    </row>
    <row r="917" s="2" customFormat="true" ht="12.75" hidden="false" customHeight="true" outlineLevel="0" collapsed="false">
      <c r="A917" s="27" t="s">
        <v>1847</v>
      </c>
      <c r="B917" s="27" t="s">
        <v>324</v>
      </c>
      <c r="C917" s="28" t="s">
        <v>121</v>
      </c>
      <c r="D917" s="27" t="s">
        <v>1536</v>
      </c>
      <c r="E917" s="27" t="s">
        <v>1585</v>
      </c>
      <c r="F917" s="29" t="s">
        <v>1586</v>
      </c>
      <c r="G917" s="30" t="n">
        <v>75015</v>
      </c>
      <c r="H917" s="31" t="s">
        <v>36</v>
      </c>
      <c r="I917" s="32" t="n">
        <v>144495274</v>
      </c>
      <c r="J917" s="33" t="n">
        <v>36</v>
      </c>
      <c r="K917" s="33" t="n">
        <v>1</v>
      </c>
      <c r="L917" s="34"/>
      <c r="M917" s="44" t="s">
        <v>321</v>
      </c>
      <c r="N917" s="36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9"/>
      <c r="Z917" s="39"/>
      <c r="AA917" s="28"/>
      <c r="AMJ917" s="0"/>
    </row>
    <row r="918" s="2" customFormat="true" ht="12.75" hidden="false" customHeight="true" outlineLevel="0" collapsed="false">
      <c r="A918" s="27" t="s">
        <v>1848</v>
      </c>
      <c r="B918" s="27" t="s">
        <v>1067</v>
      </c>
      <c r="C918" s="28" t="s">
        <v>121</v>
      </c>
      <c r="D918" s="27" t="s">
        <v>1536</v>
      </c>
      <c r="E918" s="27" t="s">
        <v>1585</v>
      </c>
      <c r="F918" s="29" t="s">
        <v>1586</v>
      </c>
      <c r="G918" s="30" t="n">
        <v>75015</v>
      </c>
      <c r="H918" s="31" t="s">
        <v>36</v>
      </c>
      <c r="I918" s="32" t="n">
        <v>144494824</v>
      </c>
      <c r="J918" s="33" t="n">
        <v>11</v>
      </c>
      <c r="K918" s="33" t="n">
        <v>4</v>
      </c>
      <c r="L918" s="34"/>
      <c r="M918" s="44" t="s">
        <v>321</v>
      </c>
      <c r="N918" s="36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9"/>
      <c r="Z918" s="39"/>
      <c r="AA918" s="28"/>
      <c r="AMJ918" s="0"/>
    </row>
    <row r="919" s="2" customFormat="true" ht="12.75" hidden="false" customHeight="true" outlineLevel="0" collapsed="false">
      <c r="A919" s="27" t="s">
        <v>1849</v>
      </c>
      <c r="B919" s="27" t="s">
        <v>79</v>
      </c>
      <c r="C919" s="28" t="s">
        <v>121</v>
      </c>
      <c r="D919" s="27" t="s">
        <v>1536</v>
      </c>
      <c r="E919" s="27" t="s">
        <v>1585</v>
      </c>
      <c r="F919" s="29" t="s">
        <v>1586</v>
      </c>
      <c r="G919" s="30" t="n">
        <v>75015</v>
      </c>
      <c r="H919" s="31" t="s">
        <v>36</v>
      </c>
      <c r="I919" s="32" t="n">
        <v>144494824</v>
      </c>
      <c r="J919" s="33" t="n">
        <v>11</v>
      </c>
      <c r="K919" s="33" t="n">
        <v>1</v>
      </c>
      <c r="L919" s="34"/>
      <c r="M919" s="44" t="s">
        <v>321</v>
      </c>
      <c r="N919" s="36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9"/>
      <c r="Z919" s="39"/>
      <c r="AA919" s="28"/>
      <c r="AMJ919" s="0"/>
    </row>
    <row r="920" s="2" customFormat="true" ht="12.75" hidden="false" customHeight="true" outlineLevel="0" collapsed="false">
      <c r="A920" s="27" t="s">
        <v>1850</v>
      </c>
      <c r="B920" s="27" t="s">
        <v>1851</v>
      </c>
      <c r="C920" s="28" t="s">
        <v>121</v>
      </c>
      <c r="D920" s="27" t="s">
        <v>1536</v>
      </c>
      <c r="E920" s="27" t="s">
        <v>1585</v>
      </c>
      <c r="F920" s="29" t="s">
        <v>1586</v>
      </c>
      <c r="G920" s="30" t="n">
        <v>75015</v>
      </c>
      <c r="H920" s="31" t="s">
        <v>36</v>
      </c>
      <c r="I920" s="32" t="n">
        <v>144494221</v>
      </c>
      <c r="J920" s="33" t="n">
        <v>11</v>
      </c>
      <c r="K920" s="33" t="n">
        <v>2</v>
      </c>
      <c r="L920" s="34"/>
      <c r="M920" s="44" t="s">
        <v>321</v>
      </c>
      <c r="N920" s="36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9"/>
      <c r="Z920" s="39"/>
      <c r="AA920" s="28"/>
      <c r="AMJ920" s="0"/>
    </row>
    <row r="921" s="2" customFormat="true" ht="12.75" hidden="false" customHeight="true" outlineLevel="0" collapsed="false">
      <c r="A921" s="27" t="s">
        <v>1852</v>
      </c>
      <c r="B921" s="27" t="s">
        <v>94</v>
      </c>
      <c r="C921" s="28" t="s">
        <v>121</v>
      </c>
      <c r="D921" s="27" t="s">
        <v>1536</v>
      </c>
      <c r="E921" s="27" t="s">
        <v>1585</v>
      </c>
      <c r="F921" s="29" t="s">
        <v>1586</v>
      </c>
      <c r="G921" s="30" t="n">
        <v>75015</v>
      </c>
      <c r="H921" s="31" t="s">
        <v>36</v>
      </c>
      <c r="I921" s="32" t="n">
        <v>144494882</v>
      </c>
      <c r="J921" s="33" t="n">
        <v>0</v>
      </c>
      <c r="K921" s="33" t="n">
        <v>1</v>
      </c>
      <c r="L921" s="34"/>
      <c r="M921" s="44" t="s">
        <v>321</v>
      </c>
      <c r="N921" s="36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9"/>
      <c r="Z921" s="39"/>
      <c r="AA921" s="28"/>
      <c r="AMJ921" s="0"/>
    </row>
    <row r="922" s="2" customFormat="true" ht="12.75" hidden="false" customHeight="true" outlineLevel="0" collapsed="false">
      <c r="A922" s="27" t="s">
        <v>1853</v>
      </c>
      <c r="B922" s="27" t="s">
        <v>1854</v>
      </c>
      <c r="C922" s="28" t="s">
        <v>121</v>
      </c>
      <c r="D922" s="27" t="s">
        <v>1536</v>
      </c>
      <c r="E922" s="27" t="s">
        <v>1585</v>
      </c>
      <c r="F922" s="29" t="s">
        <v>1586</v>
      </c>
      <c r="G922" s="30" t="n">
        <v>75015</v>
      </c>
      <c r="H922" s="31" t="s">
        <v>36</v>
      </c>
      <c r="I922" s="32" t="n">
        <v>144494462</v>
      </c>
      <c r="J922" s="33" t="n">
        <v>0</v>
      </c>
      <c r="K922" s="33" t="n">
        <v>1</v>
      </c>
      <c r="L922" s="34"/>
      <c r="M922" s="44" t="s">
        <v>321</v>
      </c>
      <c r="N922" s="36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9"/>
      <c r="Z922" s="39"/>
      <c r="AA922" s="28"/>
      <c r="AMJ922" s="0"/>
    </row>
    <row r="923" s="2" customFormat="true" ht="12.75" hidden="false" customHeight="true" outlineLevel="0" collapsed="false">
      <c r="A923" s="27" t="s">
        <v>1855</v>
      </c>
      <c r="B923" s="27" t="s">
        <v>1856</v>
      </c>
      <c r="C923" s="28" t="s">
        <v>121</v>
      </c>
      <c r="D923" s="27" t="s">
        <v>1536</v>
      </c>
      <c r="E923" s="27" t="s">
        <v>1585</v>
      </c>
      <c r="F923" s="29" t="s">
        <v>1586</v>
      </c>
      <c r="G923" s="30" t="n">
        <v>75015</v>
      </c>
      <c r="H923" s="31" t="s">
        <v>36</v>
      </c>
      <c r="I923" s="32" t="n">
        <v>144494344</v>
      </c>
      <c r="J923" s="33" t="n">
        <v>0</v>
      </c>
      <c r="K923" s="33" t="n">
        <v>6</v>
      </c>
      <c r="L923" s="34"/>
      <c r="M923" s="44" t="s">
        <v>321</v>
      </c>
      <c r="N923" s="36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9"/>
      <c r="Z923" s="39"/>
      <c r="AA923" s="28"/>
      <c r="AMJ923" s="0"/>
    </row>
    <row r="924" s="2" customFormat="true" ht="12.75" hidden="false" customHeight="true" outlineLevel="0" collapsed="false">
      <c r="A924" s="27" t="s">
        <v>1857</v>
      </c>
      <c r="B924" s="27" t="s">
        <v>349</v>
      </c>
      <c r="C924" s="28" t="s">
        <v>121</v>
      </c>
      <c r="D924" s="27" t="s">
        <v>1536</v>
      </c>
      <c r="E924" s="27" t="s">
        <v>1585</v>
      </c>
      <c r="F924" s="29" t="s">
        <v>1586</v>
      </c>
      <c r="G924" s="30" t="n">
        <v>75015</v>
      </c>
      <c r="H924" s="31" t="s">
        <v>36</v>
      </c>
      <c r="I924" s="32" t="n">
        <v>144381904</v>
      </c>
      <c r="J924" s="33" t="n">
        <v>0</v>
      </c>
      <c r="K924" s="33" t="n">
        <v>2</v>
      </c>
      <c r="L924" s="34"/>
      <c r="M924" s="44" t="s">
        <v>321</v>
      </c>
      <c r="N924" s="36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9"/>
      <c r="Z924" s="39"/>
      <c r="AA924" s="28"/>
      <c r="AMJ924" s="0"/>
    </row>
    <row r="925" s="2" customFormat="true" ht="12.75" hidden="false" customHeight="true" outlineLevel="0" collapsed="false">
      <c r="A925" s="27" t="s">
        <v>1858</v>
      </c>
      <c r="B925" s="27" t="s">
        <v>1859</v>
      </c>
      <c r="C925" s="28" t="s">
        <v>121</v>
      </c>
      <c r="D925" s="27" t="s">
        <v>1536</v>
      </c>
      <c r="E925" s="27" t="s">
        <v>1585</v>
      </c>
      <c r="F925" s="29" t="s">
        <v>1586</v>
      </c>
      <c r="G925" s="30" t="n">
        <v>75015</v>
      </c>
      <c r="H925" s="31" t="s">
        <v>36</v>
      </c>
      <c r="I925" s="32" t="n">
        <v>144494292</v>
      </c>
      <c r="J925" s="33" t="n">
        <v>0</v>
      </c>
      <c r="K925" s="33" t="n">
        <v>1</v>
      </c>
      <c r="L925" s="34"/>
      <c r="M925" s="44" t="s">
        <v>321</v>
      </c>
      <c r="N925" s="36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9"/>
      <c r="Z925" s="39"/>
      <c r="AA925" s="28"/>
      <c r="AMJ925" s="0"/>
    </row>
    <row r="926" s="2" customFormat="true" ht="12.75" hidden="false" customHeight="true" outlineLevel="0" collapsed="false">
      <c r="A926" s="27" t="s">
        <v>1860</v>
      </c>
      <c r="B926" s="27" t="s">
        <v>1861</v>
      </c>
      <c r="C926" s="28" t="s">
        <v>121</v>
      </c>
      <c r="D926" s="27" t="s">
        <v>1536</v>
      </c>
      <c r="E926" s="27" t="s">
        <v>1585</v>
      </c>
      <c r="F926" s="29" t="s">
        <v>1586</v>
      </c>
      <c r="G926" s="30" t="n">
        <v>75015</v>
      </c>
      <c r="H926" s="31" t="s">
        <v>36</v>
      </c>
      <c r="I926" s="32" t="n">
        <v>144494344</v>
      </c>
      <c r="J926" s="33" t="n">
        <v>0</v>
      </c>
      <c r="K926" s="33" t="n">
        <v>1</v>
      </c>
      <c r="L926" s="34"/>
      <c r="M926" s="44" t="s">
        <v>321</v>
      </c>
      <c r="N926" s="36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9"/>
      <c r="Z926" s="39"/>
      <c r="AA926" s="28"/>
      <c r="AMJ926" s="0"/>
    </row>
    <row r="927" s="2" customFormat="true" ht="12.75" hidden="false" customHeight="true" outlineLevel="0" collapsed="false">
      <c r="A927" s="27" t="s">
        <v>1862</v>
      </c>
      <c r="B927" s="27" t="s">
        <v>1863</v>
      </c>
      <c r="C927" s="28" t="s">
        <v>121</v>
      </c>
      <c r="D927" s="27" t="s">
        <v>1536</v>
      </c>
      <c r="E927" s="27" t="s">
        <v>1585</v>
      </c>
      <c r="F927" s="29" t="s">
        <v>1586</v>
      </c>
      <c r="G927" s="30" t="n">
        <v>75015</v>
      </c>
      <c r="H927" s="31" t="s">
        <v>36</v>
      </c>
      <c r="I927" s="32" t="n">
        <v>144494852</v>
      </c>
      <c r="J927" s="33" t="n">
        <v>0</v>
      </c>
      <c r="K927" s="33" t="n">
        <v>1</v>
      </c>
      <c r="L927" s="34"/>
      <c r="M927" s="44" t="s">
        <v>321</v>
      </c>
      <c r="N927" s="36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9"/>
      <c r="Z927" s="39"/>
      <c r="AA927" s="28"/>
      <c r="AMJ927" s="0"/>
    </row>
    <row r="928" s="2" customFormat="true" ht="12.75" hidden="false" customHeight="true" outlineLevel="0" collapsed="false">
      <c r="A928" s="27" t="s">
        <v>1864</v>
      </c>
      <c r="B928" s="27" t="s">
        <v>1865</v>
      </c>
      <c r="C928" s="28" t="s">
        <v>121</v>
      </c>
      <c r="D928" s="27" t="s">
        <v>1536</v>
      </c>
      <c r="E928" s="27" t="s">
        <v>1585</v>
      </c>
      <c r="F928" s="29" t="s">
        <v>1586</v>
      </c>
      <c r="G928" s="30" t="n">
        <v>75015</v>
      </c>
      <c r="H928" s="31" t="s">
        <v>36</v>
      </c>
      <c r="I928" s="32" t="n">
        <v>171196194</v>
      </c>
      <c r="J928" s="33" t="n">
        <v>0</v>
      </c>
      <c r="K928" s="33" t="n">
        <v>1</v>
      </c>
      <c r="L928" s="34"/>
      <c r="M928" s="44" t="s">
        <v>321</v>
      </c>
      <c r="N928" s="57" t="s">
        <v>1706</v>
      </c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9"/>
      <c r="Z928" s="39"/>
      <c r="AA928" s="28"/>
      <c r="AMJ928" s="0"/>
    </row>
    <row r="929" s="2" customFormat="true" ht="12.75" hidden="false" customHeight="true" outlineLevel="0" collapsed="false">
      <c r="A929" s="27" t="s">
        <v>1866</v>
      </c>
      <c r="B929" s="27" t="s">
        <v>1526</v>
      </c>
      <c r="C929" s="28" t="s">
        <v>121</v>
      </c>
      <c r="D929" s="27" t="s">
        <v>1536</v>
      </c>
      <c r="E929" s="27" t="s">
        <v>1585</v>
      </c>
      <c r="F929" s="29" t="s">
        <v>1586</v>
      </c>
      <c r="G929" s="30" t="n">
        <v>75015</v>
      </c>
      <c r="H929" s="31" t="s">
        <v>36</v>
      </c>
      <c r="I929" s="32" t="n">
        <v>144494344</v>
      </c>
      <c r="J929" s="33" t="n">
        <v>0</v>
      </c>
      <c r="K929" s="33" t="n">
        <v>4</v>
      </c>
      <c r="L929" s="34"/>
      <c r="M929" s="44" t="s">
        <v>321</v>
      </c>
      <c r="N929" s="36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9"/>
      <c r="Z929" s="39"/>
      <c r="AA929" s="28"/>
      <c r="AMJ929" s="0"/>
    </row>
    <row r="930" s="2" customFormat="true" ht="12.75" hidden="false" customHeight="true" outlineLevel="0" collapsed="false">
      <c r="A930" s="27" t="s">
        <v>1867</v>
      </c>
      <c r="B930" s="27" t="s">
        <v>1768</v>
      </c>
      <c r="C930" s="28" t="s">
        <v>121</v>
      </c>
      <c r="D930" s="27" t="s">
        <v>1536</v>
      </c>
      <c r="E930" s="27" t="s">
        <v>1585</v>
      </c>
      <c r="F930" s="29" t="s">
        <v>1586</v>
      </c>
      <c r="G930" s="30" t="n">
        <v>75015</v>
      </c>
      <c r="H930" s="31" t="s">
        <v>36</v>
      </c>
      <c r="I930" s="32" t="n">
        <v>144494344</v>
      </c>
      <c r="J930" s="33" t="n">
        <v>0</v>
      </c>
      <c r="K930" s="33" t="n">
        <v>1</v>
      </c>
      <c r="L930" s="34"/>
      <c r="M930" s="44" t="s">
        <v>321</v>
      </c>
      <c r="N930" s="36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9"/>
      <c r="Z930" s="39"/>
      <c r="AA930" s="28"/>
      <c r="AMJ930" s="0"/>
    </row>
    <row r="931" s="2" customFormat="true" ht="12.75" hidden="false" customHeight="true" outlineLevel="0" collapsed="false">
      <c r="A931" s="27" t="s">
        <v>1868</v>
      </c>
      <c r="B931" s="27" t="s">
        <v>1869</v>
      </c>
      <c r="C931" s="28" t="s">
        <v>121</v>
      </c>
      <c r="D931" s="27" t="s">
        <v>1536</v>
      </c>
      <c r="E931" s="27" t="s">
        <v>1585</v>
      </c>
      <c r="F931" s="29" t="s">
        <v>1586</v>
      </c>
      <c r="G931" s="30" t="n">
        <v>75015</v>
      </c>
      <c r="H931" s="31" t="s">
        <v>36</v>
      </c>
      <c r="I931" s="32" t="n">
        <v>144494848</v>
      </c>
      <c r="J931" s="33" t="n">
        <v>0</v>
      </c>
      <c r="K931" s="33" t="n">
        <v>5</v>
      </c>
      <c r="L931" s="34"/>
      <c r="M931" s="44" t="s">
        <v>321</v>
      </c>
      <c r="N931" s="36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9"/>
      <c r="Z931" s="39"/>
      <c r="AA931" s="28"/>
      <c r="AMJ931" s="0"/>
    </row>
    <row r="932" s="2" customFormat="true" ht="12.75" hidden="false" customHeight="true" outlineLevel="0" collapsed="false">
      <c r="A932" s="27" t="s">
        <v>1870</v>
      </c>
      <c r="B932" s="27" t="s">
        <v>1871</v>
      </c>
      <c r="C932" s="28" t="s">
        <v>121</v>
      </c>
      <c r="D932" s="27" t="s">
        <v>1536</v>
      </c>
      <c r="E932" s="27" t="s">
        <v>1585</v>
      </c>
      <c r="F932" s="29" t="s">
        <v>1586</v>
      </c>
      <c r="G932" s="30" t="n">
        <v>75015</v>
      </c>
      <c r="H932" s="31" t="s">
        <v>36</v>
      </c>
      <c r="I932" s="32" t="n">
        <v>171196194</v>
      </c>
      <c r="J932" s="33" t="n">
        <v>0</v>
      </c>
      <c r="K932" s="33" t="n">
        <v>1</v>
      </c>
      <c r="L932" s="34"/>
      <c r="M932" s="44" t="s">
        <v>321</v>
      </c>
      <c r="N932" s="57" t="s">
        <v>1706</v>
      </c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9"/>
      <c r="Z932" s="39"/>
      <c r="AA932" s="28"/>
      <c r="AMJ932" s="0"/>
    </row>
    <row r="933" s="2" customFormat="true" ht="12.75" hidden="false" customHeight="true" outlineLevel="0" collapsed="false">
      <c r="A933" s="27" t="s">
        <v>564</v>
      </c>
      <c r="B933" s="27" t="s">
        <v>1872</v>
      </c>
      <c r="C933" s="28" t="s">
        <v>121</v>
      </c>
      <c r="D933" s="27" t="s">
        <v>1536</v>
      </c>
      <c r="E933" s="27" t="s">
        <v>1585</v>
      </c>
      <c r="F933" s="29" t="s">
        <v>1586</v>
      </c>
      <c r="G933" s="30" t="n">
        <v>75015</v>
      </c>
      <c r="H933" s="31" t="s">
        <v>36</v>
      </c>
      <c r="I933" s="32" t="n">
        <v>144381903</v>
      </c>
      <c r="J933" s="33" t="n">
        <v>0</v>
      </c>
      <c r="K933" s="33" t="n">
        <v>1</v>
      </c>
      <c r="L933" s="34"/>
      <c r="M933" s="44" t="s">
        <v>321</v>
      </c>
      <c r="N933" s="36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9"/>
      <c r="Z933" s="39"/>
      <c r="AA933" s="28"/>
      <c r="AMJ933" s="0"/>
    </row>
    <row r="934" s="2" customFormat="true" ht="12.75" hidden="false" customHeight="true" outlineLevel="0" collapsed="false">
      <c r="A934" s="27" t="s">
        <v>1873</v>
      </c>
      <c r="B934" s="27" t="s">
        <v>1874</v>
      </c>
      <c r="C934" s="28" t="s">
        <v>121</v>
      </c>
      <c r="D934" s="27" t="s">
        <v>1536</v>
      </c>
      <c r="E934" s="27" t="s">
        <v>1585</v>
      </c>
      <c r="F934" s="29" t="s">
        <v>1586</v>
      </c>
      <c r="G934" s="30" t="n">
        <v>75015</v>
      </c>
      <c r="H934" s="31" t="s">
        <v>36</v>
      </c>
      <c r="I934" s="32" t="n">
        <v>144494801</v>
      </c>
      <c r="J934" s="33" t="n">
        <v>0</v>
      </c>
      <c r="K934" s="33" t="n">
        <v>1</v>
      </c>
      <c r="L934" s="34"/>
      <c r="M934" s="44" t="s">
        <v>321</v>
      </c>
      <c r="N934" s="36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9"/>
      <c r="Z934" s="39"/>
      <c r="AA934" s="28"/>
      <c r="AMJ934" s="0"/>
    </row>
    <row r="935" s="2" customFormat="true" ht="12.75" hidden="false" customHeight="true" outlineLevel="0" collapsed="false">
      <c r="A935" s="27" t="s">
        <v>1875</v>
      </c>
      <c r="B935" s="27" t="s">
        <v>1876</v>
      </c>
      <c r="C935" s="28" t="s">
        <v>121</v>
      </c>
      <c r="D935" s="27" t="s">
        <v>1536</v>
      </c>
      <c r="E935" s="27" t="s">
        <v>1585</v>
      </c>
      <c r="F935" s="29" t="s">
        <v>1586</v>
      </c>
      <c r="G935" s="30" t="n">
        <v>75015</v>
      </c>
      <c r="H935" s="31" t="s">
        <v>36</v>
      </c>
      <c r="I935" s="32" t="n">
        <v>144494292</v>
      </c>
      <c r="J935" s="33" t="n">
        <v>0</v>
      </c>
      <c r="K935" s="33" t="n">
        <v>1</v>
      </c>
      <c r="L935" s="34"/>
      <c r="M935" s="44" t="s">
        <v>321</v>
      </c>
      <c r="N935" s="36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9"/>
      <c r="Z935" s="39"/>
      <c r="AA935" s="28"/>
      <c r="AMJ935" s="0"/>
    </row>
    <row r="936" s="2" customFormat="true" ht="12.75" hidden="false" customHeight="true" outlineLevel="0" collapsed="false">
      <c r="A936" s="61" t="s">
        <v>1877</v>
      </c>
      <c r="B936" s="27" t="s">
        <v>1127</v>
      </c>
      <c r="C936" s="28" t="s">
        <v>121</v>
      </c>
      <c r="D936" s="27" t="s">
        <v>1536</v>
      </c>
      <c r="E936" s="27" t="s">
        <v>1585</v>
      </c>
      <c r="F936" s="29" t="s">
        <v>1586</v>
      </c>
      <c r="G936" s="30" t="n">
        <v>75015</v>
      </c>
      <c r="H936" s="31" t="s">
        <v>36</v>
      </c>
      <c r="I936" s="32" t="n">
        <v>144494561</v>
      </c>
      <c r="J936" s="33" t="n">
        <v>0</v>
      </c>
      <c r="K936" s="33" t="n">
        <v>1</v>
      </c>
      <c r="L936" s="34"/>
      <c r="M936" s="44" t="s">
        <v>321</v>
      </c>
      <c r="N936" s="69" t="s">
        <v>1878</v>
      </c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9"/>
      <c r="Z936" s="39"/>
      <c r="AA936" s="28"/>
      <c r="AMJ936" s="0"/>
    </row>
    <row r="937" s="2" customFormat="true" ht="12.75" hidden="false" customHeight="true" outlineLevel="0" collapsed="false">
      <c r="A937" s="61" t="s">
        <v>1879</v>
      </c>
      <c r="B937" s="27" t="s">
        <v>782</v>
      </c>
      <c r="C937" s="28" t="s">
        <v>121</v>
      </c>
      <c r="D937" s="27" t="s">
        <v>1536</v>
      </c>
      <c r="E937" s="27" t="s">
        <v>1585</v>
      </c>
      <c r="F937" s="29" t="s">
        <v>1586</v>
      </c>
      <c r="G937" s="30" t="n">
        <v>75015</v>
      </c>
      <c r="H937" s="31" t="s">
        <v>36</v>
      </c>
      <c r="I937" s="32" t="n">
        <v>144494412</v>
      </c>
      <c r="J937" s="33" t="n">
        <v>0</v>
      </c>
      <c r="K937" s="33" t="n">
        <v>4</v>
      </c>
      <c r="L937" s="34"/>
      <c r="M937" s="44" t="s">
        <v>321</v>
      </c>
      <c r="N937" s="69" t="s">
        <v>1588</v>
      </c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9"/>
      <c r="Z937" s="39"/>
      <c r="AA937" s="28"/>
      <c r="AMJ937" s="0"/>
    </row>
    <row r="938" s="2" customFormat="true" ht="12.75" hidden="false" customHeight="true" outlineLevel="0" collapsed="false">
      <c r="A938" s="27" t="s">
        <v>1880</v>
      </c>
      <c r="B938" s="27" t="s">
        <v>1881</v>
      </c>
      <c r="C938" s="28" t="s">
        <v>121</v>
      </c>
      <c r="D938" s="27" t="s">
        <v>1536</v>
      </c>
      <c r="E938" s="27" t="s">
        <v>1585</v>
      </c>
      <c r="F938" s="29" t="s">
        <v>1586</v>
      </c>
      <c r="G938" s="30" t="n">
        <v>75015</v>
      </c>
      <c r="H938" s="31" t="s">
        <v>36</v>
      </c>
      <c r="I938" s="32" t="n">
        <v>144494882</v>
      </c>
      <c r="J938" s="33" t="n">
        <v>0</v>
      </c>
      <c r="K938" s="33" t="n">
        <v>1</v>
      </c>
      <c r="L938" s="34"/>
      <c r="M938" s="44" t="s">
        <v>321</v>
      </c>
      <c r="N938" s="36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9"/>
      <c r="Z938" s="39"/>
      <c r="AA938" s="28"/>
      <c r="AMJ938" s="0"/>
    </row>
    <row r="939" s="2" customFormat="true" ht="12.75" hidden="false" customHeight="true" outlineLevel="0" collapsed="false">
      <c r="A939" s="27" t="s">
        <v>1882</v>
      </c>
      <c r="B939" s="27" t="s">
        <v>1883</v>
      </c>
      <c r="C939" s="28" t="s">
        <v>121</v>
      </c>
      <c r="D939" s="27" t="s">
        <v>1536</v>
      </c>
      <c r="E939" s="27" t="s">
        <v>1585</v>
      </c>
      <c r="F939" s="29" t="s">
        <v>1586</v>
      </c>
      <c r="G939" s="30" t="n">
        <v>75015</v>
      </c>
      <c r="H939" s="31" t="s">
        <v>36</v>
      </c>
      <c r="I939" s="32" t="n">
        <v>144494172</v>
      </c>
      <c r="J939" s="33" t="n">
        <v>0</v>
      </c>
      <c r="K939" s="33" t="n">
        <v>1</v>
      </c>
      <c r="L939" s="34"/>
      <c r="M939" s="44" t="s">
        <v>321</v>
      </c>
      <c r="N939" s="36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9"/>
      <c r="Z939" s="39"/>
      <c r="AA939" s="28"/>
      <c r="AMJ939" s="0"/>
    </row>
    <row r="940" s="2" customFormat="true" ht="12.75" hidden="false" customHeight="true" outlineLevel="0" collapsed="false">
      <c r="A940" s="27" t="s">
        <v>1884</v>
      </c>
      <c r="B940" s="27" t="s">
        <v>1885</v>
      </c>
      <c r="C940" s="28" t="s">
        <v>121</v>
      </c>
      <c r="D940" s="27" t="s">
        <v>1536</v>
      </c>
      <c r="E940" s="27" t="s">
        <v>1585</v>
      </c>
      <c r="F940" s="29" t="s">
        <v>1586</v>
      </c>
      <c r="G940" s="30" t="n">
        <v>75015</v>
      </c>
      <c r="H940" s="31" t="s">
        <v>36</v>
      </c>
      <c r="I940" s="32" t="n">
        <v>144494292</v>
      </c>
      <c r="J940" s="33" t="n">
        <v>0</v>
      </c>
      <c r="K940" s="33"/>
      <c r="L940" s="34"/>
      <c r="M940" s="44" t="s">
        <v>321</v>
      </c>
      <c r="N940" s="36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9"/>
      <c r="Z940" s="39"/>
      <c r="AA940" s="28"/>
      <c r="AMJ940" s="0"/>
    </row>
    <row r="941" s="2" customFormat="true" ht="12.75" hidden="false" customHeight="true" outlineLevel="0" collapsed="false">
      <c r="A941" s="27" t="s">
        <v>1886</v>
      </c>
      <c r="B941" s="27" t="s">
        <v>53</v>
      </c>
      <c r="C941" s="28" t="s">
        <v>121</v>
      </c>
      <c r="D941" s="27" t="s">
        <v>1536</v>
      </c>
      <c r="E941" s="27" t="s">
        <v>1585</v>
      </c>
      <c r="F941" s="29" t="s">
        <v>1586</v>
      </c>
      <c r="G941" s="30" t="n">
        <v>75015</v>
      </c>
      <c r="H941" s="31" t="s">
        <v>36</v>
      </c>
      <c r="I941" s="32" t="n">
        <v>144494462</v>
      </c>
      <c r="J941" s="33"/>
      <c r="K941" s="33"/>
      <c r="L941" s="34"/>
      <c r="M941" s="44" t="s">
        <v>321</v>
      </c>
      <c r="N941" s="36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9"/>
      <c r="Z941" s="39"/>
      <c r="AA941" s="28"/>
      <c r="AMJ941" s="0"/>
    </row>
    <row r="942" s="2" customFormat="true" ht="12.75" hidden="false" customHeight="true" outlineLevel="0" collapsed="false">
      <c r="A942" s="61" t="s">
        <v>894</v>
      </c>
      <c r="B942" s="61" t="s">
        <v>749</v>
      </c>
      <c r="C942" s="60" t="s">
        <v>121</v>
      </c>
      <c r="D942" s="61" t="s">
        <v>1536</v>
      </c>
      <c r="E942" s="61" t="s">
        <v>1585</v>
      </c>
      <c r="F942" s="62" t="s">
        <v>1586</v>
      </c>
      <c r="G942" s="63" t="n">
        <v>75015</v>
      </c>
      <c r="H942" s="64" t="s">
        <v>36</v>
      </c>
      <c r="I942" s="65" t="n">
        <v>144494412</v>
      </c>
      <c r="J942" s="66"/>
      <c r="K942" s="66"/>
      <c r="L942" s="67"/>
      <c r="M942" s="68" t="s">
        <v>321</v>
      </c>
      <c r="N942" s="69" t="s">
        <v>1588</v>
      </c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9"/>
      <c r="Z942" s="39"/>
      <c r="AA942" s="28"/>
      <c r="AMJ942" s="0"/>
    </row>
    <row r="943" s="2" customFormat="true" ht="12.75" hidden="false" customHeight="true" outlineLevel="0" collapsed="false">
      <c r="A943" s="27" t="s">
        <v>1887</v>
      </c>
      <c r="B943" s="27" t="s">
        <v>99</v>
      </c>
      <c r="C943" s="28" t="s">
        <v>121</v>
      </c>
      <c r="D943" s="27" t="s">
        <v>1536</v>
      </c>
      <c r="E943" s="27" t="s">
        <v>1585</v>
      </c>
      <c r="F943" s="29" t="s">
        <v>1586</v>
      </c>
      <c r="G943" s="30" t="n">
        <v>75015</v>
      </c>
      <c r="H943" s="31" t="s">
        <v>36</v>
      </c>
      <c r="I943" s="32" t="n">
        <v>144494462</v>
      </c>
      <c r="J943" s="33"/>
      <c r="K943" s="33"/>
      <c r="L943" s="34"/>
      <c r="M943" s="44" t="s">
        <v>321</v>
      </c>
      <c r="N943" s="36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9"/>
      <c r="Z943" s="39"/>
      <c r="AA943" s="28"/>
      <c r="AMJ943" s="0"/>
    </row>
    <row r="944" s="2" customFormat="true" ht="12.75" hidden="false" customHeight="true" outlineLevel="0" collapsed="false">
      <c r="A944" s="27" t="s">
        <v>1888</v>
      </c>
      <c r="B944" s="27" t="s">
        <v>217</v>
      </c>
      <c r="C944" s="28" t="s">
        <v>121</v>
      </c>
      <c r="D944" s="27" t="s">
        <v>1536</v>
      </c>
      <c r="E944" s="27" t="s">
        <v>1585</v>
      </c>
      <c r="F944" s="29" t="s">
        <v>1586</v>
      </c>
      <c r="G944" s="30" t="n">
        <v>75015</v>
      </c>
      <c r="H944" s="31" t="s">
        <v>36</v>
      </c>
      <c r="I944" s="32" t="n">
        <v>144494848</v>
      </c>
      <c r="J944" s="33"/>
      <c r="K944" s="33"/>
      <c r="L944" s="34"/>
      <c r="M944" s="44" t="s">
        <v>321</v>
      </c>
      <c r="N944" s="36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9"/>
      <c r="Z944" s="39"/>
      <c r="AA944" s="28"/>
      <c r="AMJ944" s="0"/>
    </row>
    <row r="945" s="2" customFormat="true" ht="12.75" hidden="false" customHeight="true" outlineLevel="0" collapsed="false">
      <c r="A945" s="27" t="s">
        <v>1889</v>
      </c>
      <c r="B945" s="27" t="s">
        <v>642</v>
      </c>
      <c r="C945" s="28" t="s">
        <v>121</v>
      </c>
      <c r="D945" s="27" t="s">
        <v>1536</v>
      </c>
      <c r="E945" s="27" t="s">
        <v>1585</v>
      </c>
      <c r="F945" s="29" t="s">
        <v>1586</v>
      </c>
      <c r="G945" s="30" t="n">
        <v>75015</v>
      </c>
      <c r="H945" s="31" t="s">
        <v>36</v>
      </c>
      <c r="I945" s="32" t="n">
        <v>144494462</v>
      </c>
      <c r="J945" s="33"/>
      <c r="K945" s="33"/>
      <c r="L945" s="34"/>
      <c r="M945" s="44" t="s">
        <v>321</v>
      </c>
      <c r="N945" s="36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9"/>
      <c r="Z945" s="39"/>
      <c r="AA945" s="28"/>
      <c r="AMJ945" s="0"/>
    </row>
    <row r="946" s="2" customFormat="true" ht="12.75" hidden="false" customHeight="true" outlineLevel="0" collapsed="false">
      <c r="A946" s="61" t="s">
        <v>1890</v>
      </c>
      <c r="B946" s="61" t="s">
        <v>1891</v>
      </c>
      <c r="C946" s="60" t="s">
        <v>113</v>
      </c>
      <c r="D946" s="61" t="s">
        <v>1536</v>
      </c>
      <c r="E946" s="61" t="s">
        <v>1585</v>
      </c>
      <c r="F946" s="62" t="s">
        <v>1586</v>
      </c>
      <c r="G946" s="63" t="n">
        <v>75015</v>
      </c>
      <c r="H946" s="64" t="s">
        <v>36</v>
      </c>
      <c r="I946" s="65" t="n">
        <v>144494561</v>
      </c>
      <c r="J946" s="66" t="n">
        <v>49</v>
      </c>
      <c r="K946" s="66" t="n">
        <v>1</v>
      </c>
      <c r="L946" s="67" t="n">
        <v>1</v>
      </c>
      <c r="M946" s="68" t="s">
        <v>321</v>
      </c>
      <c r="N946" s="69" t="s">
        <v>1878</v>
      </c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39"/>
      <c r="Z946" s="39"/>
      <c r="AA946" s="28" t="n">
        <v>3</v>
      </c>
      <c r="AMJ946" s="0"/>
    </row>
    <row r="947" s="2" customFormat="true" ht="12.75" hidden="false" customHeight="true" outlineLevel="0" collapsed="false">
      <c r="A947" s="61" t="s">
        <v>1892</v>
      </c>
      <c r="B947" s="27" t="s">
        <v>1893</v>
      </c>
      <c r="C947" s="28" t="s">
        <v>113</v>
      </c>
      <c r="D947" s="27" t="s">
        <v>1536</v>
      </c>
      <c r="E947" s="27" t="s">
        <v>1585</v>
      </c>
      <c r="F947" s="29" t="s">
        <v>1586</v>
      </c>
      <c r="G947" s="30" t="n">
        <v>75015</v>
      </c>
      <c r="H947" s="31" t="s">
        <v>36</v>
      </c>
      <c r="I947" s="32" t="n">
        <v>144494561</v>
      </c>
      <c r="J947" s="33" t="n">
        <v>42</v>
      </c>
      <c r="K947" s="33" t="n">
        <v>1</v>
      </c>
      <c r="L947" s="34" t="n">
        <v>1</v>
      </c>
      <c r="M947" s="44" t="s">
        <v>321</v>
      </c>
      <c r="N947" s="69" t="s">
        <v>1878</v>
      </c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39"/>
      <c r="Z947" s="39"/>
      <c r="AA947" s="28" t="n">
        <v>3</v>
      </c>
      <c r="AMJ947" s="0"/>
    </row>
    <row r="948" s="2" customFormat="true" ht="12.75" hidden="false" customHeight="true" outlineLevel="0" collapsed="false">
      <c r="A948" s="27" t="s">
        <v>1894</v>
      </c>
      <c r="B948" s="27" t="s">
        <v>103</v>
      </c>
      <c r="C948" s="28" t="s">
        <v>113</v>
      </c>
      <c r="D948" s="27" t="s">
        <v>1536</v>
      </c>
      <c r="E948" s="27" t="s">
        <v>1585</v>
      </c>
      <c r="F948" s="29" t="s">
        <v>1586</v>
      </c>
      <c r="G948" s="30" t="n">
        <v>75015</v>
      </c>
      <c r="H948" s="31" t="s">
        <v>36</v>
      </c>
      <c r="I948" s="32" t="n">
        <v>144494854</v>
      </c>
      <c r="J948" s="33" t="n">
        <v>42</v>
      </c>
      <c r="K948" s="33" t="n">
        <v>1</v>
      </c>
      <c r="L948" s="34" t="n">
        <v>1</v>
      </c>
      <c r="M948" s="44" t="s">
        <v>321</v>
      </c>
      <c r="N948" s="36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39"/>
      <c r="Z948" s="39"/>
      <c r="AA948" s="28" t="n">
        <v>3</v>
      </c>
      <c r="AMJ948" s="0"/>
    </row>
    <row r="949" s="2" customFormat="true" ht="12.75" hidden="false" customHeight="true" outlineLevel="0" collapsed="false">
      <c r="A949" s="61" t="s">
        <v>1895</v>
      </c>
      <c r="B949" s="27" t="s">
        <v>71</v>
      </c>
      <c r="C949" s="28" t="s">
        <v>113</v>
      </c>
      <c r="D949" s="27" t="s">
        <v>1536</v>
      </c>
      <c r="E949" s="27" t="s">
        <v>1585</v>
      </c>
      <c r="F949" s="29" t="s">
        <v>1586</v>
      </c>
      <c r="G949" s="30" t="n">
        <v>75015</v>
      </c>
      <c r="H949" s="31" t="s">
        <v>36</v>
      </c>
      <c r="I949" s="32" t="n">
        <v>144494561</v>
      </c>
      <c r="J949" s="33" t="n">
        <v>42</v>
      </c>
      <c r="K949" s="33" t="n">
        <v>0</v>
      </c>
      <c r="L949" s="34"/>
      <c r="M949" s="44" t="s">
        <v>321</v>
      </c>
      <c r="N949" s="69" t="s">
        <v>1878</v>
      </c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9"/>
      <c r="Z949" s="39"/>
      <c r="AA949" s="28"/>
      <c r="AMJ949" s="0"/>
    </row>
    <row r="950" s="2" customFormat="true" ht="12.75" hidden="false" customHeight="true" outlineLevel="0" collapsed="false">
      <c r="A950" s="61" t="s">
        <v>1896</v>
      </c>
      <c r="B950" s="27" t="s">
        <v>1897</v>
      </c>
      <c r="C950" s="28" t="s">
        <v>113</v>
      </c>
      <c r="D950" s="27" t="s">
        <v>1536</v>
      </c>
      <c r="E950" s="27" t="s">
        <v>1585</v>
      </c>
      <c r="F950" s="29" t="s">
        <v>1586</v>
      </c>
      <c r="G950" s="30" t="n">
        <v>75015</v>
      </c>
      <c r="H950" s="31" t="s">
        <v>36</v>
      </c>
      <c r="I950" s="32" t="n">
        <v>144494561</v>
      </c>
      <c r="J950" s="33" t="n">
        <v>42</v>
      </c>
      <c r="K950" s="33" t="n">
        <v>1</v>
      </c>
      <c r="L950" s="34"/>
      <c r="M950" s="44" t="s">
        <v>321</v>
      </c>
      <c r="N950" s="69" t="s">
        <v>1878</v>
      </c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9"/>
      <c r="Z950" s="39"/>
      <c r="AA950" s="28"/>
      <c r="AMJ950" s="0"/>
    </row>
    <row r="951" s="2" customFormat="true" ht="12.75" hidden="false" customHeight="true" outlineLevel="0" collapsed="false">
      <c r="A951" s="61" t="s">
        <v>1898</v>
      </c>
      <c r="B951" s="27" t="s">
        <v>1899</v>
      </c>
      <c r="C951" s="28" t="s">
        <v>113</v>
      </c>
      <c r="D951" s="27" t="s">
        <v>1536</v>
      </c>
      <c r="E951" s="27" t="s">
        <v>1585</v>
      </c>
      <c r="F951" s="29" t="s">
        <v>1586</v>
      </c>
      <c r="G951" s="30" t="n">
        <v>75015</v>
      </c>
      <c r="H951" s="31" t="s">
        <v>36</v>
      </c>
      <c r="I951" s="32" t="n">
        <v>144494561</v>
      </c>
      <c r="J951" s="33" t="n">
        <v>0</v>
      </c>
      <c r="K951" s="33" t="n">
        <v>1</v>
      </c>
      <c r="L951" s="34"/>
      <c r="M951" s="44" t="s">
        <v>321</v>
      </c>
      <c r="N951" s="69" t="s">
        <v>1878</v>
      </c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9"/>
      <c r="Z951" s="39"/>
      <c r="AA951" s="28"/>
      <c r="AMJ951" s="0"/>
    </row>
    <row r="952" s="2" customFormat="true" ht="12.75" hidden="false" customHeight="true" outlineLevel="0" collapsed="false">
      <c r="A952" s="27" t="s">
        <v>1900</v>
      </c>
      <c r="B952" s="27" t="s">
        <v>1901</v>
      </c>
      <c r="C952" s="28" t="s">
        <v>33</v>
      </c>
      <c r="D952" s="27" t="s">
        <v>1536</v>
      </c>
      <c r="E952" s="27" t="s">
        <v>1585</v>
      </c>
      <c r="F952" s="29" t="s">
        <v>1586</v>
      </c>
      <c r="G952" s="30" t="n">
        <v>75015</v>
      </c>
      <c r="H952" s="31" t="s">
        <v>36</v>
      </c>
      <c r="I952" s="32" t="n">
        <v>144492323</v>
      </c>
      <c r="J952" s="33" t="n">
        <v>48</v>
      </c>
      <c r="K952" s="33" t="n">
        <v>1</v>
      </c>
      <c r="L952" s="34"/>
      <c r="M952" s="44" t="s">
        <v>321</v>
      </c>
      <c r="N952" s="36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9"/>
      <c r="Z952" s="39"/>
      <c r="AA952" s="28"/>
      <c r="AC952" s="2" t="s">
        <v>38</v>
      </c>
      <c r="AMJ952" s="0"/>
    </row>
    <row r="953" s="2" customFormat="true" ht="12.75" hidden="false" customHeight="true" outlineLevel="0" collapsed="false">
      <c r="A953" s="59" t="s">
        <v>1902</v>
      </c>
      <c r="B953" s="71" t="s">
        <v>177</v>
      </c>
      <c r="C953" s="28" t="s">
        <v>33</v>
      </c>
      <c r="D953" s="27" t="s">
        <v>1536</v>
      </c>
      <c r="E953" s="27" t="s">
        <v>1585</v>
      </c>
      <c r="F953" s="29" t="s">
        <v>1586</v>
      </c>
      <c r="G953" s="30" t="n">
        <v>75015</v>
      </c>
      <c r="H953" s="31" t="s">
        <v>36</v>
      </c>
      <c r="I953" s="32" t="n">
        <v>144494561</v>
      </c>
      <c r="J953" s="33" t="n">
        <v>42</v>
      </c>
      <c r="K953" s="33" t="n">
        <v>0</v>
      </c>
      <c r="L953" s="34"/>
      <c r="M953" s="44" t="s">
        <v>321</v>
      </c>
      <c r="N953" s="69" t="s">
        <v>1878</v>
      </c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9"/>
      <c r="Z953" s="39"/>
      <c r="AA953" s="28"/>
      <c r="AC953" s="2" t="s">
        <v>108</v>
      </c>
      <c r="AE953" s="2" t="s">
        <v>1903</v>
      </c>
      <c r="AMJ953" s="0"/>
    </row>
    <row r="954" s="2" customFormat="true" ht="12.75" hidden="false" customHeight="true" outlineLevel="0" collapsed="false">
      <c r="A954" s="61" t="s">
        <v>1904</v>
      </c>
      <c r="B954" s="61" t="s">
        <v>1905</v>
      </c>
      <c r="C954" s="60" t="s">
        <v>33</v>
      </c>
      <c r="D954" s="61" t="s">
        <v>1536</v>
      </c>
      <c r="E954" s="61" t="s">
        <v>1585</v>
      </c>
      <c r="F954" s="62" t="s">
        <v>1586</v>
      </c>
      <c r="G954" s="63" t="n">
        <v>75015</v>
      </c>
      <c r="H954" s="64" t="s">
        <v>36</v>
      </c>
      <c r="I954" s="65" t="n">
        <v>144494561</v>
      </c>
      <c r="J954" s="66"/>
      <c r="K954" s="66"/>
      <c r="L954" s="67"/>
      <c r="M954" s="68" t="s">
        <v>321</v>
      </c>
      <c r="N954" s="69" t="s">
        <v>1878</v>
      </c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9"/>
      <c r="Z954" s="39"/>
      <c r="AA954" s="28"/>
      <c r="AC954" s="2" t="s">
        <v>38</v>
      </c>
      <c r="AMJ954" s="0"/>
    </row>
    <row r="955" s="2" customFormat="true" ht="12.75" hidden="false" customHeight="true" outlineLevel="0" collapsed="false">
      <c r="A955" s="27" t="s">
        <v>1906</v>
      </c>
      <c r="B955" s="27" t="s">
        <v>1062</v>
      </c>
      <c r="C955" s="28" t="s">
        <v>33</v>
      </c>
      <c r="D955" s="27" t="s">
        <v>1536</v>
      </c>
      <c r="E955" s="27"/>
      <c r="F955" s="29" t="s">
        <v>1907</v>
      </c>
      <c r="G955" s="30" t="n">
        <v>75015</v>
      </c>
      <c r="H955" s="31" t="s">
        <v>36</v>
      </c>
      <c r="I955" s="32" t="n">
        <v>143065830</v>
      </c>
      <c r="J955" s="33" t="n">
        <v>51</v>
      </c>
      <c r="K955" s="33" t="n">
        <v>0</v>
      </c>
      <c r="L955" s="34"/>
      <c r="M955" s="35"/>
      <c r="N955" s="36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9"/>
      <c r="Z955" s="39"/>
      <c r="AA955" s="28"/>
      <c r="AC955" s="2" t="s">
        <v>197</v>
      </c>
      <c r="AMJ955" s="0"/>
    </row>
    <row r="956" s="2" customFormat="true" ht="12.75" hidden="false" customHeight="true" outlineLevel="0" collapsed="false">
      <c r="A956" s="27" t="s">
        <v>1908</v>
      </c>
      <c r="B956" s="27" t="s">
        <v>525</v>
      </c>
      <c r="C956" s="28" t="s">
        <v>77</v>
      </c>
      <c r="D956" s="27" t="s">
        <v>1536</v>
      </c>
      <c r="E956" s="27"/>
      <c r="F956" s="29" t="s">
        <v>1909</v>
      </c>
      <c r="G956" s="30" t="n">
        <v>75015</v>
      </c>
      <c r="H956" s="31" t="s">
        <v>36</v>
      </c>
      <c r="I956" s="32" t="n">
        <v>145667865</v>
      </c>
      <c r="J956" s="33" t="n">
        <v>342</v>
      </c>
      <c r="K956" s="33" t="n">
        <v>1</v>
      </c>
      <c r="L956" s="34"/>
      <c r="M956" s="35"/>
      <c r="N956" s="36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9"/>
      <c r="Z956" s="39"/>
      <c r="AA956" s="28"/>
      <c r="AMJ956" s="0"/>
    </row>
    <row r="957" s="2" customFormat="true" ht="12.75" hidden="false" customHeight="true" outlineLevel="0" collapsed="false">
      <c r="A957" s="27" t="s">
        <v>1910</v>
      </c>
      <c r="B957" s="27" t="s">
        <v>435</v>
      </c>
      <c r="C957" s="28" t="s">
        <v>41</v>
      </c>
      <c r="D957" s="27" t="s">
        <v>1536</v>
      </c>
      <c r="E957" s="27"/>
      <c r="F957" s="29" t="s">
        <v>1911</v>
      </c>
      <c r="G957" s="30" t="n">
        <v>75015</v>
      </c>
      <c r="H957" s="31" t="s">
        <v>36</v>
      </c>
      <c r="I957" s="32" t="n">
        <v>140615496</v>
      </c>
      <c r="J957" s="33" t="n">
        <v>273</v>
      </c>
      <c r="K957" s="33" t="n">
        <v>1</v>
      </c>
      <c r="L957" s="34"/>
      <c r="M957" s="35"/>
      <c r="N957" s="36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9"/>
      <c r="Z957" s="39"/>
      <c r="AA957" s="28"/>
      <c r="AMJ957" s="0"/>
    </row>
    <row r="958" s="2" customFormat="true" ht="12.75" hidden="false" customHeight="true" outlineLevel="0" collapsed="false">
      <c r="A958" s="27" t="s">
        <v>1912</v>
      </c>
      <c r="B958" s="27" t="s">
        <v>1913</v>
      </c>
      <c r="C958" s="28" t="s">
        <v>138</v>
      </c>
      <c r="D958" s="27" t="s">
        <v>1536</v>
      </c>
      <c r="E958" s="27" t="s">
        <v>1914</v>
      </c>
      <c r="F958" s="29" t="s">
        <v>1915</v>
      </c>
      <c r="G958" s="30" t="n">
        <v>75015</v>
      </c>
      <c r="H958" s="31" t="s">
        <v>36</v>
      </c>
      <c r="I958" s="32" t="n">
        <v>183946060</v>
      </c>
      <c r="J958" s="33" t="n">
        <v>289</v>
      </c>
      <c r="K958" s="33" t="n">
        <v>1</v>
      </c>
      <c r="L958" s="34"/>
      <c r="M958" s="44" t="s">
        <v>321</v>
      </c>
      <c r="N958" s="36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9"/>
      <c r="Z958" s="39"/>
      <c r="AA958" s="28"/>
      <c r="AMJ958" s="0"/>
    </row>
    <row r="959" s="2" customFormat="true" ht="12.75" hidden="false" customHeight="true" outlineLevel="0" collapsed="false">
      <c r="A959" s="27" t="s">
        <v>1916</v>
      </c>
      <c r="B959" s="27" t="s">
        <v>1917</v>
      </c>
      <c r="C959" s="28" t="s">
        <v>41</v>
      </c>
      <c r="D959" s="27" t="s">
        <v>1536</v>
      </c>
      <c r="E959" s="27" t="s">
        <v>1914</v>
      </c>
      <c r="F959" s="29" t="s">
        <v>1915</v>
      </c>
      <c r="G959" s="30" t="n">
        <v>75015</v>
      </c>
      <c r="H959" s="31" t="s">
        <v>36</v>
      </c>
      <c r="I959" s="32" t="n">
        <v>140481444</v>
      </c>
      <c r="J959" s="33" t="n">
        <v>195</v>
      </c>
      <c r="K959" s="33" t="n">
        <v>5</v>
      </c>
      <c r="L959" s="34"/>
      <c r="M959" s="44" t="s">
        <v>321</v>
      </c>
      <c r="N959" s="36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9"/>
      <c r="Z959" s="39"/>
      <c r="AA959" s="28"/>
      <c r="AMJ959" s="0"/>
    </row>
    <row r="960" s="2" customFormat="true" ht="12.75" hidden="false" customHeight="true" outlineLevel="0" collapsed="false">
      <c r="A960" s="27" t="s">
        <v>1918</v>
      </c>
      <c r="B960" s="27" t="s">
        <v>1919</v>
      </c>
      <c r="C960" s="28" t="s">
        <v>41</v>
      </c>
      <c r="D960" s="27" t="s">
        <v>1536</v>
      </c>
      <c r="E960" s="27" t="s">
        <v>1914</v>
      </c>
      <c r="F960" s="29" t="s">
        <v>1915</v>
      </c>
      <c r="G960" s="30" t="n">
        <v>75015</v>
      </c>
      <c r="H960" s="31" t="s">
        <v>36</v>
      </c>
      <c r="I960" s="32" t="n">
        <v>183946060</v>
      </c>
      <c r="J960" s="33"/>
      <c r="K960" s="33"/>
      <c r="L960" s="34"/>
      <c r="M960" s="44" t="s">
        <v>321</v>
      </c>
      <c r="N960" s="36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9"/>
      <c r="Z960" s="39"/>
      <c r="AA960" s="28"/>
      <c r="AMJ960" s="0"/>
    </row>
    <row r="961" s="2" customFormat="true" ht="12.75" hidden="false" customHeight="true" outlineLevel="0" collapsed="false">
      <c r="A961" s="27" t="s">
        <v>1920</v>
      </c>
      <c r="B961" s="27" t="s">
        <v>620</v>
      </c>
      <c r="C961" s="28" t="s">
        <v>121</v>
      </c>
      <c r="D961" s="27" t="s">
        <v>1536</v>
      </c>
      <c r="E961" s="27" t="s">
        <v>1914</v>
      </c>
      <c r="F961" s="29" t="s">
        <v>1915</v>
      </c>
      <c r="G961" s="30" t="n">
        <v>75015</v>
      </c>
      <c r="H961" s="31" t="s">
        <v>36</v>
      </c>
      <c r="I961" s="32" t="n">
        <v>183946060</v>
      </c>
      <c r="J961" s="33" t="n">
        <v>51</v>
      </c>
      <c r="K961" s="33" t="n">
        <v>2</v>
      </c>
      <c r="L961" s="34"/>
      <c r="M961" s="44" t="s">
        <v>321</v>
      </c>
      <c r="N961" s="36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9"/>
      <c r="Z961" s="39"/>
      <c r="AA961" s="28"/>
      <c r="AMJ961" s="0"/>
    </row>
    <row r="962" s="2" customFormat="true" ht="12.75" hidden="false" customHeight="true" outlineLevel="0" collapsed="false">
      <c r="A962" s="27" t="s">
        <v>1921</v>
      </c>
      <c r="B962" s="27" t="s">
        <v>406</v>
      </c>
      <c r="C962" s="28" t="s">
        <v>33</v>
      </c>
      <c r="D962" s="27" t="s">
        <v>1536</v>
      </c>
      <c r="E962" s="27" t="s">
        <v>1914</v>
      </c>
      <c r="F962" s="29" t="s">
        <v>1915</v>
      </c>
      <c r="G962" s="30" t="n">
        <v>75015</v>
      </c>
      <c r="H962" s="31" t="s">
        <v>36</v>
      </c>
      <c r="I962" s="32" t="n">
        <v>140481444</v>
      </c>
      <c r="J962" s="33" t="n">
        <v>55</v>
      </c>
      <c r="K962" s="33" t="n">
        <v>1</v>
      </c>
      <c r="L962" s="34"/>
      <c r="M962" s="44" t="s">
        <v>321</v>
      </c>
      <c r="N962" s="36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9"/>
      <c r="Z962" s="39"/>
      <c r="AA962" s="28"/>
      <c r="AC962" s="2" t="s">
        <v>38</v>
      </c>
      <c r="AMJ962" s="0"/>
    </row>
    <row r="963" s="2" customFormat="true" ht="12.75" hidden="false" customHeight="true" outlineLevel="0" collapsed="false">
      <c r="A963" s="27" t="s">
        <v>1922</v>
      </c>
      <c r="B963" s="27" t="s">
        <v>740</v>
      </c>
      <c r="C963" s="28" t="s">
        <v>138</v>
      </c>
      <c r="D963" s="27" t="s">
        <v>1536</v>
      </c>
      <c r="E963" s="27" t="s">
        <v>1923</v>
      </c>
      <c r="F963" s="29" t="s">
        <v>1924</v>
      </c>
      <c r="G963" s="30" t="n">
        <v>75015</v>
      </c>
      <c r="H963" s="31" t="s">
        <v>36</v>
      </c>
      <c r="I963" s="32" t="n">
        <v>144492828</v>
      </c>
      <c r="J963" s="33" t="n">
        <v>289</v>
      </c>
      <c r="K963" s="33" t="n">
        <v>1</v>
      </c>
      <c r="L963" s="34"/>
      <c r="M963" s="44" t="s">
        <v>321</v>
      </c>
      <c r="N963" s="36"/>
      <c r="O963" s="37"/>
      <c r="P963" s="37"/>
      <c r="Q963" s="37"/>
      <c r="R963" s="37"/>
      <c r="S963" s="37"/>
      <c r="T963" s="37"/>
      <c r="U963" s="72" t="s">
        <v>1925</v>
      </c>
      <c r="V963" s="41" t="s">
        <v>1926</v>
      </c>
      <c r="W963" s="41" t="s">
        <v>1925</v>
      </c>
      <c r="X963" s="41" t="s">
        <v>1926</v>
      </c>
      <c r="Y963" s="39" t="n">
        <v>45176.5833333333</v>
      </c>
      <c r="Z963" s="39"/>
      <c r="AA963" s="28" t="n">
        <v>3</v>
      </c>
      <c r="AMJ963" s="0"/>
    </row>
    <row r="964" s="2" customFormat="true" ht="12.75" hidden="false" customHeight="true" outlineLevel="0" collapsed="false">
      <c r="A964" s="27" t="s">
        <v>1927</v>
      </c>
      <c r="B964" s="27" t="s">
        <v>232</v>
      </c>
      <c r="C964" s="28" t="s">
        <v>138</v>
      </c>
      <c r="D964" s="27" t="s">
        <v>1536</v>
      </c>
      <c r="E964" s="27" t="s">
        <v>1923</v>
      </c>
      <c r="F964" s="29" t="s">
        <v>1924</v>
      </c>
      <c r="G964" s="30" t="n">
        <v>75015</v>
      </c>
      <c r="H964" s="31" t="s">
        <v>36</v>
      </c>
      <c r="I964" s="32" t="n">
        <v>144492828</v>
      </c>
      <c r="J964" s="33" t="n">
        <v>215</v>
      </c>
      <c r="K964" s="33" t="n">
        <v>13</v>
      </c>
      <c r="L964" s="34" t="n">
        <v>2</v>
      </c>
      <c r="M964" s="35" t="s">
        <v>716</v>
      </c>
      <c r="N964" s="36"/>
      <c r="O964" s="41" t="s">
        <v>1928</v>
      </c>
      <c r="P964" s="41" t="s">
        <v>1929</v>
      </c>
      <c r="Q964" s="41" t="s">
        <v>1928</v>
      </c>
      <c r="R964" s="41" t="s">
        <v>1929</v>
      </c>
      <c r="S964" s="72" t="s">
        <v>1928</v>
      </c>
      <c r="T964" s="41" t="s">
        <v>1929</v>
      </c>
      <c r="U964" s="41" t="s">
        <v>1928</v>
      </c>
      <c r="V964" s="41" t="s">
        <v>1929</v>
      </c>
      <c r="W964" s="41" t="s">
        <v>1928</v>
      </c>
      <c r="X964" s="41" t="s">
        <v>1929</v>
      </c>
      <c r="Y964" s="39" t="n">
        <v>45176.3923611111</v>
      </c>
      <c r="Z964" s="39"/>
      <c r="AA964" s="28" t="n">
        <v>3</v>
      </c>
      <c r="AMJ964" s="0"/>
    </row>
    <row r="965" s="2" customFormat="true" ht="12.75" hidden="false" customHeight="true" outlineLevel="0" collapsed="false">
      <c r="A965" s="27" t="s">
        <v>1930</v>
      </c>
      <c r="B965" s="27" t="s">
        <v>672</v>
      </c>
      <c r="C965" s="28" t="s">
        <v>138</v>
      </c>
      <c r="D965" s="27" t="s">
        <v>1536</v>
      </c>
      <c r="E965" s="27" t="s">
        <v>1923</v>
      </c>
      <c r="F965" s="29" t="s">
        <v>1924</v>
      </c>
      <c r="G965" s="30" t="n">
        <v>75015</v>
      </c>
      <c r="H965" s="31" t="s">
        <v>36</v>
      </c>
      <c r="I965" s="32" t="n">
        <v>144492828</v>
      </c>
      <c r="J965" s="33" t="n">
        <v>120</v>
      </c>
      <c r="K965" s="33" t="n">
        <v>8</v>
      </c>
      <c r="L965" s="34" t="n">
        <v>2</v>
      </c>
      <c r="M965" s="35" t="s">
        <v>716</v>
      </c>
      <c r="N965" s="36"/>
      <c r="O965" s="41"/>
      <c r="P965" s="41"/>
      <c r="Q965" s="41"/>
      <c r="R965" s="41" t="s">
        <v>1926</v>
      </c>
      <c r="S965" s="41"/>
      <c r="T965" s="41" t="s">
        <v>1926</v>
      </c>
      <c r="U965" s="72" t="s">
        <v>1925</v>
      </c>
      <c r="V965" s="41"/>
      <c r="W965" s="41"/>
      <c r="X965" s="41"/>
      <c r="Y965" s="39" t="n">
        <v>45176.4583333333</v>
      </c>
      <c r="Z965" s="39"/>
      <c r="AA965" s="28" t="n">
        <v>3</v>
      </c>
      <c r="AMJ965" s="0"/>
    </row>
    <row r="966" s="2" customFormat="true" ht="12.75" hidden="false" customHeight="true" outlineLevel="0" collapsed="false">
      <c r="A966" s="27" t="s">
        <v>1931</v>
      </c>
      <c r="B966" s="27" t="s">
        <v>1932</v>
      </c>
      <c r="C966" s="28" t="s">
        <v>138</v>
      </c>
      <c r="D966" s="27" t="s">
        <v>1536</v>
      </c>
      <c r="E966" s="27" t="s">
        <v>1923</v>
      </c>
      <c r="F966" s="29" t="s">
        <v>1924</v>
      </c>
      <c r="G966" s="30" t="n">
        <v>75015</v>
      </c>
      <c r="H966" s="31" t="s">
        <v>36</v>
      </c>
      <c r="I966" s="32" t="n">
        <v>144492828</v>
      </c>
      <c r="J966" s="33" t="n">
        <v>117</v>
      </c>
      <c r="K966" s="33" t="n">
        <v>6</v>
      </c>
      <c r="L966" s="34" t="n">
        <v>1</v>
      </c>
      <c r="M966" s="35" t="s">
        <v>716</v>
      </c>
      <c r="N966" s="36"/>
      <c r="O966" s="73" t="s">
        <v>1933</v>
      </c>
      <c r="P966" s="41" t="s">
        <v>1926</v>
      </c>
      <c r="Q966" s="41"/>
      <c r="R966" s="41"/>
      <c r="S966" s="72" t="s">
        <v>1925</v>
      </c>
      <c r="T966" s="41" t="s">
        <v>1926</v>
      </c>
      <c r="U966" s="41"/>
      <c r="V966" s="41" t="s">
        <v>1926</v>
      </c>
      <c r="W966" s="41" t="s">
        <v>1933</v>
      </c>
      <c r="X966" s="41" t="s">
        <v>1934</v>
      </c>
      <c r="Y966" s="39"/>
      <c r="Z966" s="39"/>
      <c r="AA966" s="28" t="n">
        <v>3</v>
      </c>
      <c r="AMJ966" s="0"/>
    </row>
    <row r="967" s="2" customFormat="true" ht="12.75" hidden="false" customHeight="true" outlineLevel="0" collapsed="false">
      <c r="A967" s="27" t="s">
        <v>1935</v>
      </c>
      <c r="B967" s="27" t="s">
        <v>374</v>
      </c>
      <c r="C967" s="28" t="s">
        <v>138</v>
      </c>
      <c r="D967" s="27" t="s">
        <v>1536</v>
      </c>
      <c r="E967" s="27" t="s">
        <v>1923</v>
      </c>
      <c r="F967" s="29" t="s">
        <v>1924</v>
      </c>
      <c r="G967" s="30" t="n">
        <v>75015</v>
      </c>
      <c r="H967" s="31" t="s">
        <v>36</v>
      </c>
      <c r="I967" s="32" t="n">
        <v>144492828</v>
      </c>
      <c r="J967" s="33" t="n">
        <v>93</v>
      </c>
      <c r="K967" s="33" t="n">
        <v>4</v>
      </c>
      <c r="L967" s="34" t="n">
        <v>1</v>
      </c>
      <c r="M967" s="44" t="s">
        <v>321</v>
      </c>
      <c r="N967" s="36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39"/>
      <c r="Z967" s="39"/>
      <c r="AA967" s="28" t="n">
        <v>3</v>
      </c>
      <c r="AMJ967" s="0"/>
    </row>
    <row r="968" s="2" customFormat="true" ht="12.75" hidden="false" customHeight="true" outlineLevel="0" collapsed="false">
      <c r="A968" s="27" t="s">
        <v>1936</v>
      </c>
      <c r="B968" s="27" t="s">
        <v>984</v>
      </c>
      <c r="C968" s="28" t="s">
        <v>138</v>
      </c>
      <c r="D968" s="27" t="s">
        <v>1536</v>
      </c>
      <c r="E968" s="27" t="s">
        <v>1923</v>
      </c>
      <c r="F968" s="29" t="s">
        <v>1924</v>
      </c>
      <c r="G968" s="30" t="n">
        <v>75015</v>
      </c>
      <c r="H968" s="31" t="s">
        <v>36</v>
      </c>
      <c r="I968" s="32" t="n">
        <v>144492828</v>
      </c>
      <c r="J968" s="33" t="n">
        <v>87</v>
      </c>
      <c r="K968" s="33" t="n">
        <v>1</v>
      </c>
      <c r="L968" s="34"/>
      <c r="M968" s="44" t="s">
        <v>321</v>
      </c>
      <c r="N968" s="36"/>
      <c r="O968" s="37"/>
      <c r="P968" s="37"/>
      <c r="Q968" s="37"/>
      <c r="R968" s="41" t="s">
        <v>1937</v>
      </c>
      <c r="S968" s="72" t="s">
        <v>1933</v>
      </c>
      <c r="T968" s="37"/>
      <c r="U968" s="37"/>
      <c r="V968" s="37"/>
      <c r="W968" s="37"/>
      <c r="X968" s="37"/>
      <c r="Y968" s="39" t="n">
        <v>45176.6458333333</v>
      </c>
      <c r="Z968" s="39"/>
      <c r="AA968" s="28" t="n">
        <v>3</v>
      </c>
      <c r="AMJ968" s="0"/>
    </row>
    <row r="969" s="2" customFormat="true" ht="12.75" hidden="false" customHeight="true" outlineLevel="0" collapsed="false">
      <c r="A969" s="27" t="s">
        <v>1938</v>
      </c>
      <c r="B969" s="27" t="s">
        <v>53</v>
      </c>
      <c r="C969" s="28" t="s">
        <v>41</v>
      </c>
      <c r="D969" s="27" t="s">
        <v>1536</v>
      </c>
      <c r="E969" s="27" t="s">
        <v>1923</v>
      </c>
      <c r="F969" s="29" t="s">
        <v>1924</v>
      </c>
      <c r="G969" s="30" t="n">
        <v>75015</v>
      </c>
      <c r="H969" s="31" t="s">
        <v>36</v>
      </c>
      <c r="I969" s="32" t="n">
        <v>144492828</v>
      </c>
      <c r="J969" s="33" t="n">
        <v>400</v>
      </c>
      <c r="K969" s="33" t="n">
        <v>2</v>
      </c>
      <c r="L969" s="34"/>
      <c r="M969" s="44" t="s">
        <v>321</v>
      </c>
      <c r="N969" s="36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9"/>
      <c r="Z969" s="39"/>
      <c r="AA969" s="28"/>
      <c r="AMJ969" s="0"/>
    </row>
    <row r="970" s="2" customFormat="true" ht="12.75" hidden="false" customHeight="true" outlineLevel="0" collapsed="false">
      <c r="A970" s="27" t="s">
        <v>1939</v>
      </c>
      <c r="B970" s="27" t="s">
        <v>99</v>
      </c>
      <c r="C970" s="28" t="s">
        <v>41</v>
      </c>
      <c r="D970" s="27" t="s">
        <v>1536</v>
      </c>
      <c r="E970" s="27" t="s">
        <v>1923</v>
      </c>
      <c r="F970" s="29" t="s">
        <v>1924</v>
      </c>
      <c r="G970" s="30" t="n">
        <v>75015</v>
      </c>
      <c r="H970" s="31" t="s">
        <v>36</v>
      </c>
      <c r="I970" s="32" t="n">
        <v>144492828</v>
      </c>
      <c r="J970" s="33" t="n">
        <v>195</v>
      </c>
      <c r="K970" s="33" t="n">
        <v>1</v>
      </c>
      <c r="L970" s="34"/>
      <c r="M970" s="44" t="s">
        <v>321</v>
      </c>
      <c r="N970" s="36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9"/>
      <c r="Z970" s="39"/>
      <c r="AA970" s="28"/>
      <c r="AMJ970" s="0"/>
    </row>
    <row r="971" s="2" customFormat="true" ht="12.75" hidden="false" customHeight="true" outlineLevel="0" collapsed="false">
      <c r="A971" s="27" t="s">
        <v>1940</v>
      </c>
      <c r="B971" s="27" t="s">
        <v>53</v>
      </c>
      <c r="C971" s="28" t="s">
        <v>41</v>
      </c>
      <c r="D971" s="27" t="s">
        <v>1536</v>
      </c>
      <c r="E971" s="27" t="s">
        <v>1923</v>
      </c>
      <c r="F971" s="29" t="s">
        <v>1924</v>
      </c>
      <c r="G971" s="30" t="n">
        <v>75015</v>
      </c>
      <c r="H971" s="31" t="s">
        <v>36</v>
      </c>
      <c r="I971" s="32" t="n">
        <v>144492828</v>
      </c>
      <c r="J971" s="33" t="n">
        <v>180</v>
      </c>
      <c r="K971" s="33" t="n">
        <v>2</v>
      </c>
      <c r="L971" s="34"/>
      <c r="M971" s="44" t="s">
        <v>321</v>
      </c>
      <c r="N971" s="36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9"/>
      <c r="Z971" s="39"/>
      <c r="AA971" s="28"/>
      <c r="AMJ971" s="0"/>
    </row>
    <row r="972" s="2" customFormat="true" ht="12.75" hidden="false" customHeight="true" outlineLevel="0" collapsed="false">
      <c r="A972" s="27" t="s">
        <v>1941</v>
      </c>
      <c r="B972" s="27" t="s">
        <v>1655</v>
      </c>
      <c r="C972" s="28" t="s">
        <v>41</v>
      </c>
      <c r="D972" s="27" t="s">
        <v>1536</v>
      </c>
      <c r="E972" s="27" t="s">
        <v>1923</v>
      </c>
      <c r="F972" s="29" t="s">
        <v>1924</v>
      </c>
      <c r="G972" s="30" t="n">
        <v>75015</v>
      </c>
      <c r="H972" s="31" t="s">
        <v>36</v>
      </c>
      <c r="I972" s="32" t="n">
        <v>140461346</v>
      </c>
      <c r="J972" s="33" t="n">
        <v>178</v>
      </c>
      <c r="K972" s="33" t="n">
        <v>3</v>
      </c>
      <c r="L972" s="34"/>
      <c r="M972" s="44" t="s">
        <v>321</v>
      </c>
      <c r="N972" s="36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9"/>
      <c r="Z972" s="39"/>
      <c r="AA972" s="28"/>
      <c r="AMJ972" s="0"/>
    </row>
    <row r="973" s="2" customFormat="true" ht="12.75" hidden="false" customHeight="true" outlineLevel="0" collapsed="false">
      <c r="A973" s="27" t="s">
        <v>1942</v>
      </c>
      <c r="B973" s="27" t="s">
        <v>1943</v>
      </c>
      <c r="C973" s="28" t="s">
        <v>41</v>
      </c>
      <c r="D973" s="27" t="s">
        <v>1536</v>
      </c>
      <c r="E973" s="27" t="s">
        <v>1923</v>
      </c>
      <c r="F973" s="29" t="s">
        <v>1924</v>
      </c>
      <c r="G973" s="30" t="n">
        <v>75015</v>
      </c>
      <c r="H973" s="31" t="s">
        <v>36</v>
      </c>
      <c r="I973" s="32" t="n">
        <v>144492828</v>
      </c>
      <c r="J973" s="33" t="n">
        <v>167</v>
      </c>
      <c r="K973" s="33" t="n">
        <v>7</v>
      </c>
      <c r="L973" s="34" t="n">
        <v>1</v>
      </c>
      <c r="M973" s="44" t="s">
        <v>321</v>
      </c>
      <c r="N973" s="36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39"/>
      <c r="Z973" s="39"/>
      <c r="AA973" s="28" t="n">
        <v>3</v>
      </c>
      <c r="AMJ973" s="0"/>
    </row>
    <row r="974" s="2" customFormat="true" ht="12.75" hidden="false" customHeight="true" outlineLevel="0" collapsed="false">
      <c r="A974" s="27" t="s">
        <v>1944</v>
      </c>
      <c r="B974" s="27" t="s">
        <v>1945</v>
      </c>
      <c r="C974" s="28" t="s">
        <v>41</v>
      </c>
      <c r="D974" s="27" t="s">
        <v>1536</v>
      </c>
      <c r="E974" s="27" t="s">
        <v>1923</v>
      </c>
      <c r="F974" s="29" t="s">
        <v>1924</v>
      </c>
      <c r="G974" s="30" t="n">
        <v>75015</v>
      </c>
      <c r="H974" s="31" t="s">
        <v>36</v>
      </c>
      <c r="I974" s="32" t="n">
        <v>144492828</v>
      </c>
      <c r="J974" s="33" t="n">
        <v>0</v>
      </c>
      <c r="K974" s="33" t="n">
        <v>3</v>
      </c>
      <c r="L974" s="34" t="n">
        <v>1</v>
      </c>
      <c r="M974" s="44" t="s">
        <v>321</v>
      </c>
      <c r="N974" s="36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39"/>
      <c r="Z974" s="39"/>
      <c r="AA974" s="28"/>
      <c r="AMJ974" s="0"/>
    </row>
    <row r="975" s="2" customFormat="true" ht="12.75" hidden="false" customHeight="true" outlineLevel="0" collapsed="false">
      <c r="A975" s="27" t="s">
        <v>1946</v>
      </c>
      <c r="B975" s="27" t="s">
        <v>1947</v>
      </c>
      <c r="C975" s="28" t="s">
        <v>41</v>
      </c>
      <c r="D975" s="27" t="s">
        <v>1536</v>
      </c>
      <c r="E975" s="27" t="s">
        <v>1923</v>
      </c>
      <c r="F975" s="29" t="s">
        <v>1924</v>
      </c>
      <c r="G975" s="30" t="n">
        <v>75015</v>
      </c>
      <c r="H975" s="31" t="s">
        <v>36</v>
      </c>
      <c r="I975" s="32" t="n">
        <v>144492828</v>
      </c>
      <c r="J975" s="33"/>
      <c r="K975" s="33"/>
      <c r="L975" s="34"/>
      <c r="M975" s="44" t="s">
        <v>321</v>
      </c>
      <c r="N975" s="36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9"/>
      <c r="Z975" s="39"/>
      <c r="AA975" s="28"/>
      <c r="AMJ975" s="0"/>
    </row>
    <row r="976" s="2" customFormat="true" ht="12.75" hidden="false" customHeight="true" outlineLevel="0" collapsed="false">
      <c r="A976" s="27" t="s">
        <v>1948</v>
      </c>
      <c r="B976" s="27" t="s">
        <v>1949</v>
      </c>
      <c r="C976" s="28" t="s">
        <v>208</v>
      </c>
      <c r="D976" s="27" t="s">
        <v>1536</v>
      </c>
      <c r="E976" s="27" t="s">
        <v>1923</v>
      </c>
      <c r="F976" s="29" t="s">
        <v>1924</v>
      </c>
      <c r="G976" s="30" t="n">
        <v>75015</v>
      </c>
      <c r="H976" s="31" t="s">
        <v>36</v>
      </c>
      <c r="I976" s="32" t="n">
        <v>144492828</v>
      </c>
      <c r="J976" s="33" t="n">
        <v>176</v>
      </c>
      <c r="K976" s="33" t="n">
        <v>11</v>
      </c>
      <c r="L976" s="34" t="n">
        <v>1</v>
      </c>
      <c r="M976" s="44" t="s">
        <v>321</v>
      </c>
      <c r="N976" s="36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39"/>
      <c r="Z976" s="39"/>
      <c r="AA976" s="28" t="n">
        <v>3</v>
      </c>
      <c r="AMJ976" s="0"/>
    </row>
    <row r="977" s="2" customFormat="true" ht="12.75" hidden="false" customHeight="true" outlineLevel="0" collapsed="false">
      <c r="A977" s="27" t="s">
        <v>1950</v>
      </c>
      <c r="B977" s="27" t="s">
        <v>1951</v>
      </c>
      <c r="C977" s="28" t="s">
        <v>208</v>
      </c>
      <c r="D977" s="27" t="s">
        <v>1536</v>
      </c>
      <c r="E977" s="27" t="s">
        <v>1923</v>
      </c>
      <c r="F977" s="29" t="s">
        <v>1924</v>
      </c>
      <c r="G977" s="30" t="n">
        <v>75015</v>
      </c>
      <c r="H977" s="31" t="s">
        <v>36</v>
      </c>
      <c r="I977" s="32" t="n">
        <v>144492828</v>
      </c>
      <c r="J977" s="33" t="n">
        <v>73</v>
      </c>
      <c r="K977" s="33" t="n">
        <v>7</v>
      </c>
      <c r="L977" s="34" t="n">
        <v>2</v>
      </c>
      <c r="M977" s="44" t="s">
        <v>321</v>
      </c>
      <c r="N977" s="36"/>
      <c r="O977" s="37"/>
      <c r="P977" s="37"/>
      <c r="Q977" s="37"/>
      <c r="R977" s="41"/>
      <c r="S977" s="72" t="s">
        <v>1933</v>
      </c>
      <c r="T977" s="41" t="s">
        <v>1952</v>
      </c>
      <c r="U977" s="37"/>
      <c r="V977" s="37"/>
      <c r="W977" s="37"/>
      <c r="X977" s="37"/>
      <c r="Y977" s="39"/>
      <c r="Z977" s="39"/>
      <c r="AA977" s="28" t="n">
        <v>3</v>
      </c>
      <c r="AMJ977" s="0"/>
    </row>
    <row r="978" s="2" customFormat="true" ht="12.75" hidden="false" customHeight="true" outlineLevel="0" collapsed="false">
      <c r="A978" s="27" t="s">
        <v>1953</v>
      </c>
      <c r="B978" s="27" t="s">
        <v>177</v>
      </c>
      <c r="C978" s="28" t="s">
        <v>121</v>
      </c>
      <c r="D978" s="27" t="s">
        <v>1536</v>
      </c>
      <c r="E978" s="27" t="s">
        <v>1923</v>
      </c>
      <c r="F978" s="29" t="s">
        <v>1924</v>
      </c>
      <c r="G978" s="30" t="n">
        <v>75015</v>
      </c>
      <c r="H978" s="31" t="s">
        <v>36</v>
      </c>
      <c r="I978" s="32" t="n">
        <v>144492828</v>
      </c>
      <c r="J978" s="33" t="n">
        <v>336</v>
      </c>
      <c r="K978" s="33" t="n">
        <v>14</v>
      </c>
      <c r="L978" s="34" t="n">
        <v>2</v>
      </c>
      <c r="M978" s="44" t="s">
        <v>321</v>
      </c>
      <c r="N978" s="36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39"/>
      <c r="Z978" s="39"/>
      <c r="AA978" s="28" t="n">
        <v>3</v>
      </c>
      <c r="AMJ978" s="0"/>
    </row>
    <row r="979" s="2" customFormat="true" ht="12.75" hidden="false" customHeight="true" outlineLevel="0" collapsed="false">
      <c r="A979" s="27" t="s">
        <v>1954</v>
      </c>
      <c r="B979" s="27" t="s">
        <v>620</v>
      </c>
      <c r="C979" s="28" t="s">
        <v>121</v>
      </c>
      <c r="D979" s="27" t="s">
        <v>1536</v>
      </c>
      <c r="E979" s="27" t="s">
        <v>1923</v>
      </c>
      <c r="F979" s="29" t="s">
        <v>1924</v>
      </c>
      <c r="G979" s="30" t="n">
        <v>75015</v>
      </c>
      <c r="H979" s="31" t="s">
        <v>36</v>
      </c>
      <c r="I979" s="32" t="n">
        <v>144492828</v>
      </c>
      <c r="J979" s="33" t="n">
        <v>250</v>
      </c>
      <c r="K979" s="33" t="n">
        <v>11</v>
      </c>
      <c r="L979" s="34" t="n">
        <v>2</v>
      </c>
      <c r="M979" s="44" t="s">
        <v>321</v>
      </c>
      <c r="N979" s="36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39" t="n">
        <v>45176.3958333333</v>
      </c>
      <c r="Z979" s="39"/>
      <c r="AA979" s="28" t="n">
        <v>3</v>
      </c>
      <c r="AMJ979" s="0"/>
    </row>
    <row r="980" s="2" customFormat="true" ht="12.75" hidden="false" customHeight="true" outlineLevel="0" collapsed="false">
      <c r="A980" s="27" t="s">
        <v>1955</v>
      </c>
      <c r="B980" s="27" t="s">
        <v>1956</v>
      </c>
      <c r="C980" s="28" t="s">
        <v>121</v>
      </c>
      <c r="D980" s="27" t="s">
        <v>1536</v>
      </c>
      <c r="E980" s="27" t="s">
        <v>1923</v>
      </c>
      <c r="F980" s="29" t="s">
        <v>1924</v>
      </c>
      <c r="G980" s="30" t="n">
        <v>75015</v>
      </c>
      <c r="H980" s="31" t="s">
        <v>36</v>
      </c>
      <c r="I980" s="32"/>
      <c r="J980" s="33" t="n">
        <v>86</v>
      </c>
      <c r="K980" s="33" t="n">
        <v>2</v>
      </c>
      <c r="L980" s="34"/>
      <c r="M980" s="44" t="s">
        <v>321</v>
      </c>
      <c r="N980" s="36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9"/>
      <c r="Z980" s="39"/>
      <c r="AA980" s="28"/>
      <c r="AB980" s="4"/>
      <c r="AC980" s="4"/>
      <c r="AD980" s="4"/>
      <c r="AE980" s="4"/>
      <c r="AMJ980" s="0"/>
    </row>
    <row r="981" s="2" customFormat="true" ht="12.75" hidden="false" customHeight="true" outlineLevel="0" collapsed="false">
      <c r="A981" s="27" t="s">
        <v>1957</v>
      </c>
      <c r="B981" s="27" t="s">
        <v>889</v>
      </c>
      <c r="C981" s="28" t="s">
        <v>41</v>
      </c>
      <c r="D981" s="27" t="s">
        <v>1536</v>
      </c>
      <c r="E981" s="27" t="s">
        <v>1923</v>
      </c>
      <c r="F981" s="29" t="s">
        <v>1958</v>
      </c>
      <c r="G981" s="30" t="n">
        <v>75015</v>
      </c>
      <c r="H981" s="31" t="s">
        <v>36</v>
      </c>
      <c r="I981" s="32" t="n">
        <v>144492777</v>
      </c>
      <c r="J981" s="33" t="n">
        <v>221</v>
      </c>
      <c r="K981" s="33" t="n">
        <v>1</v>
      </c>
      <c r="L981" s="34"/>
      <c r="M981" s="44" t="s">
        <v>321</v>
      </c>
      <c r="N981" s="36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9"/>
      <c r="Z981" s="39"/>
      <c r="AA981" s="28"/>
      <c r="AMJ981" s="0"/>
    </row>
    <row r="982" s="2" customFormat="true" ht="12.75" hidden="false" customHeight="true" outlineLevel="0" collapsed="false">
      <c r="A982" s="27" t="s">
        <v>1959</v>
      </c>
      <c r="B982" s="27" t="s">
        <v>1258</v>
      </c>
      <c r="C982" s="28" t="s">
        <v>33</v>
      </c>
      <c r="D982" s="27" t="s">
        <v>1536</v>
      </c>
      <c r="E982" s="27" t="s">
        <v>1923</v>
      </c>
      <c r="F982" s="29" t="s">
        <v>1958</v>
      </c>
      <c r="G982" s="30" t="n">
        <v>75015</v>
      </c>
      <c r="H982" s="31" t="s">
        <v>36</v>
      </c>
      <c r="I982" s="32" t="n">
        <v>144492777</v>
      </c>
      <c r="J982" s="33" t="n">
        <v>53</v>
      </c>
      <c r="K982" s="33" t="n">
        <v>1</v>
      </c>
      <c r="L982" s="34"/>
      <c r="M982" s="44" t="s">
        <v>321</v>
      </c>
      <c r="N982" s="36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9"/>
      <c r="Z982" s="39"/>
      <c r="AA982" s="28"/>
      <c r="AC982" s="2" t="s">
        <v>197</v>
      </c>
      <c r="AMJ982" s="0"/>
    </row>
    <row r="983" s="2" customFormat="true" ht="12.75" hidden="false" customHeight="true" outlineLevel="0" collapsed="false">
      <c r="A983" s="27" t="s">
        <v>1960</v>
      </c>
      <c r="B983" s="27" t="s">
        <v>250</v>
      </c>
      <c r="C983" s="28" t="s">
        <v>33</v>
      </c>
      <c r="D983" s="27" t="s">
        <v>1536</v>
      </c>
      <c r="E983" s="27" t="s">
        <v>1923</v>
      </c>
      <c r="F983" s="29" t="s">
        <v>1958</v>
      </c>
      <c r="G983" s="30" t="n">
        <v>75015</v>
      </c>
      <c r="H983" s="31" t="s">
        <v>36</v>
      </c>
      <c r="I983" s="32" t="n">
        <v>144492777</v>
      </c>
      <c r="J983" s="33" t="n">
        <v>42</v>
      </c>
      <c r="K983" s="33" t="n">
        <v>1</v>
      </c>
      <c r="L983" s="34"/>
      <c r="M983" s="44" t="s">
        <v>321</v>
      </c>
      <c r="N983" s="36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9"/>
      <c r="Z983" s="39"/>
      <c r="AA983" s="28"/>
      <c r="AC983" s="2" t="s">
        <v>38</v>
      </c>
      <c r="AMJ983" s="0"/>
    </row>
    <row r="984" s="2" customFormat="true" ht="12.75" hidden="false" customHeight="true" outlineLevel="0" collapsed="false">
      <c r="A984" s="27" t="s">
        <v>1961</v>
      </c>
      <c r="B984" s="27" t="s">
        <v>1962</v>
      </c>
      <c r="C984" s="28" t="s">
        <v>33</v>
      </c>
      <c r="D984" s="27" t="s">
        <v>1536</v>
      </c>
      <c r="E984" s="27" t="s">
        <v>1923</v>
      </c>
      <c r="F984" s="29" t="s">
        <v>1958</v>
      </c>
      <c r="G984" s="30" t="n">
        <v>75015</v>
      </c>
      <c r="H984" s="31" t="s">
        <v>36</v>
      </c>
      <c r="I984" s="32" t="n">
        <v>144492777</v>
      </c>
      <c r="J984" s="33" t="n">
        <v>42</v>
      </c>
      <c r="K984" s="33" t="n">
        <v>1</v>
      </c>
      <c r="L984" s="34"/>
      <c r="M984" s="44" t="s">
        <v>321</v>
      </c>
      <c r="N984" s="36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9"/>
      <c r="Z984" s="39"/>
      <c r="AA984" s="28"/>
      <c r="AC984" s="2" t="s">
        <v>38</v>
      </c>
      <c r="AMJ984" s="0"/>
    </row>
    <row r="985" s="2" customFormat="true" ht="12.75" hidden="false" customHeight="true" outlineLevel="0" collapsed="false">
      <c r="A985" s="27" t="s">
        <v>1963</v>
      </c>
      <c r="B985" s="27" t="s">
        <v>1297</v>
      </c>
      <c r="C985" s="28" t="s">
        <v>33</v>
      </c>
      <c r="D985" s="27" t="s">
        <v>1536</v>
      </c>
      <c r="E985" s="27" t="s">
        <v>1923</v>
      </c>
      <c r="F985" s="29" t="s">
        <v>1958</v>
      </c>
      <c r="G985" s="30" t="n">
        <v>75015</v>
      </c>
      <c r="H985" s="31" t="s">
        <v>36</v>
      </c>
      <c r="I985" s="32" t="n">
        <v>144492777</v>
      </c>
      <c r="J985" s="33" t="n">
        <v>42</v>
      </c>
      <c r="K985" s="33" t="n">
        <v>1</v>
      </c>
      <c r="L985" s="34"/>
      <c r="M985" s="44" t="s">
        <v>321</v>
      </c>
      <c r="N985" s="36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9"/>
      <c r="Z985" s="39"/>
      <c r="AA985" s="28"/>
      <c r="AC985" s="2" t="s">
        <v>38</v>
      </c>
      <c r="AMJ985" s="0"/>
    </row>
    <row r="986" s="2" customFormat="true" ht="12.75" hidden="false" customHeight="true" outlineLevel="0" collapsed="false">
      <c r="A986" s="27" t="s">
        <v>1964</v>
      </c>
      <c r="B986" s="27" t="s">
        <v>905</v>
      </c>
      <c r="C986" s="28" t="s">
        <v>33</v>
      </c>
      <c r="D986" s="27" t="s">
        <v>1536</v>
      </c>
      <c r="E986" s="27" t="s">
        <v>1923</v>
      </c>
      <c r="F986" s="29" t="s">
        <v>1958</v>
      </c>
      <c r="G986" s="30" t="n">
        <v>75015</v>
      </c>
      <c r="H986" s="31" t="s">
        <v>36</v>
      </c>
      <c r="I986" s="32" t="n">
        <v>182012600</v>
      </c>
      <c r="J986" s="33" t="n">
        <v>42</v>
      </c>
      <c r="K986" s="33" t="n">
        <v>1</v>
      </c>
      <c r="L986" s="34"/>
      <c r="M986" s="44" t="s">
        <v>321</v>
      </c>
      <c r="N986" s="36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9"/>
      <c r="Z986" s="39"/>
      <c r="AA986" s="28"/>
      <c r="AC986" s="2" t="s">
        <v>38</v>
      </c>
      <c r="AMJ986" s="0"/>
    </row>
    <row r="987" s="2" customFormat="true" ht="12.75" hidden="false" customHeight="true" outlineLevel="0" collapsed="false">
      <c r="A987" s="27" t="s">
        <v>1965</v>
      </c>
      <c r="B987" s="27" t="s">
        <v>417</v>
      </c>
      <c r="C987" s="28" t="s">
        <v>33</v>
      </c>
      <c r="D987" s="27" t="s">
        <v>1536</v>
      </c>
      <c r="E987" s="27" t="s">
        <v>1923</v>
      </c>
      <c r="F987" s="29" t="s">
        <v>1958</v>
      </c>
      <c r="G987" s="30" t="n">
        <v>75015</v>
      </c>
      <c r="H987" s="31" t="s">
        <v>36</v>
      </c>
      <c r="I987" s="32" t="n">
        <v>144492777</v>
      </c>
      <c r="J987" s="33" t="n">
        <v>42</v>
      </c>
      <c r="K987" s="33" t="n">
        <v>1</v>
      </c>
      <c r="L987" s="34"/>
      <c r="M987" s="44" t="s">
        <v>321</v>
      </c>
      <c r="N987" s="36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9"/>
      <c r="Z987" s="39"/>
      <c r="AA987" s="28"/>
      <c r="AC987" s="2" t="s">
        <v>197</v>
      </c>
      <c r="AMJ987" s="0"/>
    </row>
    <row r="988" s="2" customFormat="true" ht="12.75" hidden="false" customHeight="true" outlineLevel="0" collapsed="false">
      <c r="A988" s="27" t="s">
        <v>1966</v>
      </c>
      <c r="B988" s="27" t="s">
        <v>189</v>
      </c>
      <c r="C988" s="28" t="s">
        <v>33</v>
      </c>
      <c r="D988" s="27" t="s">
        <v>1536</v>
      </c>
      <c r="E988" s="27" t="s">
        <v>1923</v>
      </c>
      <c r="F988" s="29" t="s">
        <v>1958</v>
      </c>
      <c r="G988" s="30" t="n">
        <v>75015</v>
      </c>
      <c r="H988" s="31" t="s">
        <v>36</v>
      </c>
      <c r="I988" s="32" t="n">
        <v>144492777</v>
      </c>
      <c r="J988" s="33" t="n">
        <v>42</v>
      </c>
      <c r="K988" s="33" t="n">
        <v>1</v>
      </c>
      <c r="L988" s="34"/>
      <c r="M988" s="44" t="s">
        <v>321</v>
      </c>
      <c r="N988" s="36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9"/>
      <c r="Z988" s="39"/>
      <c r="AA988" s="28"/>
      <c r="AC988" s="2" t="s">
        <v>38</v>
      </c>
      <c r="AMJ988" s="0"/>
    </row>
    <row r="989" s="2" customFormat="true" ht="12.75" hidden="false" customHeight="true" outlineLevel="0" collapsed="false">
      <c r="A989" s="27" t="s">
        <v>1165</v>
      </c>
      <c r="B989" s="27" t="s">
        <v>222</v>
      </c>
      <c r="C989" s="28" t="s">
        <v>41</v>
      </c>
      <c r="D989" s="27" t="s">
        <v>1536</v>
      </c>
      <c r="E989" s="27"/>
      <c r="F989" s="29" t="s">
        <v>1967</v>
      </c>
      <c r="G989" s="30" t="n">
        <v>75015</v>
      </c>
      <c r="H989" s="31" t="s">
        <v>36</v>
      </c>
      <c r="I989" s="32" t="n">
        <v>145325751</v>
      </c>
      <c r="J989" s="33" t="n">
        <v>181</v>
      </c>
      <c r="K989" s="33" t="n">
        <v>1</v>
      </c>
      <c r="L989" s="34"/>
      <c r="M989" s="35"/>
      <c r="N989" s="36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9"/>
      <c r="Z989" s="39"/>
      <c r="AA989" s="28"/>
      <c r="AMJ989" s="0"/>
    </row>
    <row r="990" s="2" customFormat="true" ht="12.75" hidden="false" customHeight="true" outlineLevel="0" collapsed="false">
      <c r="A990" s="27" t="s">
        <v>1968</v>
      </c>
      <c r="B990" s="27" t="s">
        <v>842</v>
      </c>
      <c r="C990" s="28" t="s">
        <v>41</v>
      </c>
      <c r="D990" s="27" t="s">
        <v>1536</v>
      </c>
      <c r="E990" s="27"/>
      <c r="F990" s="29" t="s">
        <v>1967</v>
      </c>
      <c r="G990" s="30" t="n">
        <v>75015</v>
      </c>
      <c r="H990" s="31" t="s">
        <v>36</v>
      </c>
      <c r="I990" s="32" t="n">
        <v>145325751</v>
      </c>
      <c r="J990" s="33" t="n">
        <v>93</v>
      </c>
      <c r="K990" s="33" t="n">
        <v>1</v>
      </c>
      <c r="L990" s="34"/>
      <c r="M990" s="35"/>
      <c r="N990" s="36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9"/>
      <c r="Z990" s="39"/>
      <c r="AA990" s="28"/>
      <c r="AMJ990" s="0"/>
    </row>
    <row r="991" s="2" customFormat="true" ht="12.75" hidden="false" customHeight="true" outlineLevel="0" collapsed="false">
      <c r="A991" s="27" t="s">
        <v>1969</v>
      </c>
      <c r="B991" s="27" t="s">
        <v>598</v>
      </c>
      <c r="C991" s="28" t="s">
        <v>138</v>
      </c>
      <c r="D991" s="27" t="s">
        <v>1536</v>
      </c>
      <c r="E991" s="27"/>
      <c r="F991" s="29" t="s">
        <v>1970</v>
      </c>
      <c r="G991" s="30" t="n">
        <v>75015</v>
      </c>
      <c r="H991" s="31" t="s">
        <v>36</v>
      </c>
      <c r="I991" s="32" t="n">
        <v>153067666</v>
      </c>
      <c r="J991" s="33" t="n">
        <v>98</v>
      </c>
      <c r="K991" s="33" t="n">
        <v>7</v>
      </c>
      <c r="L991" s="34" t="n">
        <v>3</v>
      </c>
      <c r="M991" s="35" t="s">
        <v>164</v>
      </c>
      <c r="N991" s="36" t="s">
        <v>165</v>
      </c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39" t="n">
        <v>45120.5833333333</v>
      </c>
      <c r="Z991" s="39"/>
      <c r="AA991" s="28" t="n">
        <v>3</v>
      </c>
      <c r="AMJ991" s="0"/>
    </row>
    <row r="992" s="2" customFormat="true" ht="12.75" hidden="false" customHeight="true" outlineLevel="0" collapsed="false">
      <c r="A992" s="27" t="s">
        <v>1971</v>
      </c>
      <c r="B992" s="27" t="s">
        <v>1972</v>
      </c>
      <c r="C992" s="28" t="s">
        <v>41</v>
      </c>
      <c r="D992" s="27" t="s">
        <v>1536</v>
      </c>
      <c r="E992" s="27"/>
      <c r="F992" s="29" t="s">
        <v>1973</v>
      </c>
      <c r="G992" s="30" t="n">
        <v>75015</v>
      </c>
      <c r="H992" s="31" t="s">
        <v>36</v>
      </c>
      <c r="I992" s="32" t="n">
        <v>143063856</v>
      </c>
      <c r="J992" s="33" t="n">
        <v>179</v>
      </c>
      <c r="K992" s="33" t="n">
        <v>1</v>
      </c>
      <c r="L992" s="34"/>
      <c r="M992" s="35"/>
      <c r="N992" s="36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9"/>
      <c r="Z992" s="39"/>
      <c r="AA992" s="28"/>
      <c r="AMJ992" s="0"/>
    </row>
    <row r="993" s="2" customFormat="true" ht="12.75" hidden="false" customHeight="true" outlineLevel="0" collapsed="false">
      <c r="A993" s="27" t="s">
        <v>1974</v>
      </c>
      <c r="B993" s="27" t="s">
        <v>1094</v>
      </c>
      <c r="C993" s="28" t="s">
        <v>41</v>
      </c>
      <c r="D993" s="27" t="s">
        <v>1536</v>
      </c>
      <c r="E993" s="27"/>
      <c r="F993" s="29" t="s">
        <v>1975</v>
      </c>
      <c r="G993" s="30" t="n">
        <v>75015</v>
      </c>
      <c r="H993" s="31" t="s">
        <v>36</v>
      </c>
      <c r="I993" s="32" t="n">
        <v>147345046</v>
      </c>
      <c r="J993" s="33" t="n">
        <v>267</v>
      </c>
      <c r="K993" s="33" t="n">
        <v>3</v>
      </c>
      <c r="L993" s="34"/>
      <c r="M993" s="35"/>
      <c r="N993" s="36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9"/>
      <c r="Z993" s="39"/>
      <c r="AA993" s="28"/>
      <c r="AMJ993" s="0"/>
    </row>
    <row r="994" s="2" customFormat="true" ht="12.75" hidden="false" customHeight="true" outlineLevel="0" collapsed="false">
      <c r="A994" s="27" t="s">
        <v>1976</v>
      </c>
      <c r="B994" s="27" t="s">
        <v>205</v>
      </c>
      <c r="C994" s="28" t="s">
        <v>41</v>
      </c>
      <c r="D994" s="27" t="s">
        <v>1536</v>
      </c>
      <c r="E994" s="27"/>
      <c r="F994" s="29" t="s">
        <v>1975</v>
      </c>
      <c r="G994" s="30" t="n">
        <v>75015</v>
      </c>
      <c r="H994" s="31" t="s">
        <v>36</v>
      </c>
      <c r="I994" s="32" t="n">
        <v>147345046</v>
      </c>
      <c r="J994" s="33" t="n">
        <v>217</v>
      </c>
      <c r="K994" s="33" t="n">
        <v>2</v>
      </c>
      <c r="L994" s="34"/>
      <c r="M994" s="35"/>
      <c r="N994" s="36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9"/>
      <c r="Z994" s="39"/>
      <c r="AA994" s="28"/>
      <c r="AMJ994" s="0"/>
    </row>
    <row r="995" s="2" customFormat="true" ht="12.75" hidden="false" customHeight="true" outlineLevel="0" collapsed="false">
      <c r="A995" s="27" t="s">
        <v>1977</v>
      </c>
      <c r="B995" s="27" t="s">
        <v>84</v>
      </c>
      <c r="C995" s="28" t="s">
        <v>178</v>
      </c>
      <c r="D995" s="27" t="s">
        <v>1536</v>
      </c>
      <c r="E995" s="27"/>
      <c r="F995" s="29" t="s">
        <v>1978</v>
      </c>
      <c r="G995" s="30" t="n">
        <v>75015</v>
      </c>
      <c r="H995" s="31" t="s">
        <v>36</v>
      </c>
      <c r="I995" s="32" t="n">
        <v>145328564</v>
      </c>
      <c r="J995" s="33" t="n">
        <v>90</v>
      </c>
      <c r="K995" s="33" t="n">
        <v>2</v>
      </c>
      <c r="L995" s="34"/>
      <c r="M995" s="35"/>
      <c r="N995" s="36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9"/>
      <c r="Z995" s="39"/>
      <c r="AA995" s="28"/>
      <c r="AMJ995" s="0"/>
    </row>
    <row r="996" s="2" customFormat="true" ht="12.75" hidden="false" customHeight="true" outlineLevel="0" collapsed="false">
      <c r="A996" s="27" t="s">
        <v>1979</v>
      </c>
      <c r="B996" s="27" t="s">
        <v>151</v>
      </c>
      <c r="C996" s="28" t="s">
        <v>178</v>
      </c>
      <c r="D996" s="27" t="s">
        <v>1536</v>
      </c>
      <c r="E996" s="27"/>
      <c r="F996" s="29" t="s">
        <v>1980</v>
      </c>
      <c r="G996" s="30" t="n">
        <v>75015</v>
      </c>
      <c r="H996" s="31" t="s">
        <v>36</v>
      </c>
      <c r="I996" s="32" t="n">
        <v>148425020</v>
      </c>
      <c r="J996" s="33" t="n">
        <v>98</v>
      </c>
      <c r="K996" s="33" t="n">
        <v>9</v>
      </c>
      <c r="L996" s="34" t="n">
        <v>3</v>
      </c>
      <c r="M996" s="43" t="s">
        <v>155</v>
      </c>
      <c r="N996" s="36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39"/>
      <c r="Z996" s="39" t="n">
        <v>45190.5</v>
      </c>
      <c r="AA996" s="28" t="n">
        <v>3</v>
      </c>
      <c r="AMJ996" s="0"/>
    </row>
    <row r="997" s="2" customFormat="true" ht="12.75" hidden="false" customHeight="true" outlineLevel="0" collapsed="false">
      <c r="A997" s="27" t="s">
        <v>1981</v>
      </c>
      <c r="B997" s="27" t="s">
        <v>1297</v>
      </c>
      <c r="C997" s="28" t="s">
        <v>41</v>
      </c>
      <c r="D997" s="27" t="s">
        <v>1536</v>
      </c>
      <c r="E997" s="27" t="s">
        <v>1982</v>
      </c>
      <c r="F997" s="29" t="s">
        <v>1983</v>
      </c>
      <c r="G997" s="30" t="n">
        <v>75015</v>
      </c>
      <c r="H997" s="31" t="s">
        <v>36</v>
      </c>
      <c r="I997" s="32"/>
      <c r="J997" s="33" t="n">
        <v>228</v>
      </c>
      <c r="K997" s="33" t="n">
        <v>1</v>
      </c>
      <c r="L997" s="34"/>
      <c r="M997" s="35"/>
      <c r="N997" s="36" t="s">
        <v>255</v>
      </c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9"/>
      <c r="Z997" s="39"/>
      <c r="AA997" s="28"/>
      <c r="AMJ997" s="0"/>
    </row>
    <row r="998" s="2" customFormat="true" ht="12.75" hidden="false" customHeight="true" outlineLevel="0" collapsed="false">
      <c r="A998" s="27" t="s">
        <v>1984</v>
      </c>
      <c r="B998" s="27" t="s">
        <v>1869</v>
      </c>
      <c r="C998" s="28" t="s">
        <v>41</v>
      </c>
      <c r="D998" s="27" t="s">
        <v>1536</v>
      </c>
      <c r="E998" s="27" t="s">
        <v>1982</v>
      </c>
      <c r="F998" s="29" t="s">
        <v>1983</v>
      </c>
      <c r="G998" s="30" t="n">
        <v>75015</v>
      </c>
      <c r="H998" s="31" t="s">
        <v>36</v>
      </c>
      <c r="I998" s="32"/>
      <c r="J998" s="33" t="n">
        <v>198</v>
      </c>
      <c r="K998" s="33" t="n">
        <v>3</v>
      </c>
      <c r="L998" s="34"/>
      <c r="M998" s="35"/>
      <c r="N998" s="36" t="s">
        <v>255</v>
      </c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9"/>
      <c r="Z998" s="39"/>
      <c r="AA998" s="28"/>
      <c r="AMJ998" s="0"/>
    </row>
    <row r="999" s="2" customFormat="true" ht="12.75" hidden="false" customHeight="true" outlineLevel="0" collapsed="false">
      <c r="A999" s="27" t="s">
        <v>1985</v>
      </c>
      <c r="B999" s="27" t="s">
        <v>250</v>
      </c>
      <c r="C999" s="28" t="s">
        <v>41</v>
      </c>
      <c r="D999" s="27" t="s">
        <v>1536</v>
      </c>
      <c r="E999" s="27" t="s">
        <v>1982</v>
      </c>
      <c r="F999" s="29" t="s">
        <v>1983</v>
      </c>
      <c r="G999" s="30" t="n">
        <v>75015</v>
      </c>
      <c r="H999" s="31" t="s">
        <v>36</v>
      </c>
      <c r="I999" s="32"/>
      <c r="J999" s="33" t="n">
        <v>198</v>
      </c>
      <c r="K999" s="33" t="n">
        <v>1</v>
      </c>
      <c r="L999" s="34"/>
      <c r="M999" s="35"/>
      <c r="N999" s="36" t="s">
        <v>255</v>
      </c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9"/>
      <c r="Z999" s="39"/>
      <c r="AA999" s="28"/>
      <c r="AMJ999" s="0"/>
    </row>
    <row r="1000" s="2" customFormat="true" ht="12.75" hidden="false" customHeight="true" outlineLevel="0" collapsed="false">
      <c r="A1000" s="27" t="s">
        <v>1986</v>
      </c>
      <c r="B1000" s="27" t="s">
        <v>1067</v>
      </c>
      <c r="C1000" s="28" t="s">
        <v>121</v>
      </c>
      <c r="D1000" s="27" t="s">
        <v>1536</v>
      </c>
      <c r="E1000" s="27" t="s">
        <v>1982</v>
      </c>
      <c r="F1000" s="29" t="s">
        <v>1983</v>
      </c>
      <c r="G1000" s="30" t="n">
        <v>75015</v>
      </c>
      <c r="H1000" s="31" t="s">
        <v>36</v>
      </c>
      <c r="I1000" s="32"/>
      <c r="J1000" s="33" t="n">
        <v>84</v>
      </c>
      <c r="K1000" s="33" t="n">
        <v>1</v>
      </c>
      <c r="L1000" s="34"/>
      <c r="M1000" s="35"/>
      <c r="N1000" s="36" t="s">
        <v>255</v>
      </c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9"/>
      <c r="Z1000" s="39"/>
      <c r="AA1000" s="28"/>
      <c r="AMJ1000" s="0"/>
    </row>
    <row r="1001" s="2" customFormat="true" ht="12.75" hidden="false" customHeight="true" outlineLevel="0" collapsed="false">
      <c r="A1001" s="27" t="s">
        <v>1987</v>
      </c>
      <c r="B1001" s="27" t="s">
        <v>749</v>
      </c>
      <c r="C1001" s="28" t="s">
        <v>121</v>
      </c>
      <c r="D1001" s="27" t="s">
        <v>1536</v>
      </c>
      <c r="E1001" s="27" t="s">
        <v>1982</v>
      </c>
      <c r="F1001" s="29" t="s">
        <v>1983</v>
      </c>
      <c r="G1001" s="30" t="n">
        <v>75015</v>
      </c>
      <c r="H1001" s="31" t="s">
        <v>36</v>
      </c>
      <c r="I1001" s="32"/>
      <c r="J1001" s="33" t="n">
        <v>79</v>
      </c>
      <c r="K1001" s="33" t="n">
        <v>1</v>
      </c>
      <c r="L1001" s="34"/>
      <c r="M1001" s="35"/>
      <c r="N1001" s="36" t="s">
        <v>255</v>
      </c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9"/>
      <c r="Z1001" s="39"/>
      <c r="AA1001" s="28"/>
      <c r="AMJ1001" s="0"/>
    </row>
    <row r="1002" s="2" customFormat="true" ht="12.75" hidden="false" customHeight="true" outlineLevel="0" collapsed="false">
      <c r="A1002" s="27" t="s">
        <v>1988</v>
      </c>
      <c r="B1002" s="27" t="s">
        <v>1989</v>
      </c>
      <c r="C1002" s="28" t="s">
        <v>121</v>
      </c>
      <c r="D1002" s="27" t="s">
        <v>1536</v>
      </c>
      <c r="E1002" s="27" t="s">
        <v>1982</v>
      </c>
      <c r="F1002" s="29" t="s">
        <v>1983</v>
      </c>
      <c r="G1002" s="30" t="n">
        <v>75015</v>
      </c>
      <c r="H1002" s="31" t="s">
        <v>36</v>
      </c>
      <c r="I1002" s="32"/>
      <c r="J1002" s="33" t="n">
        <v>70</v>
      </c>
      <c r="K1002" s="33" t="n">
        <v>2</v>
      </c>
      <c r="L1002" s="34"/>
      <c r="M1002" s="35"/>
      <c r="N1002" s="36" t="s">
        <v>255</v>
      </c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9"/>
      <c r="Z1002" s="39"/>
      <c r="AA1002" s="28"/>
      <c r="AMJ1002" s="0"/>
    </row>
    <row r="1003" s="2" customFormat="true" ht="12.75" hidden="false" customHeight="true" outlineLevel="0" collapsed="false">
      <c r="A1003" s="27" t="s">
        <v>1990</v>
      </c>
      <c r="B1003" s="27" t="s">
        <v>1245</v>
      </c>
      <c r="C1003" s="28" t="s">
        <v>138</v>
      </c>
      <c r="D1003" s="27" t="s">
        <v>1536</v>
      </c>
      <c r="E1003" s="27"/>
      <c r="F1003" s="29" t="s">
        <v>1991</v>
      </c>
      <c r="G1003" s="30" t="n">
        <v>75015</v>
      </c>
      <c r="H1003" s="31" t="s">
        <v>36</v>
      </c>
      <c r="I1003" s="32" t="n">
        <v>144935847</v>
      </c>
      <c r="J1003" s="33" t="n">
        <v>84</v>
      </c>
      <c r="K1003" s="33" t="n">
        <v>1</v>
      </c>
      <c r="L1003" s="34"/>
      <c r="M1003" s="35"/>
      <c r="N1003" s="36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9"/>
      <c r="Z1003" s="39"/>
      <c r="AA1003" s="28"/>
      <c r="AMJ1003" s="0"/>
    </row>
    <row r="1004" s="2" customFormat="true" ht="12.75" hidden="false" customHeight="true" outlineLevel="0" collapsed="false">
      <c r="A1004" s="27" t="s">
        <v>1992</v>
      </c>
      <c r="B1004" s="27" t="s">
        <v>195</v>
      </c>
      <c r="C1004" s="28" t="s">
        <v>33</v>
      </c>
      <c r="D1004" s="27" t="s">
        <v>1536</v>
      </c>
      <c r="E1004" s="27"/>
      <c r="F1004" s="29" t="s">
        <v>1993</v>
      </c>
      <c r="G1004" s="30" t="n">
        <v>75015</v>
      </c>
      <c r="H1004" s="31" t="s">
        <v>36</v>
      </c>
      <c r="I1004" s="32" t="n">
        <v>153691871</v>
      </c>
      <c r="J1004" s="33" t="n">
        <v>69</v>
      </c>
      <c r="K1004" s="33" t="n">
        <v>1</v>
      </c>
      <c r="L1004" s="34"/>
      <c r="M1004" s="35"/>
      <c r="N1004" s="36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9"/>
      <c r="Z1004" s="39"/>
      <c r="AA1004" s="28"/>
      <c r="AC1004" s="2" t="s">
        <v>1484</v>
      </c>
      <c r="AMJ1004" s="0"/>
    </row>
    <row r="1005" s="2" customFormat="true" ht="12.75" hidden="false" customHeight="true" outlineLevel="0" collapsed="false">
      <c r="A1005" s="27" t="s">
        <v>1994</v>
      </c>
      <c r="B1005" s="27" t="s">
        <v>889</v>
      </c>
      <c r="C1005" s="28" t="s">
        <v>41</v>
      </c>
      <c r="D1005" s="27" t="s">
        <v>1536</v>
      </c>
      <c r="E1005" s="27"/>
      <c r="F1005" s="29" t="s">
        <v>1995</v>
      </c>
      <c r="G1005" s="30" t="n">
        <v>75015</v>
      </c>
      <c r="H1005" s="31" t="s">
        <v>36</v>
      </c>
      <c r="I1005" s="32"/>
      <c r="J1005" s="33" t="n">
        <v>224</v>
      </c>
      <c r="K1005" s="33" t="n">
        <v>2</v>
      </c>
      <c r="L1005" s="34"/>
      <c r="M1005" s="35"/>
      <c r="N1005" s="36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9"/>
      <c r="Z1005" s="39"/>
      <c r="AA1005" s="28"/>
      <c r="AMJ1005" s="0"/>
    </row>
    <row r="1006" s="2" customFormat="true" ht="12.75" hidden="false" customHeight="true" outlineLevel="0" collapsed="false">
      <c r="A1006" s="27" t="s">
        <v>1996</v>
      </c>
      <c r="B1006" s="27" t="s">
        <v>88</v>
      </c>
      <c r="C1006" s="28" t="s">
        <v>41</v>
      </c>
      <c r="D1006" s="27" t="s">
        <v>1536</v>
      </c>
      <c r="E1006" s="27"/>
      <c r="F1006" s="29" t="s">
        <v>1997</v>
      </c>
      <c r="G1006" s="30" t="n">
        <v>75015</v>
      </c>
      <c r="H1006" s="31" t="s">
        <v>36</v>
      </c>
      <c r="I1006" s="32"/>
      <c r="J1006" s="33" t="n">
        <v>195</v>
      </c>
      <c r="K1006" s="33" t="n">
        <v>1</v>
      </c>
      <c r="L1006" s="34"/>
      <c r="M1006" s="35"/>
      <c r="N1006" s="36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9"/>
      <c r="Z1006" s="39"/>
      <c r="AA1006" s="28"/>
      <c r="AMJ1006" s="0"/>
    </row>
    <row r="1007" s="2" customFormat="true" ht="12.75" hidden="false" customHeight="true" outlineLevel="0" collapsed="false">
      <c r="A1007" s="27" t="s">
        <v>1998</v>
      </c>
      <c r="B1007" s="27" t="s">
        <v>1999</v>
      </c>
      <c r="C1007" s="28" t="s">
        <v>41</v>
      </c>
      <c r="D1007" s="27" t="s">
        <v>1536</v>
      </c>
      <c r="E1007" s="27"/>
      <c r="F1007" s="29" t="s">
        <v>1997</v>
      </c>
      <c r="G1007" s="30" t="n">
        <v>75015</v>
      </c>
      <c r="H1007" s="31" t="s">
        <v>36</v>
      </c>
      <c r="I1007" s="32"/>
      <c r="J1007" s="33" t="n">
        <v>0</v>
      </c>
      <c r="K1007" s="33" t="n">
        <v>1</v>
      </c>
      <c r="L1007" s="34"/>
      <c r="M1007" s="35"/>
      <c r="N1007" s="36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9"/>
      <c r="Z1007" s="39"/>
      <c r="AA1007" s="28"/>
      <c r="AMJ1007" s="0"/>
    </row>
    <row r="1008" s="2" customFormat="true" ht="12.75" hidden="false" customHeight="true" outlineLevel="0" collapsed="false">
      <c r="A1008" s="27" t="s">
        <v>2000</v>
      </c>
      <c r="B1008" s="27" t="s">
        <v>2001</v>
      </c>
      <c r="C1008" s="28" t="s">
        <v>138</v>
      </c>
      <c r="D1008" s="27" t="s">
        <v>1536</v>
      </c>
      <c r="E1008" s="27"/>
      <c r="F1008" s="29" t="s">
        <v>2002</v>
      </c>
      <c r="G1008" s="30" t="n">
        <v>75015</v>
      </c>
      <c r="H1008" s="31" t="s">
        <v>36</v>
      </c>
      <c r="I1008" s="32" t="n">
        <v>134893002</v>
      </c>
      <c r="J1008" s="33" t="n">
        <v>95</v>
      </c>
      <c r="K1008" s="33" t="n">
        <v>2</v>
      </c>
      <c r="L1008" s="34"/>
      <c r="M1008" s="35"/>
      <c r="N1008" s="36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9"/>
      <c r="Z1008" s="39"/>
      <c r="AA1008" s="28"/>
      <c r="AMJ1008" s="0"/>
    </row>
    <row r="1009" s="2" customFormat="true" ht="12.75" hidden="false" customHeight="true" outlineLevel="0" collapsed="false">
      <c r="A1009" s="27" t="s">
        <v>2003</v>
      </c>
      <c r="B1009" s="27" t="s">
        <v>55</v>
      </c>
      <c r="C1009" s="28" t="s">
        <v>41</v>
      </c>
      <c r="D1009" s="27" t="s">
        <v>1536</v>
      </c>
      <c r="E1009" s="27"/>
      <c r="F1009" s="29" t="s">
        <v>2004</v>
      </c>
      <c r="G1009" s="30" t="n">
        <v>75015</v>
      </c>
      <c r="H1009" s="31" t="s">
        <v>36</v>
      </c>
      <c r="I1009" s="32" t="n">
        <v>147837245</v>
      </c>
      <c r="J1009" s="33" t="n">
        <v>252</v>
      </c>
      <c r="K1009" s="33" t="n">
        <v>9</v>
      </c>
      <c r="L1009" s="34"/>
      <c r="M1009" s="35" t="s">
        <v>164</v>
      </c>
      <c r="N1009" s="36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9"/>
      <c r="Z1009" s="39"/>
      <c r="AA1009" s="28"/>
      <c r="AMJ1009" s="0"/>
    </row>
    <row r="1010" s="2" customFormat="true" ht="12.75" hidden="false" customHeight="true" outlineLevel="0" collapsed="false">
      <c r="A1010" s="27" t="s">
        <v>2005</v>
      </c>
      <c r="B1010" s="27" t="s">
        <v>2006</v>
      </c>
      <c r="C1010" s="28" t="s">
        <v>138</v>
      </c>
      <c r="D1010" s="27" t="s">
        <v>1536</v>
      </c>
      <c r="E1010" s="27"/>
      <c r="F1010" s="29" t="s">
        <v>2007</v>
      </c>
      <c r="G1010" s="30" t="n">
        <v>75015</v>
      </c>
      <c r="H1010" s="31" t="s">
        <v>36</v>
      </c>
      <c r="I1010" s="32" t="n">
        <v>156568989</v>
      </c>
      <c r="J1010" s="33" t="n">
        <v>209</v>
      </c>
      <c r="K1010" s="33" t="n">
        <v>2</v>
      </c>
      <c r="L1010" s="34"/>
      <c r="M1010" s="35"/>
      <c r="N1010" s="36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9"/>
      <c r="Z1010" s="39"/>
      <c r="AA1010" s="28"/>
      <c r="AMJ1010" s="0"/>
    </row>
    <row r="1011" s="2" customFormat="true" ht="12.75" hidden="false" customHeight="true" outlineLevel="0" collapsed="false">
      <c r="A1011" s="27" t="s">
        <v>2008</v>
      </c>
      <c r="B1011" s="27" t="s">
        <v>195</v>
      </c>
      <c r="C1011" s="28" t="s">
        <v>138</v>
      </c>
      <c r="D1011" s="27" t="s">
        <v>1536</v>
      </c>
      <c r="E1011" s="27"/>
      <c r="F1011" s="29" t="s">
        <v>2007</v>
      </c>
      <c r="G1011" s="30" t="n">
        <v>75015</v>
      </c>
      <c r="H1011" s="31" t="s">
        <v>36</v>
      </c>
      <c r="I1011" s="32" t="n">
        <v>156568989</v>
      </c>
      <c r="J1011" s="33" t="n">
        <v>121</v>
      </c>
      <c r="K1011" s="33" t="n">
        <v>1</v>
      </c>
      <c r="L1011" s="34"/>
      <c r="M1011" s="35"/>
      <c r="N1011" s="36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9"/>
      <c r="Z1011" s="39"/>
      <c r="AA1011" s="28"/>
      <c r="AMJ1011" s="0"/>
    </row>
    <row r="1012" s="2" customFormat="true" ht="12.75" hidden="false" customHeight="true" outlineLevel="0" collapsed="false">
      <c r="A1012" s="27" t="s">
        <v>543</v>
      </c>
      <c r="B1012" s="27" t="s">
        <v>234</v>
      </c>
      <c r="C1012" s="28" t="s">
        <v>121</v>
      </c>
      <c r="D1012" s="27" t="s">
        <v>1536</v>
      </c>
      <c r="E1012" s="27"/>
      <c r="F1012" s="29" t="s">
        <v>2009</v>
      </c>
      <c r="G1012" s="30" t="n">
        <v>75015</v>
      </c>
      <c r="H1012" s="31" t="s">
        <v>36</v>
      </c>
      <c r="I1012" s="32" t="n">
        <v>148285500</v>
      </c>
      <c r="J1012" s="33" t="n">
        <v>117</v>
      </c>
      <c r="K1012" s="33" t="n">
        <v>3</v>
      </c>
      <c r="L1012" s="34" t="n">
        <v>1</v>
      </c>
      <c r="M1012" s="35" t="s">
        <v>164</v>
      </c>
      <c r="N1012" s="36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39"/>
      <c r="Z1012" s="39"/>
      <c r="AA1012" s="28" t="n">
        <v>3</v>
      </c>
      <c r="AMJ1012" s="0"/>
    </row>
    <row r="1013" s="2" customFormat="true" ht="12.75" hidden="false" customHeight="true" outlineLevel="0" collapsed="false">
      <c r="A1013" s="27" t="s">
        <v>2010</v>
      </c>
      <c r="B1013" s="27" t="s">
        <v>2011</v>
      </c>
      <c r="C1013" s="28" t="s">
        <v>41</v>
      </c>
      <c r="D1013" s="27" t="s">
        <v>1536</v>
      </c>
      <c r="E1013" s="27"/>
      <c r="F1013" s="29" t="s">
        <v>2012</v>
      </c>
      <c r="G1013" s="30" t="n">
        <v>75015</v>
      </c>
      <c r="H1013" s="31" t="s">
        <v>36</v>
      </c>
      <c r="I1013" s="32" t="n">
        <v>145318130</v>
      </c>
      <c r="J1013" s="33" t="n">
        <v>199</v>
      </c>
      <c r="K1013" s="33" t="n">
        <v>5</v>
      </c>
      <c r="L1013" s="34"/>
      <c r="M1013" s="35"/>
      <c r="N1013" s="36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9"/>
      <c r="Z1013" s="39"/>
      <c r="AA1013" s="28"/>
      <c r="AMJ1013" s="0"/>
    </row>
    <row r="1014" s="2" customFormat="true" ht="12.75" hidden="false" customHeight="true" outlineLevel="0" collapsed="false">
      <c r="A1014" s="27" t="s">
        <v>2013</v>
      </c>
      <c r="B1014" s="27" t="s">
        <v>1211</v>
      </c>
      <c r="C1014" s="28" t="s">
        <v>41</v>
      </c>
      <c r="D1014" s="27" t="s">
        <v>1536</v>
      </c>
      <c r="E1014" s="27"/>
      <c r="F1014" s="29" t="s">
        <v>2012</v>
      </c>
      <c r="G1014" s="30" t="n">
        <v>75015</v>
      </c>
      <c r="H1014" s="31" t="s">
        <v>36</v>
      </c>
      <c r="I1014" s="32" t="n">
        <v>145318130</v>
      </c>
      <c r="J1014" s="33" t="n">
        <v>93</v>
      </c>
      <c r="K1014" s="33" t="n">
        <v>1</v>
      </c>
      <c r="L1014" s="34"/>
      <c r="M1014" s="35"/>
      <c r="N1014" s="36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9"/>
      <c r="Z1014" s="39"/>
      <c r="AA1014" s="28"/>
      <c r="AMJ1014" s="0"/>
    </row>
    <row r="1015" s="2" customFormat="true" ht="12.75" hidden="false" customHeight="true" outlineLevel="0" collapsed="false">
      <c r="A1015" s="27" t="s">
        <v>2014</v>
      </c>
      <c r="B1015" s="27" t="s">
        <v>598</v>
      </c>
      <c r="C1015" s="28" t="s">
        <v>33</v>
      </c>
      <c r="D1015" s="27" t="s">
        <v>1536</v>
      </c>
      <c r="E1015" s="27"/>
      <c r="F1015" s="29" t="s">
        <v>2012</v>
      </c>
      <c r="G1015" s="30" t="n">
        <v>75015</v>
      </c>
      <c r="H1015" s="31" t="s">
        <v>36</v>
      </c>
      <c r="I1015" s="32"/>
      <c r="J1015" s="33" t="n">
        <v>51</v>
      </c>
      <c r="K1015" s="33" t="n">
        <v>1</v>
      </c>
      <c r="L1015" s="34"/>
      <c r="M1015" s="35"/>
      <c r="N1015" s="36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9"/>
      <c r="Z1015" s="39"/>
      <c r="AA1015" s="28"/>
      <c r="AC1015" s="2" t="s">
        <v>1484</v>
      </c>
      <c r="AMJ1015" s="0"/>
    </row>
    <row r="1016" s="2" customFormat="true" ht="12.75" hidden="false" customHeight="true" outlineLevel="0" collapsed="false">
      <c r="A1016" s="27" t="s">
        <v>2015</v>
      </c>
      <c r="B1016" s="27" t="s">
        <v>537</v>
      </c>
      <c r="C1016" s="28" t="s">
        <v>138</v>
      </c>
      <c r="D1016" s="27" t="s">
        <v>1536</v>
      </c>
      <c r="E1016" s="27"/>
      <c r="F1016" s="29" t="s">
        <v>2016</v>
      </c>
      <c r="G1016" s="30" t="n">
        <v>75015</v>
      </c>
      <c r="H1016" s="31" t="s">
        <v>36</v>
      </c>
      <c r="I1016" s="32" t="n">
        <v>140563999</v>
      </c>
      <c r="J1016" s="33" t="n">
        <v>93</v>
      </c>
      <c r="K1016" s="33" t="n">
        <v>6</v>
      </c>
      <c r="L1016" s="34" t="n">
        <v>1</v>
      </c>
      <c r="M1016" s="43" t="s">
        <v>155</v>
      </c>
      <c r="N1016" s="36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39"/>
      <c r="Z1016" s="39" t="n">
        <v>45176.5416666667</v>
      </c>
      <c r="AA1016" s="28" t="n">
        <v>3</v>
      </c>
      <c r="AMJ1016" s="0"/>
    </row>
    <row r="1017" s="2" customFormat="true" ht="12.75" hidden="false" customHeight="true" outlineLevel="0" collapsed="false">
      <c r="A1017" s="27" t="s">
        <v>2017</v>
      </c>
      <c r="B1017" s="27" t="s">
        <v>1227</v>
      </c>
      <c r="C1017" s="28" t="s">
        <v>121</v>
      </c>
      <c r="D1017" s="27" t="s">
        <v>1536</v>
      </c>
      <c r="E1017" s="27"/>
      <c r="F1017" s="29" t="s">
        <v>2018</v>
      </c>
      <c r="G1017" s="30" t="n">
        <v>75015</v>
      </c>
      <c r="H1017" s="31" t="s">
        <v>36</v>
      </c>
      <c r="I1017" s="32" t="n">
        <v>144495047</v>
      </c>
      <c r="J1017" s="33" t="n">
        <v>118</v>
      </c>
      <c r="K1017" s="33" t="n">
        <v>1</v>
      </c>
      <c r="L1017" s="34"/>
      <c r="M1017" s="35"/>
      <c r="N1017" s="36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9"/>
      <c r="Z1017" s="39"/>
      <c r="AA1017" s="28"/>
      <c r="AMJ1017" s="0"/>
    </row>
    <row r="1018" s="2" customFormat="true" ht="12.75" hidden="false" customHeight="true" outlineLevel="0" collapsed="false">
      <c r="A1018" s="27" t="s">
        <v>2019</v>
      </c>
      <c r="B1018" s="27" t="s">
        <v>889</v>
      </c>
      <c r="C1018" s="28" t="s">
        <v>41</v>
      </c>
      <c r="D1018" s="27" t="s">
        <v>1536</v>
      </c>
      <c r="E1018" s="27"/>
      <c r="F1018" s="29" t="s">
        <v>2020</v>
      </c>
      <c r="G1018" s="30" t="n">
        <v>75015</v>
      </c>
      <c r="H1018" s="31" t="s">
        <v>36</v>
      </c>
      <c r="I1018" s="32" t="n">
        <v>145332856</v>
      </c>
      <c r="J1018" s="33" t="n">
        <v>212</v>
      </c>
      <c r="K1018" s="33" t="n">
        <v>1</v>
      </c>
      <c r="L1018" s="34"/>
      <c r="M1018" s="35"/>
      <c r="N1018" s="36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9"/>
      <c r="Z1018" s="39"/>
      <c r="AA1018" s="28"/>
      <c r="AMJ1018" s="0"/>
    </row>
    <row r="1019" s="2" customFormat="true" ht="12.75" hidden="false" customHeight="true" outlineLevel="0" collapsed="false">
      <c r="A1019" s="27" t="s">
        <v>2021</v>
      </c>
      <c r="B1019" s="27" t="s">
        <v>1094</v>
      </c>
      <c r="C1019" s="28" t="s">
        <v>41</v>
      </c>
      <c r="D1019" s="27" t="s">
        <v>1536</v>
      </c>
      <c r="E1019" s="27"/>
      <c r="F1019" s="29" t="s">
        <v>2022</v>
      </c>
      <c r="G1019" s="30" t="n">
        <v>75015</v>
      </c>
      <c r="H1019" s="31" t="s">
        <v>36</v>
      </c>
      <c r="I1019" s="32" t="n">
        <v>171243528</v>
      </c>
      <c r="J1019" s="33" t="n">
        <v>150</v>
      </c>
      <c r="K1019" s="33" t="n">
        <v>1</v>
      </c>
      <c r="L1019" s="34"/>
      <c r="M1019" s="35"/>
      <c r="N1019" s="36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9"/>
      <c r="Z1019" s="39"/>
      <c r="AA1019" s="28"/>
      <c r="AMJ1019" s="0"/>
    </row>
    <row r="1020" s="2" customFormat="true" ht="12.75" hidden="false" customHeight="true" outlineLevel="0" collapsed="false">
      <c r="A1020" s="27" t="s">
        <v>2023</v>
      </c>
      <c r="B1020" s="27" t="s">
        <v>250</v>
      </c>
      <c r="C1020" s="28" t="s">
        <v>33</v>
      </c>
      <c r="D1020" s="27" t="s">
        <v>1536</v>
      </c>
      <c r="E1020" s="27"/>
      <c r="F1020" s="29" t="s">
        <v>2024</v>
      </c>
      <c r="G1020" s="30" t="n">
        <v>75015</v>
      </c>
      <c r="H1020" s="31" t="s">
        <v>36</v>
      </c>
      <c r="I1020" s="32" t="n">
        <v>156080818</v>
      </c>
      <c r="J1020" s="33" t="n">
        <v>43</v>
      </c>
      <c r="K1020" s="33" t="n">
        <v>2</v>
      </c>
      <c r="L1020" s="34"/>
      <c r="M1020" s="35"/>
      <c r="N1020" s="36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9"/>
      <c r="Z1020" s="39"/>
      <c r="AA1020" s="28"/>
      <c r="AC1020" s="2" t="s">
        <v>38</v>
      </c>
      <c r="AMJ1020" s="0"/>
    </row>
    <row r="1021" s="2" customFormat="true" ht="12.75" hidden="false" customHeight="true" outlineLevel="0" collapsed="false">
      <c r="A1021" s="27" t="s">
        <v>2025</v>
      </c>
      <c r="B1021" s="27" t="s">
        <v>157</v>
      </c>
      <c r="C1021" s="28" t="s">
        <v>33</v>
      </c>
      <c r="D1021" s="27" t="s">
        <v>1536</v>
      </c>
      <c r="E1021" s="27"/>
      <c r="F1021" s="29" t="s">
        <v>2026</v>
      </c>
      <c r="G1021" s="30" t="n">
        <v>75015</v>
      </c>
      <c r="H1021" s="31" t="s">
        <v>36</v>
      </c>
      <c r="I1021" s="32" t="n">
        <v>145323499</v>
      </c>
      <c r="J1021" s="33" t="n">
        <v>52</v>
      </c>
      <c r="K1021" s="33" t="n">
        <v>0</v>
      </c>
      <c r="L1021" s="34"/>
      <c r="M1021" s="35"/>
      <c r="N1021" s="36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9"/>
      <c r="Z1021" s="39"/>
      <c r="AA1021" s="28"/>
      <c r="AC1021" s="2" t="s">
        <v>38</v>
      </c>
      <c r="AMJ1021" s="0"/>
    </row>
    <row r="1022" s="2" customFormat="true" ht="12.75" hidden="false" customHeight="true" outlineLevel="0" collapsed="false">
      <c r="A1022" s="27" t="s">
        <v>2027</v>
      </c>
      <c r="B1022" s="27" t="s">
        <v>618</v>
      </c>
      <c r="C1022" s="28" t="s">
        <v>41</v>
      </c>
      <c r="D1022" s="27" t="s">
        <v>1536</v>
      </c>
      <c r="E1022" s="27"/>
      <c r="F1022" s="29" t="s">
        <v>2028</v>
      </c>
      <c r="G1022" s="30" t="n">
        <v>75015</v>
      </c>
      <c r="H1022" s="31" t="s">
        <v>36</v>
      </c>
      <c r="I1022" s="32" t="n">
        <v>143360761</v>
      </c>
      <c r="J1022" s="33" t="n">
        <v>262</v>
      </c>
      <c r="K1022" s="33" t="n">
        <v>1</v>
      </c>
      <c r="L1022" s="34"/>
      <c r="M1022" s="35"/>
      <c r="N1022" s="36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9"/>
      <c r="Z1022" s="39"/>
      <c r="AA1022" s="28"/>
      <c r="AMJ1022" s="0"/>
    </row>
    <row r="1023" s="2" customFormat="true" ht="12.75" hidden="false" customHeight="true" outlineLevel="0" collapsed="false">
      <c r="A1023" s="27" t="s">
        <v>2029</v>
      </c>
      <c r="B1023" s="27" t="s">
        <v>172</v>
      </c>
      <c r="C1023" s="28" t="s">
        <v>33</v>
      </c>
      <c r="D1023" s="27" t="s">
        <v>1536</v>
      </c>
      <c r="E1023" s="27"/>
      <c r="F1023" s="29" t="s">
        <v>2030</v>
      </c>
      <c r="G1023" s="30" t="n">
        <v>75015</v>
      </c>
      <c r="H1023" s="31" t="s">
        <v>36</v>
      </c>
      <c r="I1023" s="32" t="n">
        <v>143217575</v>
      </c>
      <c r="J1023" s="33" t="n">
        <v>69</v>
      </c>
      <c r="K1023" s="33" t="n">
        <v>1</v>
      </c>
      <c r="L1023" s="34"/>
      <c r="M1023" s="35"/>
      <c r="N1023" s="36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9"/>
      <c r="Z1023" s="39"/>
      <c r="AA1023" s="28"/>
      <c r="AC1023" s="2" t="s">
        <v>38</v>
      </c>
      <c r="AMJ1023" s="0"/>
    </row>
    <row r="1024" s="2" customFormat="true" ht="12.75" hidden="false" customHeight="true" outlineLevel="0" collapsed="false">
      <c r="A1024" s="27" t="s">
        <v>2031</v>
      </c>
      <c r="B1024" s="27" t="s">
        <v>1279</v>
      </c>
      <c r="C1024" s="28" t="s">
        <v>138</v>
      </c>
      <c r="D1024" s="27" t="s">
        <v>1536</v>
      </c>
      <c r="E1024" s="27"/>
      <c r="F1024" s="29" t="s">
        <v>2032</v>
      </c>
      <c r="G1024" s="30" t="n">
        <v>75015</v>
      </c>
      <c r="H1024" s="31" t="s">
        <v>36</v>
      </c>
      <c r="I1024" s="32" t="n">
        <v>148281892</v>
      </c>
      <c r="J1024" s="33" t="n">
        <v>117</v>
      </c>
      <c r="K1024" s="33" t="n">
        <v>6</v>
      </c>
      <c r="L1024" s="34" t="n">
        <v>3</v>
      </c>
      <c r="M1024" s="43" t="s">
        <v>155</v>
      </c>
      <c r="N1024" s="36" t="s">
        <v>2033</v>
      </c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39"/>
      <c r="Z1024" s="39" t="n">
        <v>45190.6458333333</v>
      </c>
      <c r="AA1024" s="28" t="n">
        <v>3</v>
      </c>
      <c r="AMJ1024" s="0"/>
    </row>
    <row r="1025" s="2" customFormat="true" ht="12.75" hidden="false" customHeight="true" outlineLevel="0" collapsed="false">
      <c r="A1025" s="27" t="s">
        <v>2034</v>
      </c>
      <c r="B1025" s="27" t="s">
        <v>160</v>
      </c>
      <c r="C1025" s="28" t="s">
        <v>138</v>
      </c>
      <c r="D1025" s="27" t="s">
        <v>1536</v>
      </c>
      <c r="E1025" s="27" t="s">
        <v>2035</v>
      </c>
      <c r="F1025" s="29" t="s">
        <v>2036</v>
      </c>
      <c r="G1025" s="30" t="n">
        <v>75015</v>
      </c>
      <c r="H1025" s="31" t="s">
        <v>36</v>
      </c>
      <c r="I1025" s="32" t="n">
        <v>153584080</v>
      </c>
      <c r="J1025" s="33" t="n">
        <v>105</v>
      </c>
      <c r="K1025" s="33" t="n">
        <v>6</v>
      </c>
      <c r="L1025" s="34" t="n">
        <v>1</v>
      </c>
      <c r="M1025" s="35" t="s">
        <v>321</v>
      </c>
      <c r="N1025" s="36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39"/>
      <c r="Z1025" s="39"/>
      <c r="AA1025" s="28" t="n">
        <v>3</v>
      </c>
      <c r="AMJ1025" s="0"/>
    </row>
    <row r="1026" s="2" customFormat="true" ht="12.75" hidden="false" customHeight="true" outlineLevel="0" collapsed="false">
      <c r="A1026" s="27" t="s">
        <v>2037</v>
      </c>
      <c r="B1026" s="27" t="s">
        <v>189</v>
      </c>
      <c r="C1026" s="28" t="s">
        <v>41</v>
      </c>
      <c r="D1026" s="27" t="s">
        <v>1536</v>
      </c>
      <c r="E1026" s="27" t="s">
        <v>2035</v>
      </c>
      <c r="F1026" s="29" t="s">
        <v>2036</v>
      </c>
      <c r="G1026" s="30" t="n">
        <v>75015</v>
      </c>
      <c r="H1026" s="31" t="s">
        <v>36</v>
      </c>
      <c r="I1026" s="32" t="n">
        <v>153584080</v>
      </c>
      <c r="J1026" s="33" t="n">
        <v>259</v>
      </c>
      <c r="K1026" s="33" t="n">
        <v>1</v>
      </c>
      <c r="L1026" s="34"/>
      <c r="M1026" s="44" t="s">
        <v>321</v>
      </c>
      <c r="N1026" s="36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9"/>
      <c r="Z1026" s="39"/>
      <c r="AA1026" s="28"/>
      <c r="AMJ1026" s="0"/>
    </row>
    <row r="1027" s="2" customFormat="true" ht="12.75" hidden="false" customHeight="true" outlineLevel="0" collapsed="false">
      <c r="A1027" s="27" t="s">
        <v>2038</v>
      </c>
      <c r="B1027" s="27" t="s">
        <v>850</v>
      </c>
      <c r="C1027" s="28" t="s">
        <v>41</v>
      </c>
      <c r="D1027" s="27" t="s">
        <v>1536</v>
      </c>
      <c r="E1027" s="27" t="s">
        <v>2035</v>
      </c>
      <c r="F1027" s="29" t="s">
        <v>2036</v>
      </c>
      <c r="G1027" s="30" t="n">
        <v>75015</v>
      </c>
      <c r="H1027" s="31" t="s">
        <v>36</v>
      </c>
      <c r="I1027" s="32" t="n">
        <v>153584080</v>
      </c>
      <c r="J1027" s="33" t="n">
        <v>231</v>
      </c>
      <c r="K1027" s="33" t="n">
        <v>1</v>
      </c>
      <c r="L1027" s="34"/>
      <c r="M1027" s="44" t="s">
        <v>321</v>
      </c>
      <c r="N1027" s="36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9"/>
      <c r="Z1027" s="39"/>
      <c r="AA1027" s="28"/>
      <c r="AMJ1027" s="0"/>
    </row>
    <row r="1028" s="2" customFormat="true" ht="12.75" hidden="false" customHeight="true" outlineLevel="0" collapsed="false">
      <c r="A1028" s="27" t="s">
        <v>2039</v>
      </c>
      <c r="B1028" s="27" t="s">
        <v>633</v>
      </c>
      <c r="C1028" s="28" t="s">
        <v>41</v>
      </c>
      <c r="D1028" s="27" t="s">
        <v>1536</v>
      </c>
      <c r="E1028" s="27" t="s">
        <v>2035</v>
      </c>
      <c r="F1028" s="29" t="s">
        <v>2036</v>
      </c>
      <c r="G1028" s="30" t="n">
        <v>75015</v>
      </c>
      <c r="H1028" s="31" t="s">
        <v>36</v>
      </c>
      <c r="I1028" s="32" t="n">
        <v>153584080</v>
      </c>
      <c r="J1028" s="33" t="n">
        <v>223</v>
      </c>
      <c r="K1028" s="33" t="n">
        <v>2</v>
      </c>
      <c r="L1028" s="34"/>
      <c r="M1028" s="44" t="s">
        <v>321</v>
      </c>
      <c r="N1028" s="36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9"/>
      <c r="Z1028" s="39"/>
      <c r="AA1028" s="28"/>
      <c r="AMJ1028" s="0"/>
    </row>
    <row r="1029" s="2" customFormat="true" ht="12.75" hidden="false" customHeight="true" outlineLevel="0" collapsed="false">
      <c r="A1029" s="27" t="s">
        <v>2040</v>
      </c>
      <c r="B1029" s="27" t="s">
        <v>660</v>
      </c>
      <c r="C1029" s="28" t="s">
        <v>41</v>
      </c>
      <c r="D1029" s="27" t="s">
        <v>1536</v>
      </c>
      <c r="E1029" s="27" t="s">
        <v>2035</v>
      </c>
      <c r="F1029" s="29" t="s">
        <v>2036</v>
      </c>
      <c r="G1029" s="30" t="n">
        <v>75015</v>
      </c>
      <c r="H1029" s="31" t="s">
        <v>36</v>
      </c>
      <c r="I1029" s="32" t="n">
        <v>153584080</v>
      </c>
      <c r="J1029" s="33" t="n">
        <v>223</v>
      </c>
      <c r="K1029" s="33" t="n">
        <v>1</v>
      </c>
      <c r="L1029" s="34"/>
      <c r="M1029" s="44" t="s">
        <v>321</v>
      </c>
      <c r="N1029" s="36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9"/>
      <c r="Z1029" s="39"/>
      <c r="AA1029" s="28"/>
      <c r="AMJ1029" s="0"/>
    </row>
    <row r="1030" s="2" customFormat="true" ht="12.75" hidden="false" customHeight="true" outlineLevel="0" collapsed="false">
      <c r="A1030" s="27" t="s">
        <v>2041</v>
      </c>
      <c r="B1030" s="27" t="s">
        <v>620</v>
      </c>
      <c r="C1030" s="28" t="s">
        <v>41</v>
      </c>
      <c r="D1030" s="27" t="s">
        <v>1536</v>
      </c>
      <c r="E1030" s="27" t="s">
        <v>2035</v>
      </c>
      <c r="F1030" s="29" t="s">
        <v>2036</v>
      </c>
      <c r="G1030" s="30" t="n">
        <v>75015</v>
      </c>
      <c r="H1030" s="31" t="s">
        <v>36</v>
      </c>
      <c r="I1030" s="32" t="n">
        <v>153584080</v>
      </c>
      <c r="J1030" s="33" t="n">
        <v>218</v>
      </c>
      <c r="K1030" s="33" t="n">
        <v>1</v>
      </c>
      <c r="L1030" s="34"/>
      <c r="M1030" s="44" t="s">
        <v>321</v>
      </c>
      <c r="N1030" s="36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9"/>
      <c r="Z1030" s="39"/>
      <c r="AA1030" s="28"/>
      <c r="AMJ1030" s="0"/>
    </row>
    <row r="1031" s="2" customFormat="true" ht="12.75" hidden="false" customHeight="true" outlineLevel="0" collapsed="false">
      <c r="A1031" s="27" t="s">
        <v>2042</v>
      </c>
      <c r="B1031" s="27" t="s">
        <v>884</v>
      </c>
      <c r="C1031" s="28" t="s">
        <v>41</v>
      </c>
      <c r="D1031" s="27" t="s">
        <v>1536</v>
      </c>
      <c r="E1031" s="27" t="s">
        <v>2035</v>
      </c>
      <c r="F1031" s="29" t="s">
        <v>2036</v>
      </c>
      <c r="G1031" s="30" t="n">
        <v>75015</v>
      </c>
      <c r="H1031" s="31" t="s">
        <v>36</v>
      </c>
      <c r="I1031" s="32" t="n">
        <v>153584080</v>
      </c>
      <c r="J1031" s="33" t="n">
        <v>210</v>
      </c>
      <c r="K1031" s="33" t="n">
        <v>1</v>
      </c>
      <c r="L1031" s="34"/>
      <c r="M1031" s="44" t="s">
        <v>321</v>
      </c>
      <c r="N1031" s="36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9"/>
      <c r="Z1031" s="39"/>
      <c r="AA1031" s="28"/>
      <c r="AMJ1031" s="0"/>
    </row>
    <row r="1032" s="2" customFormat="true" ht="12.75" hidden="false" customHeight="true" outlineLevel="0" collapsed="false">
      <c r="A1032" s="27" t="s">
        <v>2043</v>
      </c>
      <c r="B1032" s="27" t="s">
        <v>1279</v>
      </c>
      <c r="C1032" s="28" t="s">
        <v>41</v>
      </c>
      <c r="D1032" s="27" t="s">
        <v>1536</v>
      </c>
      <c r="E1032" s="27" t="s">
        <v>2035</v>
      </c>
      <c r="F1032" s="29" t="s">
        <v>2036</v>
      </c>
      <c r="G1032" s="30" t="n">
        <v>75015</v>
      </c>
      <c r="H1032" s="31" t="s">
        <v>36</v>
      </c>
      <c r="I1032" s="32" t="n">
        <v>153584080</v>
      </c>
      <c r="J1032" s="33" t="n">
        <v>205</v>
      </c>
      <c r="K1032" s="33" t="n">
        <v>2</v>
      </c>
      <c r="L1032" s="34"/>
      <c r="M1032" s="44" t="s">
        <v>321</v>
      </c>
      <c r="N1032" s="36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9"/>
      <c r="Z1032" s="39"/>
      <c r="AA1032" s="28"/>
      <c r="AMJ1032" s="0"/>
    </row>
    <row r="1033" s="2" customFormat="true" ht="12.75" hidden="false" customHeight="true" outlineLevel="0" collapsed="false">
      <c r="A1033" s="27" t="s">
        <v>2044</v>
      </c>
      <c r="B1033" s="27" t="s">
        <v>406</v>
      </c>
      <c r="C1033" s="28" t="s">
        <v>41</v>
      </c>
      <c r="D1033" s="27" t="s">
        <v>1536</v>
      </c>
      <c r="E1033" s="27" t="s">
        <v>2035</v>
      </c>
      <c r="F1033" s="29" t="s">
        <v>2036</v>
      </c>
      <c r="G1033" s="30" t="n">
        <v>75015</v>
      </c>
      <c r="H1033" s="31" t="s">
        <v>36</v>
      </c>
      <c r="I1033" s="32" t="n">
        <v>156586300</v>
      </c>
      <c r="J1033" s="33" t="n">
        <v>195</v>
      </c>
      <c r="K1033" s="33" t="n">
        <v>0</v>
      </c>
      <c r="L1033" s="34"/>
      <c r="M1033" s="44" t="s">
        <v>321</v>
      </c>
      <c r="N1033" s="36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9"/>
      <c r="Z1033" s="39"/>
      <c r="AA1033" s="28"/>
      <c r="AMJ1033" s="0"/>
    </row>
    <row r="1034" s="2" customFormat="true" ht="12.75" hidden="false" customHeight="true" outlineLevel="0" collapsed="false">
      <c r="A1034" s="27" t="s">
        <v>2045</v>
      </c>
      <c r="B1034" s="27" t="s">
        <v>2046</v>
      </c>
      <c r="C1034" s="28" t="s">
        <v>41</v>
      </c>
      <c r="D1034" s="27" t="s">
        <v>1536</v>
      </c>
      <c r="E1034" s="27" t="s">
        <v>2035</v>
      </c>
      <c r="F1034" s="29" t="s">
        <v>2036</v>
      </c>
      <c r="G1034" s="30" t="n">
        <v>75015</v>
      </c>
      <c r="H1034" s="31" t="s">
        <v>36</v>
      </c>
      <c r="I1034" s="32" t="n">
        <v>156586300</v>
      </c>
      <c r="J1034" s="33" t="n">
        <v>195</v>
      </c>
      <c r="K1034" s="33" t="n">
        <v>0</v>
      </c>
      <c r="L1034" s="34"/>
      <c r="M1034" s="44" t="s">
        <v>321</v>
      </c>
      <c r="N1034" s="36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9"/>
      <c r="Z1034" s="39"/>
      <c r="AA1034" s="28"/>
      <c r="AMJ1034" s="0"/>
    </row>
    <row r="1035" s="2" customFormat="true" ht="12.75" hidden="false" customHeight="true" outlineLevel="0" collapsed="false">
      <c r="A1035" s="27" t="s">
        <v>2047</v>
      </c>
      <c r="B1035" s="27" t="s">
        <v>537</v>
      </c>
      <c r="C1035" s="28" t="s">
        <v>41</v>
      </c>
      <c r="D1035" s="27" t="s">
        <v>1536</v>
      </c>
      <c r="E1035" s="27" t="s">
        <v>2035</v>
      </c>
      <c r="F1035" s="29" t="s">
        <v>2036</v>
      </c>
      <c r="G1035" s="30" t="n">
        <v>75015</v>
      </c>
      <c r="H1035" s="31" t="s">
        <v>36</v>
      </c>
      <c r="I1035" s="32" t="n">
        <v>153584080</v>
      </c>
      <c r="J1035" s="33" t="n">
        <v>185</v>
      </c>
      <c r="K1035" s="33" t="n">
        <v>1</v>
      </c>
      <c r="L1035" s="34"/>
      <c r="M1035" s="44" t="s">
        <v>321</v>
      </c>
      <c r="N1035" s="36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9"/>
      <c r="Z1035" s="39"/>
      <c r="AA1035" s="28"/>
      <c r="AMJ1035" s="0"/>
    </row>
    <row r="1036" s="2" customFormat="true" ht="12.75" hidden="false" customHeight="true" outlineLevel="0" collapsed="false">
      <c r="A1036" s="27" t="s">
        <v>331</v>
      </c>
      <c r="B1036" s="27" t="s">
        <v>237</v>
      </c>
      <c r="C1036" s="28" t="s">
        <v>41</v>
      </c>
      <c r="D1036" s="27" t="s">
        <v>1536</v>
      </c>
      <c r="E1036" s="27" t="s">
        <v>2035</v>
      </c>
      <c r="F1036" s="29" t="s">
        <v>2036</v>
      </c>
      <c r="G1036" s="30" t="n">
        <v>75015</v>
      </c>
      <c r="H1036" s="31" t="s">
        <v>36</v>
      </c>
      <c r="I1036" s="32" t="n">
        <v>153584080</v>
      </c>
      <c r="J1036" s="33" t="n">
        <v>182</v>
      </c>
      <c r="K1036" s="33" t="n">
        <v>2</v>
      </c>
      <c r="L1036" s="34"/>
      <c r="M1036" s="44" t="s">
        <v>321</v>
      </c>
      <c r="N1036" s="36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9"/>
      <c r="Z1036" s="39"/>
      <c r="AA1036" s="28"/>
      <c r="AMJ1036" s="0"/>
    </row>
    <row r="1037" s="2" customFormat="true" ht="12.75" hidden="false" customHeight="true" outlineLevel="0" collapsed="false">
      <c r="A1037" s="27" t="s">
        <v>2048</v>
      </c>
      <c r="B1037" s="27" t="s">
        <v>2049</v>
      </c>
      <c r="C1037" s="28" t="s">
        <v>41</v>
      </c>
      <c r="D1037" s="27" t="s">
        <v>1536</v>
      </c>
      <c r="E1037" s="27" t="s">
        <v>2035</v>
      </c>
      <c r="F1037" s="29" t="s">
        <v>2036</v>
      </c>
      <c r="G1037" s="30" t="n">
        <v>75015</v>
      </c>
      <c r="H1037" s="31" t="s">
        <v>36</v>
      </c>
      <c r="I1037" s="32" t="n">
        <v>153584080</v>
      </c>
      <c r="J1037" s="33" t="n">
        <v>177</v>
      </c>
      <c r="K1037" s="33" t="n">
        <v>1</v>
      </c>
      <c r="L1037" s="34"/>
      <c r="M1037" s="44" t="s">
        <v>321</v>
      </c>
      <c r="N1037" s="36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9"/>
      <c r="Z1037" s="39"/>
      <c r="AA1037" s="28"/>
      <c r="AB1037" s="4"/>
      <c r="AC1037" s="4"/>
      <c r="AD1037" s="4"/>
      <c r="AE1037" s="4"/>
      <c r="AMJ1037" s="0"/>
    </row>
    <row r="1038" s="2" customFormat="true" ht="12.75" hidden="false" customHeight="true" outlineLevel="0" collapsed="false">
      <c r="A1038" s="27" t="s">
        <v>2050</v>
      </c>
      <c r="B1038" s="27" t="s">
        <v>2051</v>
      </c>
      <c r="C1038" s="28" t="s">
        <v>41</v>
      </c>
      <c r="D1038" s="27" t="s">
        <v>1536</v>
      </c>
      <c r="E1038" s="27" t="s">
        <v>2035</v>
      </c>
      <c r="F1038" s="29" t="s">
        <v>2036</v>
      </c>
      <c r="G1038" s="30" t="n">
        <v>75015</v>
      </c>
      <c r="H1038" s="31" t="s">
        <v>36</v>
      </c>
      <c r="I1038" s="32" t="n">
        <v>153584080</v>
      </c>
      <c r="J1038" s="33" t="n">
        <v>173</v>
      </c>
      <c r="K1038" s="33" t="n">
        <v>2</v>
      </c>
      <c r="L1038" s="34"/>
      <c r="M1038" s="44" t="s">
        <v>321</v>
      </c>
      <c r="N1038" s="36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9"/>
      <c r="Z1038" s="39"/>
      <c r="AA1038" s="28"/>
      <c r="AMJ1038" s="0"/>
    </row>
    <row r="1039" s="2" customFormat="true" ht="12.75" hidden="false" customHeight="true" outlineLevel="0" collapsed="false">
      <c r="A1039" s="27" t="s">
        <v>2052</v>
      </c>
      <c r="B1039" s="27" t="s">
        <v>2053</v>
      </c>
      <c r="C1039" s="28" t="s">
        <v>41</v>
      </c>
      <c r="D1039" s="27" t="s">
        <v>1536</v>
      </c>
      <c r="E1039" s="27" t="s">
        <v>2035</v>
      </c>
      <c r="F1039" s="29" t="s">
        <v>2036</v>
      </c>
      <c r="G1039" s="30" t="n">
        <v>75015</v>
      </c>
      <c r="H1039" s="31" t="s">
        <v>36</v>
      </c>
      <c r="I1039" s="32" t="n">
        <v>153584080</v>
      </c>
      <c r="J1039" s="33" t="n">
        <v>150</v>
      </c>
      <c r="K1039" s="33" t="n">
        <v>2</v>
      </c>
      <c r="L1039" s="34"/>
      <c r="M1039" s="44" t="s">
        <v>321</v>
      </c>
      <c r="N1039" s="36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9"/>
      <c r="Z1039" s="39"/>
      <c r="AA1039" s="28"/>
      <c r="AMJ1039" s="0"/>
    </row>
    <row r="1040" s="2" customFormat="true" ht="12.75" hidden="false" customHeight="true" outlineLevel="0" collapsed="false">
      <c r="A1040" s="27" t="s">
        <v>2054</v>
      </c>
      <c r="B1040" s="27" t="s">
        <v>112</v>
      </c>
      <c r="C1040" s="28" t="s">
        <v>77</v>
      </c>
      <c r="D1040" s="27" t="s">
        <v>1536</v>
      </c>
      <c r="E1040" s="27" t="s">
        <v>2035</v>
      </c>
      <c r="F1040" s="29" t="s">
        <v>2036</v>
      </c>
      <c r="G1040" s="30" t="n">
        <v>75015</v>
      </c>
      <c r="H1040" s="31" t="s">
        <v>36</v>
      </c>
      <c r="I1040" s="32" t="n">
        <v>156586300</v>
      </c>
      <c r="J1040" s="33" t="n">
        <v>188</v>
      </c>
      <c r="K1040" s="33" t="n">
        <v>1</v>
      </c>
      <c r="L1040" s="34"/>
      <c r="M1040" s="44" t="s">
        <v>321</v>
      </c>
      <c r="N1040" s="36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9"/>
      <c r="Z1040" s="39"/>
      <c r="AA1040" s="28"/>
      <c r="AMJ1040" s="0"/>
    </row>
    <row r="1041" s="2" customFormat="true" ht="12.75" hidden="false" customHeight="true" outlineLevel="0" collapsed="false">
      <c r="A1041" s="27" t="s">
        <v>2055</v>
      </c>
      <c r="B1041" s="27" t="s">
        <v>406</v>
      </c>
      <c r="C1041" s="28" t="s">
        <v>121</v>
      </c>
      <c r="D1041" s="27" t="s">
        <v>1536</v>
      </c>
      <c r="E1041" s="27" t="s">
        <v>2035</v>
      </c>
      <c r="F1041" s="29" t="s">
        <v>2036</v>
      </c>
      <c r="G1041" s="30" t="n">
        <v>75015</v>
      </c>
      <c r="H1041" s="31" t="s">
        <v>36</v>
      </c>
      <c r="I1041" s="32" t="n">
        <v>153584080</v>
      </c>
      <c r="J1041" s="33" t="n">
        <v>258</v>
      </c>
      <c r="K1041" s="33" t="n">
        <v>4</v>
      </c>
      <c r="L1041" s="34" t="n">
        <v>1</v>
      </c>
      <c r="M1041" s="35" t="s">
        <v>321</v>
      </c>
      <c r="N1041" s="36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39"/>
      <c r="Z1041" s="39"/>
      <c r="AA1041" s="28" t="n">
        <v>3</v>
      </c>
      <c r="AMJ1041" s="0"/>
    </row>
    <row r="1042" s="2" customFormat="true" ht="12.75" hidden="false" customHeight="true" outlineLevel="0" collapsed="false">
      <c r="A1042" s="27" t="s">
        <v>2056</v>
      </c>
      <c r="B1042" s="27" t="s">
        <v>103</v>
      </c>
      <c r="C1042" s="28" t="s">
        <v>121</v>
      </c>
      <c r="D1042" s="27" t="s">
        <v>1536</v>
      </c>
      <c r="E1042" s="27" t="s">
        <v>2035</v>
      </c>
      <c r="F1042" s="29" t="s">
        <v>2036</v>
      </c>
      <c r="G1042" s="30" t="n">
        <v>75015</v>
      </c>
      <c r="H1042" s="31" t="s">
        <v>36</v>
      </c>
      <c r="I1042" s="32" t="n">
        <v>153584080</v>
      </c>
      <c r="J1042" s="33" t="n">
        <v>253</v>
      </c>
      <c r="K1042" s="33" t="n">
        <v>6</v>
      </c>
      <c r="L1042" s="34" t="n">
        <v>1</v>
      </c>
      <c r="M1042" s="35" t="s">
        <v>321</v>
      </c>
      <c r="N1042" s="36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39" t="n">
        <v>45177.4166666667</v>
      </c>
      <c r="Z1042" s="39"/>
      <c r="AA1042" s="28" t="n">
        <v>3</v>
      </c>
      <c r="AMJ1042" s="0"/>
    </row>
    <row r="1043" s="2" customFormat="true" ht="12.75" hidden="false" customHeight="true" outlineLevel="0" collapsed="false">
      <c r="A1043" s="27" t="s">
        <v>2057</v>
      </c>
      <c r="B1043" s="27" t="s">
        <v>2058</v>
      </c>
      <c r="C1043" s="28" t="s">
        <v>33</v>
      </c>
      <c r="D1043" s="27" t="s">
        <v>1536</v>
      </c>
      <c r="E1043" s="27" t="s">
        <v>2035</v>
      </c>
      <c r="F1043" s="29" t="s">
        <v>2036</v>
      </c>
      <c r="G1043" s="30" t="n">
        <v>75015</v>
      </c>
      <c r="H1043" s="31" t="s">
        <v>36</v>
      </c>
      <c r="I1043" s="32" t="n">
        <v>156586300</v>
      </c>
      <c r="J1043" s="33" t="n">
        <v>38</v>
      </c>
      <c r="K1043" s="33" t="n">
        <v>1</v>
      </c>
      <c r="L1043" s="34"/>
      <c r="M1043" s="44" t="s">
        <v>321</v>
      </c>
      <c r="N1043" s="36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9"/>
      <c r="Z1043" s="39"/>
      <c r="AA1043" s="28"/>
      <c r="AC1043" s="2" t="s">
        <v>38</v>
      </c>
      <c r="AMJ1043" s="0"/>
    </row>
    <row r="1044" s="2" customFormat="true" ht="12.75" hidden="false" customHeight="true" outlineLevel="0" collapsed="false">
      <c r="A1044" s="27" t="s">
        <v>2059</v>
      </c>
      <c r="B1044" s="27" t="s">
        <v>2060</v>
      </c>
      <c r="C1044" s="28" t="s">
        <v>33</v>
      </c>
      <c r="D1044" s="27" t="s">
        <v>1536</v>
      </c>
      <c r="E1044" s="27"/>
      <c r="F1044" s="29" t="s">
        <v>2061</v>
      </c>
      <c r="G1044" s="30" t="n">
        <v>75015</v>
      </c>
      <c r="H1044" s="31" t="s">
        <v>36</v>
      </c>
      <c r="I1044" s="32" t="n">
        <v>143069358</v>
      </c>
      <c r="J1044" s="33" t="n">
        <v>61</v>
      </c>
      <c r="K1044" s="33" t="n">
        <v>1</v>
      </c>
      <c r="L1044" s="34"/>
      <c r="M1044" s="35"/>
      <c r="N1044" s="36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9"/>
      <c r="Z1044" s="39"/>
      <c r="AA1044" s="28"/>
      <c r="AC1044" s="2" t="s">
        <v>38</v>
      </c>
      <c r="AMJ1044" s="0"/>
    </row>
    <row r="1045" s="2" customFormat="true" ht="12.75" hidden="false" customHeight="true" outlineLevel="0" collapsed="false">
      <c r="A1045" s="27" t="s">
        <v>2062</v>
      </c>
      <c r="B1045" s="27" t="s">
        <v>2063</v>
      </c>
      <c r="C1045" s="28" t="s">
        <v>33</v>
      </c>
      <c r="D1045" s="27" t="s">
        <v>1536</v>
      </c>
      <c r="E1045" s="27"/>
      <c r="F1045" s="29" t="s">
        <v>2064</v>
      </c>
      <c r="G1045" s="30" t="n">
        <v>75015</v>
      </c>
      <c r="H1045" s="31" t="s">
        <v>36</v>
      </c>
      <c r="I1045" s="32" t="n">
        <v>145335533</v>
      </c>
      <c r="J1045" s="33" t="n">
        <v>51</v>
      </c>
      <c r="K1045" s="33" t="n">
        <v>0</v>
      </c>
      <c r="L1045" s="34"/>
      <c r="M1045" s="35"/>
      <c r="N1045" s="36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9"/>
      <c r="Z1045" s="39"/>
      <c r="AA1045" s="28"/>
      <c r="AC1045" s="2" t="s">
        <v>1484</v>
      </c>
      <c r="AMJ1045" s="0"/>
    </row>
    <row r="1046" s="2" customFormat="true" ht="12.75" hidden="false" customHeight="true" outlineLevel="0" collapsed="false">
      <c r="A1046" s="27" t="s">
        <v>2065</v>
      </c>
      <c r="B1046" s="27" t="s">
        <v>344</v>
      </c>
      <c r="C1046" s="28" t="s">
        <v>41</v>
      </c>
      <c r="D1046" s="27" t="s">
        <v>1536</v>
      </c>
      <c r="E1046" s="27"/>
      <c r="F1046" s="29" t="s">
        <v>2066</v>
      </c>
      <c r="G1046" s="30" t="n">
        <v>75015</v>
      </c>
      <c r="H1046" s="31" t="s">
        <v>36</v>
      </c>
      <c r="I1046" s="32" t="n">
        <v>143216885</v>
      </c>
      <c r="J1046" s="33" t="n">
        <v>199</v>
      </c>
      <c r="K1046" s="33" t="n">
        <v>2</v>
      </c>
      <c r="L1046" s="34"/>
      <c r="M1046" s="35"/>
      <c r="N1046" s="36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9"/>
      <c r="Z1046" s="39"/>
      <c r="AA1046" s="28"/>
      <c r="AMJ1046" s="0"/>
    </row>
    <row r="1047" s="2" customFormat="true" ht="12.75" hidden="false" customHeight="true" outlineLevel="0" collapsed="false">
      <c r="A1047" s="27" t="s">
        <v>1443</v>
      </c>
      <c r="B1047" s="27" t="s">
        <v>1118</v>
      </c>
      <c r="C1047" s="28" t="s">
        <v>138</v>
      </c>
      <c r="D1047" s="27" t="s">
        <v>1536</v>
      </c>
      <c r="E1047" s="27"/>
      <c r="F1047" s="29" t="s">
        <v>2067</v>
      </c>
      <c r="G1047" s="30" t="n">
        <v>75015</v>
      </c>
      <c r="H1047" s="31" t="s">
        <v>36</v>
      </c>
      <c r="I1047" s="32" t="n">
        <v>186478490</v>
      </c>
      <c r="J1047" s="33" t="n">
        <v>217</v>
      </c>
      <c r="K1047" s="33" t="n">
        <v>9</v>
      </c>
      <c r="L1047" s="34" t="n">
        <v>1</v>
      </c>
      <c r="M1047" s="44" t="s">
        <v>321</v>
      </c>
      <c r="N1047" s="36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39"/>
      <c r="Z1047" s="39"/>
      <c r="AA1047" s="28" t="n">
        <v>3</v>
      </c>
      <c r="AMJ1047" s="0"/>
    </row>
    <row r="1048" s="2" customFormat="true" ht="12.75" hidden="false" customHeight="true" outlineLevel="0" collapsed="false">
      <c r="A1048" s="27" t="s">
        <v>2068</v>
      </c>
      <c r="B1048" s="27" t="s">
        <v>889</v>
      </c>
      <c r="C1048" s="28" t="s">
        <v>138</v>
      </c>
      <c r="D1048" s="27" t="s">
        <v>1536</v>
      </c>
      <c r="E1048" s="27"/>
      <c r="F1048" s="29" t="s">
        <v>2069</v>
      </c>
      <c r="G1048" s="30" t="n">
        <v>75015</v>
      </c>
      <c r="H1048" s="31" t="s">
        <v>36</v>
      </c>
      <c r="I1048" s="32" t="n">
        <v>156082123</v>
      </c>
      <c r="J1048" s="33" t="n">
        <v>103</v>
      </c>
      <c r="K1048" s="33" t="n">
        <v>1</v>
      </c>
      <c r="L1048" s="34"/>
      <c r="M1048" s="35"/>
      <c r="N1048" s="36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9"/>
      <c r="Z1048" s="39"/>
      <c r="AA1048" s="28"/>
      <c r="AMJ1048" s="0"/>
    </row>
    <row r="1049" s="2" customFormat="true" ht="12.75" hidden="false" customHeight="true" outlineLevel="0" collapsed="false">
      <c r="A1049" s="27" t="s">
        <v>2070</v>
      </c>
      <c r="B1049" s="27" t="s">
        <v>2071</v>
      </c>
      <c r="C1049" s="28" t="s">
        <v>41</v>
      </c>
      <c r="D1049" s="27" t="s">
        <v>1536</v>
      </c>
      <c r="E1049" s="27"/>
      <c r="F1049" s="29" t="s">
        <v>256</v>
      </c>
      <c r="G1049" s="30" t="n">
        <v>75015</v>
      </c>
      <c r="H1049" s="31" t="s">
        <v>36</v>
      </c>
      <c r="I1049" s="32"/>
      <c r="J1049" s="33" t="n">
        <v>158</v>
      </c>
      <c r="K1049" s="33" t="n">
        <v>8</v>
      </c>
      <c r="L1049" s="34"/>
      <c r="M1049" s="35"/>
      <c r="N1049" s="36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9"/>
      <c r="Z1049" s="39"/>
      <c r="AA1049" s="28"/>
      <c r="AMJ1049" s="0"/>
    </row>
    <row r="1050" s="2" customFormat="true" ht="12.75" hidden="false" customHeight="true" outlineLevel="0" collapsed="false">
      <c r="A1050" s="27" t="s">
        <v>2072</v>
      </c>
      <c r="B1050" s="27" t="s">
        <v>250</v>
      </c>
      <c r="C1050" s="28" t="s">
        <v>121</v>
      </c>
      <c r="D1050" s="27" t="s">
        <v>1536</v>
      </c>
      <c r="E1050" s="27"/>
      <c r="F1050" s="29" t="s">
        <v>256</v>
      </c>
      <c r="G1050" s="30" t="n">
        <v>75015</v>
      </c>
      <c r="H1050" s="31" t="s">
        <v>36</v>
      </c>
      <c r="I1050" s="32" t="n">
        <v>144496785</v>
      </c>
      <c r="J1050" s="33" t="n">
        <v>400</v>
      </c>
      <c r="K1050" s="33"/>
      <c r="L1050" s="34"/>
      <c r="M1050" s="35"/>
      <c r="N1050" s="36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9"/>
      <c r="Z1050" s="39"/>
      <c r="AA1050" s="28"/>
      <c r="AMJ1050" s="0"/>
    </row>
    <row r="1051" s="2" customFormat="true" ht="12.75" hidden="false" customHeight="true" outlineLevel="0" collapsed="false">
      <c r="A1051" s="27" t="s">
        <v>2073</v>
      </c>
      <c r="B1051" s="27" t="s">
        <v>344</v>
      </c>
      <c r="C1051" s="28" t="s">
        <v>121</v>
      </c>
      <c r="D1051" s="27" t="s">
        <v>1536</v>
      </c>
      <c r="E1051" s="27"/>
      <c r="F1051" s="29" t="s">
        <v>256</v>
      </c>
      <c r="G1051" s="30" t="n">
        <v>75015</v>
      </c>
      <c r="H1051" s="31" t="s">
        <v>36</v>
      </c>
      <c r="I1051" s="32"/>
      <c r="J1051" s="33" t="n">
        <v>252</v>
      </c>
      <c r="K1051" s="33" t="n">
        <v>6</v>
      </c>
      <c r="L1051" s="34"/>
      <c r="M1051" s="35"/>
      <c r="N1051" s="36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9"/>
      <c r="Z1051" s="39"/>
      <c r="AA1051" s="28"/>
      <c r="AMJ1051" s="0"/>
    </row>
    <row r="1052" s="2" customFormat="true" ht="12.75" hidden="false" customHeight="true" outlineLevel="0" collapsed="false">
      <c r="A1052" s="27" t="s">
        <v>2074</v>
      </c>
      <c r="B1052" s="27" t="s">
        <v>470</v>
      </c>
      <c r="C1052" s="28" t="s">
        <v>33</v>
      </c>
      <c r="D1052" s="27" t="s">
        <v>1536</v>
      </c>
      <c r="E1052" s="27"/>
      <c r="F1052" s="29" t="s">
        <v>2075</v>
      </c>
      <c r="G1052" s="30" t="n">
        <v>75015</v>
      </c>
      <c r="H1052" s="31" t="s">
        <v>36</v>
      </c>
      <c r="I1052" s="32" t="n">
        <v>145490534</v>
      </c>
      <c r="J1052" s="33" t="n">
        <v>62</v>
      </c>
      <c r="K1052" s="33" t="n">
        <v>1</v>
      </c>
      <c r="L1052" s="34"/>
      <c r="M1052" s="35"/>
      <c r="N1052" s="36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9"/>
      <c r="Z1052" s="39"/>
      <c r="AA1052" s="28"/>
      <c r="AC1052" s="2" t="s">
        <v>38</v>
      </c>
      <c r="AMJ1052" s="0"/>
    </row>
    <row r="1053" s="2" customFormat="true" ht="12.75" hidden="false" customHeight="true" outlineLevel="0" collapsed="false">
      <c r="A1053" s="27" t="s">
        <v>690</v>
      </c>
      <c r="B1053" s="27" t="s">
        <v>691</v>
      </c>
      <c r="C1053" s="28" t="s">
        <v>41</v>
      </c>
      <c r="D1053" s="27" t="s">
        <v>1536</v>
      </c>
      <c r="E1053" s="27"/>
      <c r="F1053" s="29" t="s">
        <v>2076</v>
      </c>
      <c r="G1053" s="30" t="n">
        <v>75015</v>
      </c>
      <c r="H1053" s="31" t="s">
        <v>36</v>
      </c>
      <c r="I1053" s="32" t="n">
        <v>145316402</v>
      </c>
      <c r="J1053" s="33" t="n">
        <v>647</v>
      </c>
      <c r="K1053" s="33" t="n">
        <v>6</v>
      </c>
      <c r="L1053" s="34"/>
      <c r="M1053" s="35" t="s">
        <v>164</v>
      </c>
      <c r="N1053" s="36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9"/>
      <c r="Z1053" s="39"/>
      <c r="AA1053" s="28"/>
      <c r="AMJ1053" s="0"/>
    </row>
    <row r="1054" s="2" customFormat="true" ht="12.75" hidden="false" customHeight="true" outlineLevel="0" collapsed="false">
      <c r="A1054" s="27" t="s">
        <v>2077</v>
      </c>
      <c r="B1054" s="27" t="s">
        <v>1661</v>
      </c>
      <c r="C1054" s="28" t="s">
        <v>41</v>
      </c>
      <c r="D1054" s="27" t="s">
        <v>1536</v>
      </c>
      <c r="E1054" s="27"/>
      <c r="F1054" s="29" t="s">
        <v>2076</v>
      </c>
      <c r="G1054" s="30" t="n">
        <v>75015</v>
      </c>
      <c r="H1054" s="31" t="s">
        <v>36</v>
      </c>
      <c r="I1054" s="32" t="n">
        <v>145316402</v>
      </c>
      <c r="J1054" s="33" t="n">
        <v>150</v>
      </c>
      <c r="K1054" s="33" t="n">
        <v>7</v>
      </c>
      <c r="L1054" s="34"/>
      <c r="M1054" s="35" t="s">
        <v>321</v>
      </c>
      <c r="N1054" s="36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9"/>
      <c r="Z1054" s="39"/>
      <c r="AA1054" s="28"/>
      <c r="AMJ1054" s="0"/>
    </row>
    <row r="1055" s="2" customFormat="true" ht="12.75" hidden="false" customHeight="true" outlineLevel="0" collapsed="false">
      <c r="A1055" s="27" t="s">
        <v>528</v>
      </c>
      <c r="B1055" s="27" t="s">
        <v>1110</v>
      </c>
      <c r="C1055" s="28" t="s">
        <v>41</v>
      </c>
      <c r="D1055" s="27" t="s">
        <v>1536</v>
      </c>
      <c r="E1055" s="27"/>
      <c r="F1055" s="29" t="s">
        <v>2076</v>
      </c>
      <c r="G1055" s="30" t="n">
        <v>75015</v>
      </c>
      <c r="H1055" s="31" t="s">
        <v>36</v>
      </c>
      <c r="I1055" s="32" t="n">
        <v>145316402</v>
      </c>
      <c r="J1055" s="33" t="n">
        <v>113</v>
      </c>
      <c r="K1055" s="33" t="n">
        <v>2</v>
      </c>
      <c r="L1055" s="34"/>
      <c r="M1055" s="35" t="s">
        <v>321</v>
      </c>
      <c r="N1055" s="36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9" t="n">
        <v>45190.4930555556</v>
      </c>
      <c r="Z1055" s="39"/>
      <c r="AA1055" s="28"/>
      <c r="AMJ1055" s="0"/>
    </row>
    <row r="1056" s="2" customFormat="true" ht="12.75" hidden="false" customHeight="true" outlineLevel="0" collapsed="false">
      <c r="A1056" s="27" t="s">
        <v>2078</v>
      </c>
      <c r="B1056" s="27" t="s">
        <v>182</v>
      </c>
      <c r="C1056" s="28" t="s">
        <v>41</v>
      </c>
      <c r="D1056" s="27" t="s">
        <v>1536</v>
      </c>
      <c r="E1056" s="27"/>
      <c r="F1056" s="29" t="s">
        <v>2079</v>
      </c>
      <c r="G1056" s="30" t="n">
        <v>75015</v>
      </c>
      <c r="H1056" s="31" t="s">
        <v>36</v>
      </c>
      <c r="I1056" s="32" t="n">
        <v>153589150</v>
      </c>
      <c r="J1056" s="33" t="n">
        <v>236</v>
      </c>
      <c r="K1056" s="33" t="n">
        <v>1</v>
      </c>
      <c r="L1056" s="34"/>
      <c r="M1056" s="35"/>
      <c r="N1056" s="36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9"/>
      <c r="Z1056" s="39"/>
      <c r="AA1056" s="28"/>
      <c r="AMJ1056" s="0"/>
    </row>
    <row r="1057" s="2" customFormat="true" ht="12.75" hidden="false" customHeight="true" outlineLevel="0" collapsed="false">
      <c r="A1057" s="27" t="s">
        <v>883</v>
      </c>
      <c r="B1057" s="27" t="s">
        <v>884</v>
      </c>
      <c r="C1057" s="28" t="s">
        <v>41</v>
      </c>
      <c r="D1057" s="27" t="s">
        <v>1536</v>
      </c>
      <c r="E1057" s="27"/>
      <c r="F1057" s="29" t="s">
        <v>2080</v>
      </c>
      <c r="G1057" s="30" t="n">
        <v>75015</v>
      </c>
      <c r="H1057" s="31" t="s">
        <v>36</v>
      </c>
      <c r="I1057" s="32" t="n">
        <v>149114658</v>
      </c>
      <c r="J1057" s="33" t="n">
        <v>179</v>
      </c>
      <c r="K1057" s="33" t="n">
        <v>2</v>
      </c>
      <c r="L1057" s="34"/>
      <c r="M1057" s="35"/>
      <c r="N1057" s="36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9"/>
      <c r="Z1057" s="39"/>
      <c r="AA1057" s="28"/>
      <c r="AMJ1057" s="0"/>
    </row>
    <row r="1058" s="2" customFormat="true" ht="12.75" hidden="false" customHeight="true" outlineLevel="0" collapsed="false">
      <c r="A1058" s="27" t="s">
        <v>2081</v>
      </c>
      <c r="B1058" s="27" t="s">
        <v>88</v>
      </c>
      <c r="C1058" s="28" t="s">
        <v>41</v>
      </c>
      <c r="D1058" s="27" t="s">
        <v>1536</v>
      </c>
      <c r="E1058" s="27"/>
      <c r="F1058" s="29" t="s">
        <v>2082</v>
      </c>
      <c r="G1058" s="30" t="n">
        <v>75015</v>
      </c>
      <c r="H1058" s="31" t="s">
        <v>36</v>
      </c>
      <c r="I1058" s="32" t="n">
        <v>148285897</v>
      </c>
      <c r="J1058" s="33" t="n">
        <v>272</v>
      </c>
      <c r="K1058" s="33" t="n">
        <v>1</v>
      </c>
      <c r="L1058" s="34"/>
      <c r="M1058" s="35"/>
      <c r="N1058" s="36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9"/>
      <c r="Z1058" s="39"/>
      <c r="AA1058" s="28"/>
      <c r="AMJ1058" s="0"/>
    </row>
    <row r="1059" s="2" customFormat="true" ht="12.75" hidden="false" customHeight="true" outlineLevel="0" collapsed="false">
      <c r="A1059" s="27" t="s">
        <v>2083</v>
      </c>
      <c r="B1059" s="27" t="s">
        <v>1038</v>
      </c>
      <c r="C1059" s="28" t="s">
        <v>41</v>
      </c>
      <c r="D1059" s="27" t="s">
        <v>1536</v>
      </c>
      <c r="E1059" s="27"/>
      <c r="F1059" s="29" t="s">
        <v>2084</v>
      </c>
      <c r="G1059" s="30" t="n">
        <v>75015</v>
      </c>
      <c r="H1059" s="31" t="s">
        <v>36</v>
      </c>
      <c r="I1059" s="32" t="n">
        <v>145440261</v>
      </c>
      <c r="J1059" s="33" t="n">
        <v>215</v>
      </c>
      <c r="K1059" s="33" t="n">
        <v>1</v>
      </c>
      <c r="L1059" s="34"/>
      <c r="M1059" s="35"/>
      <c r="N1059" s="36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9"/>
      <c r="Z1059" s="39"/>
      <c r="AA1059" s="28"/>
      <c r="AMJ1059" s="0"/>
    </row>
    <row r="1060" s="2" customFormat="true" ht="12.75" hidden="false" customHeight="true" outlineLevel="0" collapsed="false">
      <c r="A1060" s="27" t="s">
        <v>2085</v>
      </c>
      <c r="B1060" s="27" t="s">
        <v>273</v>
      </c>
      <c r="C1060" s="28" t="s">
        <v>33</v>
      </c>
      <c r="D1060" s="27" t="s">
        <v>1536</v>
      </c>
      <c r="E1060" s="27"/>
      <c r="F1060" s="29" t="s">
        <v>2084</v>
      </c>
      <c r="G1060" s="30" t="n">
        <v>75015</v>
      </c>
      <c r="H1060" s="31" t="s">
        <v>36</v>
      </c>
      <c r="I1060" s="32" t="n">
        <v>142651557</v>
      </c>
      <c r="J1060" s="33" t="n">
        <v>64</v>
      </c>
      <c r="K1060" s="33" t="n">
        <v>1</v>
      </c>
      <c r="L1060" s="34"/>
      <c r="M1060" s="35"/>
      <c r="N1060" s="36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9"/>
      <c r="Z1060" s="39"/>
      <c r="AA1060" s="28"/>
      <c r="AC1060" s="2" t="s">
        <v>1484</v>
      </c>
      <c r="AMJ1060" s="0"/>
    </row>
    <row r="1061" s="2" customFormat="true" ht="12.75" hidden="false" customHeight="true" outlineLevel="0" collapsed="false">
      <c r="A1061" s="27" t="s">
        <v>2086</v>
      </c>
      <c r="B1061" s="27" t="s">
        <v>2087</v>
      </c>
      <c r="C1061" s="28" t="s">
        <v>33</v>
      </c>
      <c r="D1061" s="27" t="s">
        <v>1536</v>
      </c>
      <c r="E1061" s="27"/>
      <c r="F1061" s="29" t="s">
        <v>2084</v>
      </c>
      <c r="G1061" s="30" t="n">
        <v>75015</v>
      </c>
      <c r="H1061" s="31" t="s">
        <v>36</v>
      </c>
      <c r="I1061" s="32" t="n">
        <v>142651557</v>
      </c>
      <c r="J1061" s="33" t="n">
        <v>61</v>
      </c>
      <c r="K1061" s="33" t="n">
        <v>0</v>
      </c>
      <c r="L1061" s="34"/>
      <c r="M1061" s="35"/>
      <c r="N1061" s="36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9"/>
      <c r="Z1061" s="39"/>
      <c r="AA1061" s="28"/>
      <c r="AC1061" s="2" t="s">
        <v>38</v>
      </c>
      <c r="AMJ1061" s="0"/>
    </row>
    <row r="1062" s="2" customFormat="true" ht="12.75" hidden="false" customHeight="true" outlineLevel="0" collapsed="false">
      <c r="A1062" s="27" t="s">
        <v>2088</v>
      </c>
      <c r="B1062" s="27" t="s">
        <v>157</v>
      </c>
      <c r="C1062" s="28" t="s">
        <v>33</v>
      </c>
      <c r="D1062" s="27" t="s">
        <v>1536</v>
      </c>
      <c r="E1062" s="27"/>
      <c r="F1062" s="29" t="s">
        <v>2089</v>
      </c>
      <c r="G1062" s="30" t="n">
        <v>75015</v>
      </c>
      <c r="H1062" s="31" t="s">
        <v>36</v>
      </c>
      <c r="I1062" s="32" t="n">
        <v>145310306</v>
      </c>
      <c r="J1062" s="33" t="n">
        <v>53</v>
      </c>
      <c r="K1062" s="33" t="n">
        <v>0</v>
      </c>
      <c r="L1062" s="34"/>
      <c r="M1062" s="35"/>
      <c r="N1062" s="36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9"/>
      <c r="Z1062" s="39"/>
      <c r="AA1062" s="28"/>
      <c r="AC1062" s="2" t="s">
        <v>38</v>
      </c>
      <c r="AMJ1062" s="0"/>
    </row>
    <row r="1063" s="2" customFormat="true" ht="12.75" hidden="false" customHeight="true" outlineLevel="0" collapsed="false">
      <c r="A1063" s="27" t="s">
        <v>2090</v>
      </c>
      <c r="B1063" s="27" t="s">
        <v>217</v>
      </c>
      <c r="C1063" s="28" t="s">
        <v>138</v>
      </c>
      <c r="D1063" s="27" t="s">
        <v>1536</v>
      </c>
      <c r="E1063" s="27"/>
      <c r="F1063" s="29" t="s">
        <v>2091</v>
      </c>
      <c r="G1063" s="30" t="n">
        <v>75015</v>
      </c>
      <c r="H1063" s="31" t="s">
        <v>36</v>
      </c>
      <c r="I1063" s="32" t="n">
        <v>143369769</v>
      </c>
      <c r="J1063" s="33" t="n">
        <v>106</v>
      </c>
      <c r="K1063" s="33" t="n">
        <v>1</v>
      </c>
      <c r="L1063" s="34"/>
      <c r="M1063" s="35"/>
      <c r="N1063" s="36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9"/>
      <c r="Z1063" s="39"/>
      <c r="AA1063" s="28"/>
      <c r="AMJ1063" s="0"/>
    </row>
    <row r="1064" s="2" customFormat="true" ht="12.75" hidden="false" customHeight="true" outlineLevel="0" collapsed="false">
      <c r="A1064" s="27" t="s">
        <v>2092</v>
      </c>
      <c r="B1064" s="27" t="s">
        <v>596</v>
      </c>
      <c r="C1064" s="28" t="s">
        <v>33</v>
      </c>
      <c r="D1064" s="27" t="s">
        <v>1536</v>
      </c>
      <c r="E1064" s="27"/>
      <c r="F1064" s="29" t="s">
        <v>2093</v>
      </c>
      <c r="G1064" s="30" t="n">
        <v>75015</v>
      </c>
      <c r="H1064" s="31" t="s">
        <v>36</v>
      </c>
      <c r="I1064" s="32" t="n">
        <v>143226534</v>
      </c>
      <c r="J1064" s="33" t="n">
        <v>61</v>
      </c>
      <c r="K1064" s="33" t="n">
        <v>0</v>
      </c>
      <c r="L1064" s="34"/>
      <c r="M1064" s="35"/>
      <c r="N1064" s="36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9"/>
      <c r="Z1064" s="39"/>
      <c r="AA1064" s="28"/>
      <c r="AC1064" s="2" t="s">
        <v>1478</v>
      </c>
      <c r="AMJ1064" s="0"/>
    </row>
    <row r="1065" s="2" customFormat="true" ht="12.75" hidden="false" customHeight="true" outlineLevel="0" collapsed="false">
      <c r="A1065" s="27" t="s">
        <v>2094</v>
      </c>
      <c r="B1065" s="27" t="s">
        <v>2095</v>
      </c>
      <c r="C1065" s="28" t="s">
        <v>41</v>
      </c>
      <c r="D1065" s="27" t="s">
        <v>1536</v>
      </c>
      <c r="E1065" s="27"/>
      <c r="F1065" s="29" t="s">
        <v>2096</v>
      </c>
      <c r="G1065" s="30" t="n">
        <v>75015</v>
      </c>
      <c r="H1065" s="31" t="s">
        <v>36</v>
      </c>
      <c r="I1065" s="32" t="n">
        <v>145485676</v>
      </c>
      <c r="J1065" s="33" t="n">
        <v>323</v>
      </c>
      <c r="K1065" s="33" t="n">
        <v>25</v>
      </c>
      <c r="L1065" s="34"/>
      <c r="M1065" s="43" t="s">
        <v>155</v>
      </c>
      <c r="N1065" s="36" t="s">
        <v>164</v>
      </c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9" t="n">
        <v>45190.5972222222</v>
      </c>
      <c r="Z1065" s="39"/>
      <c r="AA1065" s="28"/>
      <c r="AB1065" s="4"/>
      <c r="AC1065" s="4"/>
      <c r="AD1065" s="4"/>
      <c r="AE1065" s="4"/>
      <c r="AMJ1065" s="0"/>
    </row>
    <row r="1066" s="2" customFormat="true" ht="12.75" hidden="false" customHeight="true" outlineLevel="0" collapsed="false">
      <c r="A1066" s="27" t="s">
        <v>2097</v>
      </c>
      <c r="B1066" s="27" t="s">
        <v>177</v>
      </c>
      <c r="C1066" s="28" t="s">
        <v>41</v>
      </c>
      <c r="D1066" s="27" t="s">
        <v>1536</v>
      </c>
      <c r="E1066" s="27"/>
      <c r="F1066" s="29" t="s">
        <v>2096</v>
      </c>
      <c r="G1066" s="30" t="n">
        <v>75015</v>
      </c>
      <c r="H1066" s="31" t="s">
        <v>36</v>
      </c>
      <c r="I1066" s="32" t="n">
        <v>145485676</v>
      </c>
      <c r="J1066" s="33" t="n">
        <v>93</v>
      </c>
      <c r="K1066" s="33" t="n">
        <v>1</v>
      </c>
      <c r="L1066" s="34" t="n">
        <v>1</v>
      </c>
      <c r="M1066" s="35" t="s">
        <v>321</v>
      </c>
      <c r="N1066" s="36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39"/>
      <c r="Z1066" s="39"/>
      <c r="AA1066" s="28"/>
      <c r="AMJ1066" s="0"/>
    </row>
    <row r="1067" s="2" customFormat="true" ht="12.75" hidden="false" customHeight="true" outlineLevel="0" collapsed="false">
      <c r="A1067" s="27" t="s">
        <v>2098</v>
      </c>
      <c r="B1067" s="27" t="s">
        <v>1279</v>
      </c>
      <c r="C1067" s="28" t="s">
        <v>121</v>
      </c>
      <c r="D1067" s="27" t="s">
        <v>1536</v>
      </c>
      <c r="E1067" s="27"/>
      <c r="F1067" s="29" t="s">
        <v>2099</v>
      </c>
      <c r="G1067" s="30" t="n">
        <v>75015</v>
      </c>
      <c r="H1067" s="31" t="s">
        <v>36</v>
      </c>
      <c r="I1067" s="32" t="n">
        <v>143223009</v>
      </c>
      <c r="J1067" s="33" t="n">
        <v>280</v>
      </c>
      <c r="K1067" s="33" t="n">
        <v>1</v>
      </c>
      <c r="L1067" s="34"/>
      <c r="M1067" s="35"/>
      <c r="N1067" s="36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9"/>
      <c r="Z1067" s="39"/>
      <c r="AA1067" s="28"/>
      <c r="AMJ1067" s="0"/>
    </row>
    <row r="1068" s="2" customFormat="true" ht="12.75" hidden="false" customHeight="true" outlineLevel="0" collapsed="false">
      <c r="A1068" s="27" t="s">
        <v>1368</v>
      </c>
      <c r="B1068" s="27" t="s">
        <v>2100</v>
      </c>
      <c r="C1068" s="28" t="s">
        <v>41</v>
      </c>
      <c r="D1068" s="27" t="s">
        <v>1536</v>
      </c>
      <c r="E1068" s="27"/>
      <c r="F1068" s="29" t="s">
        <v>2101</v>
      </c>
      <c r="G1068" s="30" t="n">
        <v>75015</v>
      </c>
      <c r="H1068" s="31" t="s">
        <v>36</v>
      </c>
      <c r="I1068" s="32" t="n">
        <v>145666980</v>
      </c>
      <c r="J1068" s="33" t="n">
        <v>168</v>
      </c>
      <c r="K1068" s="33" t="n">
        <v>18</v>
      </c>
      <c r="L1068" s="34"/>
      <c r="M1068" s="35" t="s">
        <v>700</v>
      </c>
      <c r="N1068" s="36" t="s">
        <v>110</v>
      </c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9" t="n">
        <v>45190.6458333333</v>
      </c>
      <c r="Z1068" s="39"/>
      <c r="AA1068" s="28"/>
      <c r="AMJ1068" s="0"/>
    </row>
    <row r="1069" s="2" customFormat="true" ht="12.75" hidden="false" customHeight="true" outlineLevel="0" collapsed="false">
      <c r="A1069" s="27" t="s">
        <v>2102</v>
      </c>
      <c r="B1069" s="27" t="s">
        <v>32</v>
      </c>
      <c r="C1069" s="28" t="s">
        <v>41</v>
      </c>
      <c r="D1069" s="27" t="s">
        <v>1536</v>
      </c>
      <c r="E1069" s="27"/>
      <c r="F1069" s="29" t="s">
        <v>2103</v>
      </c>
      <c r="G1069" s="30" t="n">
        <v>75015</v>
      </c>
      <c r="H1069" s="31" t="s">
        <v>36</v>
      </c>
      <c r="I1069" s="32" t="n">
        <v>171266292</v>
      </c>
      <c r="J1069" s="33" t="n">
        <v>293</v>
      </c>
      <c r="K1069" s="33" t="n">
        <v>1</v>
      </c>
      <c r="L1069" s="34"/>
      <c r="M1069" s="35"/>
      <c r="N1069" s="36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9"/>
      <c r="Z1069" s="39"/>
      <c r="AA1069" s="28"/>
      <c r="AMJ1069" s="0"/>
    </row>
    <row r="1070" s="2" customFormat="true" ht="12.75" hidden="false" customHeight="true" outlineLevel="0" collapsed="false">
      <c r="A1070" s="27" t="s">
        <v>1426</v>
      </c>
      <c r="B1070" s="27" t="s">
        <v>205</v>
      </c>
      <c r="C1070" s="28" t="s">
        <v>41</v>
      </c>
      <c r="D1070" s="27" t="s">
        <v>1536</v>
      </c>
      <c r="E1070" s="27"/>
      <c r="F1070" s="29" t="s">
        <v>2103</v>
      </c>
      <c r="G1070" s="30" t="n">
        <v>75015</v>
      </c>
      <c r="H1070" s="31" t="s">
        <v>36</v>
      </c>
      <c r="I1070" s="32" t="n">
        <v>171266292</v>
      </c>
      <c r="J1070" s="33" t="n">
        <v>0</v>
      </c>
      <c r="K1070" s="33" t="n">
        <v>2</v>
      </c>
      <c r="L1070" s="34"/>
      <c r="M1070" s="35"/>
      <c r="N1070" s="36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9"/>
      <c r="Z1070" s="39"/>
      <c r="AA1070" s="28"/>
      <c r="AMJ1070" s="0"/>
    </row>
    <row r="1071" s="2" customFormat="true" ht="12.75" hidden="false" customHeight="true" outlineLevel="0" collapsed="false">
      <c r="A1071" s="27" t="s">
        <v>2104</v>
      </c>
      <c r="B1071" s="27" t="s">
        <v>177</v>
      </c>
      <c r="C1071" s="28" t="s">
        <v>41</v>
      </c>
      <c r="D1071" s="27" t="s">
        <v>1536</v>
      </c>
      <c r="E1071" s="27"/>
      <c r="F1071" s="29" t="s">
        <v>2105</v>
      </c>
      <c r="G1071" s="30" t="n">
        <v>75015</v>
      </c>
      <c r="H1071" s="31" t="s">
        <v>36</v>
      </c>
      <c r="I1071" s="32"/>
      <c r="J1071" s="33" t="n">
        <v>216</v>
      </c>
      <c r="K1071" s="33" t="n">
        <v>6</v>
      </c>
      <c r="L1071" s="34"/>
      <c r="M1071" s="35"/>
      <c r="N1071" s="36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9"/>
      <c r="Z1071" s="39"/>
      <c r="AA1071" s="28"/>
      <c r="AMJ1071" s="0"/>
    </row>
    <row r="1072" s="2" customFormat="true" ht="12.75" hidden="false" customHeight="true" outlineLevel="0" collapsed="false">
      <c r="A1072" s="27" t="s">
        <v>2106</v>
      </c>
      <c r="B1072" s="27" t="s">
        <v>2107</v>
      </c>
      <c r="C1072" s="28" t="s">
        <v>138</v>
      </c>
      <c r="D1072" s="27" t="s">
        <v>1536</v>
      </c>
      <c r="E1072" s="27"/>
      <c r="F1072" s="29" t="s">
        <v>2108</v>
      </c>
      <c r="G1072" s="30" t="n">
        <v>75015</v>
      </c>
      <c r="H1072" s="31" t="s">
        <v>36</v>
      </c>
      <c r="I1072" s="32" t="n">
        <v>145676100</v>
      </c>
      <c r="J1072" s="33" t="n">
        <v>73</v>
      </c>
      <c r="K1072" s="33" t="n">
        <v>1</v>
      </c>
      <c r="L1072" s="34"/>
      <c r="M1072" s="35"/>
      <c r="N1072" s="36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9"/>
      <c r="Z1072" s="39"/>
      <c r="AA1072" s="28"/>
      <c r="AMJ1072" s="0"/>
    </row>
    <row r="1073" s="2" customFormat="true" ht="12.75" hidden="false" customHeight="true" outlineLevel="0" collapsed="false">
      <c r="A1073" s="27" t="s">
        <v>2109</v>
      </c>
      <c r="B1073" s="27" t="s">
        <v>2110</v>
      </c>
      <c r="C1073" s="28" t="s">
        <v>121</v>
      </c>
      <c r="D1073" s="27" t="s">
        <v>1536</v>
      </c>
      <c r="E1073" s="27"/>
      <c r="F1073" s="29" t="s">
        <v>2108</v>
      </c>
      <c r="G1073" s="30" t="n">
        <v>75015</v>
      </c>
      <c r="H1073" s="31" t="s">
        <v>36</v>
      </c>
      <c r="I1073" s="32" t="n">
        <v>145676100</v>
      </c>
      <c r="J1073" s="33" t="n">
        <v>313</v>
      </c>
      <c r="K1073" s="33" t="n">
        <v>9</v>
      </c>
      <c r="L1073" s="34" t="n">
        <v>2</v>
      </c>
      <c r="M1073" s="35" t="s">
        <v>164</v>
      </c>
      <c r="N1073" s="36" t="s">
        <v>165</v>
      </c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39" t="n">
        <v>45120.625</v>
      </c>
      <c r="Z1073" s="39"/>
      <c r="AA1073" s="28" t="n">
        <v>3</v>
      </c>
      <c r="AMJ1073" s="0"/>
    </row>
    <row r="1074" s="2" customFormat="true" ht="12.75" hidden="false" customHeight="true" outlineLevel="0" collapsed="false">
      <c r="A1074" s="27" t="s">
        <v>2111</v>
      </c>
      <c r="B1074" s="27" t="s">
        <v>210</v>
      </c>
      <c r="C1074" s="28" t="s">
        <v>33</v>
      </c>
      <c r="D1074" s="27" t="s">
        <v>1536</v>
      </c>
      <c r="E1074" s="27"/>
      <c r="F1074" s="29" t="s">
        <v>2108</v>
      </c>
      <c r="G1074" s="30" t="n">
        <v>75015</v>
      </c>
      <c r="H1074" s="31" t="s">
        <v>36</v>
      </c>
      <c r="I1074" s="32" t="n">
        <v>145676100</v>
      </c>
      <c r="J1074" s="33" t="n">
        <v>54</v>
      </c>
      <c r="K1074" s="33" t="n">
        <v>1</v>
      </c>
      <c r="L1074" s="34"/>
      <c r="M1074" s="35"/>
      <c r="N1074" s="36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9"/>
      <c r="Z1074" s="39"/>
      <c r="AA1074" s="28"/>
      <c r="AC1074" s="2" t="s">
        <v>1484</v>
      </c>
      <c r="AMJ1074" s="0"/>
    </row>
    <row r="1075" s="2" customFormat="true" ht="12.75" hidden="false" customHeight="true" outlineLevel="0" collapsed="false">
      <c r="A1075" s="27" t="s">
        <v>564</v>
      </c>
      <c r="B1075" s="27" t="s">
        <v>280</v>
      </c>
      <c r="C1075" s="28" t="s">
        <v>208</v>
      </c>
      <c r="D1075" s="27" t="s">
        <v>1536</v>
      </c>
      <c r="E1075" s="27"/>
      <c r="F1075" s="29" t="s">
        <v>2112</v>
      </c>
      <c r="G1075" s="30" t="n">
        <v>75015</v>
      </c>
      <c r="H1075" s="31" t="s">
        <v>36</v>
      </c>
      <c r="I1075" s="32" t="n">
        <v>147346494</v>
      </c>
      <c r="J1075" s="33" t="n">
        <v>150</v>
      </c>
      <c r="K1075" s="33" t="n">
        <v>26</v>
      </c>
      <c r="L1075" s="34" t="n">
        <v>2</v>
      </c>
      <c r="M1075" s="43" t="s">
        <v>155</v>
      </c>
      <c r="N1075" s="36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39" t="n">
        <v>45190.40625</v>
      </c>
      <c r="Z1075" s="39" t="n">
        <v>45267.4375</v>
      </c>
      <c r="AA1075" s="28" t="n">
        <v>4</v>
      </c>
      <c r="AMJ1075" s="0"/>
    </row>
    <row r="1076" s="2" customFormat="true" ht="12.75" hidden="false" customHeight="true" outlineLevel="0" collapsed="false">
      <c r="A1076" s="27" t="s">
        <v>2113</v>
      </c>
      <c r="B1076" s="27" t="s">
        <v>714</v>
      </c>
      <c r="C1076" s="28" t="s">
        <v>33</v>
      </c>
      <c r="D1076" s="27" t="s">
        <v>1536</v>
      </c>
      <c r="E1076" s="27"/>
      <c r="F1076" s="29" t="s">
        <v>2114</v>
      </c>
      <c r="G1076" s="30" t="n">
        <v>75015</v>
      </c>
      <c r="H1076" s="31" t="s">
        <v>36</v>
      </c>
      <c r="I1076" s="32" t="n">
        <v>145336445</v>
      </c>
      <c r="J1076" s="33" t="n">
        <v>59</v>
      </c>
      <c r="K1076" s="33" t="n">
        <v>1</v>
      </c>
      <c r="L1076" s="34"/>
      <c r="M1076" s="35"/>
      <c r="N1076" s="36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9"/>
      <c r="Z1076" s="39"/>
      <c r="AA1076" s="28"/>
      <c r="AC1076" s="2" t="s">
        <v>38</v>
      </c>
      <c r="AMJ1076" s="0"/>
    </row>
    <row r="1077" s="2" customFormat="true" ht="12.75" hidden="false" customHeight="true" outlineLevel="0" collapsed="false">
      <c r="A1077" s="27" t="s">
        <v>2115</v>
      </c>
      <c r="B1077" s="27" t="s">
        <v>1258</v>
      </c>
      <c r="C1077" s="28" t="s">
        <v>33</v>
      </c>
      <c r="D1077" s="27" t="s">
        <v>1536</v>
      </c>
      <c r="E1077" s="27"/>
      <c r="F1077" s="29" t="s">
        <v>2116</v>
      </c>
      <c r="G1077" s="30" t="n">
        <v>75015</v>
      </c>
      <c r="H1077" s="31" t="s">
        <v>36</v>
      </c>
      <c r="I1077" s="32"/>
      <c r="J1077" s="33" t="n">
        <v>67</v>
      </c>
      <c r="K1077" s="33" t="n">
        <v>1</v>
      </c>
      <c r="L1077" s="34"/>
      <c r="M1077" s="35"/>
      <c r="N1077" s="36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9"/>
      <c r="Z1077" s="39"/>
      <c r="AA1077" s="28"/>
      <c r="AC1077" s="2" t="s">
        <v>1484</v>
      </c>
      <c r="AMJ1077" s="0"/>
    </row>
    <row r="1078" s="2" customFormat="true" ht="12.75" hidden="false" customHeight="true" outlineLevel="0" collapsed="false">
      <c r="A1078" s="27" t="s">
        <v>2117</v>
      </c>
      <c r="B1078" s="27" t="s">
        <v>749</v>
      </c>
      <c r="C1078" s="28" t="s">
        <v>33</v>
      </c>
      <c r="D1078" s="27" t="s">
        <v>1536</v>
      </c>
      <c r="E1078" s="27"/>
      <c r="F1078" s="29" t="s">
        <v>2116</v>
      </c>
      <c r="G1078" s="30" t="n">
        <v>75015</v>
      </c>
      <c r="H1078" s="31" t="s">
        <v>36</v>
      </c>
      <c r="I1078" s="32"/>
      <c r="J1078" s="33" t="n">
        <v>57</v>
      </c>
      <c r="K1078" s="33" t="n">
        <v>1</v>
      </c>
      <c r="L1078" s="34"/>
      <c r="M1078" s="35"/>
      <c r="N1078" s="36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9"/>
      <c r="Z1078" s="39"/>
      <c r="AA1078" s="28"/>
      <c r="AC1078" s="2" t="s">
        <v>38</v>
      </c>
      <c r="AMJ1078" s="0"/>
    </row>
    <row r="1079" s="2" customFormat="true" ht="12.75" hidden="false" customHeight="true" outlineLevel="0" collapsed="false">
      <c r="A1079" s="27" t="s">
        <v>2118</v>
      </c>
      <c r="B1079" s="27" t="s">
        <v>465</v>
      </c>
      <c r="C1079" s="28" t="s">
        <v>33</v>
      </c>
      <c r="D1079" s="27" t="s">
        <v>1536</v>
      </c>
      <c r="E1079" s="27"/>
      <c r="F1079" s="29" t="s">
        <v>2119</v>
      </c>
      <c r="G1079" s="30" t="n">
        <v>75015</v>
      </c>
      <c r="H1079" s="31" t="s">
        <v>36</v>
      </c>
      <c r="I1079" s="32" t="n">
        <v>143228297</v>
      </c>
      <c r="J1079" s="33" t="n">
        <v>54</v>
      </c>
      <c r="K1079" s="33" t="n">
        <v>1</v>
      </c>
      <c r="L1079" s="34"/>
      <c r="M1079" s="35"/>
      <c r="N1079" s="36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9"/>
      <c r="Z1079" s="39"/>
      <c r="AA1079" s="28"/>
      <c r="AC1079" s="2" t="s">
        <v>38</v>
      </c>
      <c r="AMJ1079" s="0"/>
    </row>
    <row r="1080" s="2" customFormat="true" ht="12.75" hidden="false" customHeight="true" outlineLevel="0" collapsed="false">
      <c r="A1080" s="27" t="s">
        <v>2120</v>
      </c>
      <c r="B1080" s="27" t="s">
        <v>620</v>
      </c>
      <c r="C1080" s="28" t="s">
        <v>33</v>
      </c>
      <c r="D1080" s="27" t="s">
        <v>1536</v>
      </c>
      <c r="E1080" s="27"/>
      <c r="F1080" s="29" t="s">
        <v>2121</v>
      </c>
      <c r="G1080" s="30" t="n">
        <v>75015</v>
      </c>
      <c r="H1080" s="31" t="s">
        <v>36</v>
      </c>
      <c r="I1080" s="32" t="n">
        <v>147836540</v>
      </c>
      <c r="J1080" s="33" t="n">
        <v>51</v>
      </c>
      <c r="K1080" s="33" t="n">
        <v>1</v>
      </c>
      <c r="L1080" s="34"/>
      <c r="M1080" s="35"/>
      <c r="N1080" s="36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9"/>
      <c r="Z1080" s="39"/>
      <c r="AA1080" s="28"/>
      <c r="AC1080" s="2" t="s">
        <v>38</v>
      </c>
      <c r="AMJ1080" s="0"/>
    </row>
    <row r="1081" s="2" customFormat="true" ht="12.75" hidden="false" customHeight="true" outlineLevel="0" collapsed="false">
      <c r="A1081" s="27" t="s">
        <v>2122</v>
      </c>
      <c r="B1081" s="27" t="s">
        <v>428</v>
      </c>
      <c r="C1081" s="28" t="s">
        <v>41</v>
      </c>
      <c r="D1081" s="27" t="s">
        <v>1536</v>
      </c>
      <c r="E1081" s="27"/>
      <c r="F1081" s="29" t="s">
        <v>2123</v>
      </c>
      <c r="G1081" s="30" t="n">
        <v>75015</v>
      </c>
      <c r="H1081" s="31" t="s">
        <v>36</v>
      </c>
      <c r="I1081" s="32" t="n">
        <v>143069201</v>
      </c>
      <c r="J1081" s="33" t="n">
        <v>266</v>
      </c>
      <c r="K1081" s="33" t="n">
        <v>1</v>
      </c>
      <c r="L1081" s="34"/>
      <c r="M1081" s="35"/>
      <c r="N1081" s="36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9"/>
      <c r="Z1081" s="39"/>
      <c r="AA1081" s="28"/>
      <c r="AMJ1081" s="0"/>
    </row>
    <row r="1082" s="2" customFormat="true" ht="12.75" hidden="false" customHeight="true" outlineLevel="0" collapsed="false">
      <c r="A1082" s="27" t="s">
        <v>2124</v>
      </c>
      <c r="B1082" s="27" t="s">
        <v>217</v>
      </c>
      <c r="C1082" s="28" t="s">
        <v>41</v>
      </c>
      <c r="D1082" s="27" t="s">
        <v>1536</v>
      </c>
      <c r="E1082" s="27"/>
      <c r="F1082" s="29" t="s">
        <v>2125</v>
      </c>
      <c r="G1082" s="30" t="n">
        <v>75015</v>
      </c>
      <c r="H1082" s="31" t="s">
        <v>36</v>
      </c>
      <c r="I1082" s="32" t="n">
        <v>966817595</v>
      </c>
      <c r="J1082" s="33" t="n">
        <v>250</v>
      </c>
      <c r="K1082" s="33" t="n">
        <v>16</v>
      </c>
      <c r="L1082" s="34"/>
      <c r="M1082" s="35" t="s">
        <v>164</v>
      </c>
      <c r="N1082" s="36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9"/>
      <c r="Z1082" s="39"/>
      <c r="AA1082" s="28"/>
      <c r="AMJ1082" s="0"/>
    </row>
    <row r="1083" s="2" customFormat="true" ht="12.75" hidden="false" customHeight="true" outlineLevel="0" collapsed="false">
      <c r="A1083" s="27" t="s">
        <v>2126</v>
      </c>
      <c r="B1083" s="27" t="s">
        <v>598</v>
      </c>
      <c r="C1083" s="28" t="s">
        <v>41</v>
      </c>
      <c r="D1083" s="27" t="s">
        <v>1536</v>
      </c>
      <c r="E1083" s="27"/>
      <c r="F1083" s="29" t="s">
        <v>2125</v>
      </c>
      <c r="G1083" s="30" t="n">
        <v>75015</v>
      </c>
      <c r="H1083" s="31" t="s">
        <v>36</v>
      </c>
      <c r="I1083" s="32" t="n">
        <v>145327595</v>
      </c>
      <c r="J1083" s="33" t="n">
        <v>233</v>
      </c>
      <c r="K1083" s="33" t="n">
        <v>20</v>
      </c>
      <c r="L1083" s="34"/>
      <c r="M1083" s="35" t="s">
        <v>164</v>
      </c>
      <c r="N1083" s="48"/>
      <c r="Y1083" s="38"/>
      <c r="Z1083" s="38"/>
      <c r="AA1083" s="28"/>
      <c r="AMJ1083" s="0"/>
    </row>
    <row r="1084" s="2" customFormat="true" ht="12.75" hidden="false" customHeight="true" outlineLevel="0" collapsed="false">
      <c r="A1084" s="27" t="s">
        <v>2127</v>
      </c>
      <c r="B1084" s="27" t="s">
        <v>187</v>
      </c>
      <c r="C1084" s="28" t="s">
        <v>41</v>
      </c>
      <c r="D1084" s="27" t="s">
        <v>1536</v>
      </c>
      <c r="E1084" s="27"/>
      <c r="F1084" s="29" t="s">
        <v>2128</v>
      </c>
      <c r="G1084" s="30" t="n">
        <v>75015</v>
      </c>
      <c r="H1084" s="31" t="s">
        <v>36</v>
      </c>
      <c r="I1084" s="32" t="n">
        <v>142501058</v>
      </c>
      <c r="J1084" s="33" t="n">
        <v>195</v>
      </c>
      <c r="K1084" s="33" t="n">
        <v>1</v>
      </c>
      <c r="L1084" s="34"/>
      <c r="M1084" s="35"/>
      <c r="N1084" s="36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9"/>
      <c r="Z1084" s="39"/>
      <c r="AA1084" s="28"/>
      <c r="AMJ1084" s="0"/>
    </row>
    <row r="1085" s="2" customFormat="true" ht="12.75" hidden="false" customHeight="true" outlineLevel="0" collapsed="false">
      <c r="A1085" s="27" t="s">
        <v>2129</v>
      </c>
      <c r="B1085" s="27" t="s">
        <v>88</v>
      </c>
      <c r="C1085" s="28" t="s">
        <v>41</v>
      </c>
      <c r="D1085" s="27" t="s">
        <v>1536</v>
      </c>
      <c r="E1085" s="27"/>
      <c r="F1085" s="29" t="s">
        <v>2130</v>
      </c>
      <c r="G1085" s="30" t="n">
        <v>75015</v>
      </c>
      <c r="H1085" s="31" t="s">
        <v>36</v>
      </c>
      <c r="I1085" s="32" t="n">
        <v>153666262</v>
      </c>
      <c r="J1085" s="33" t="n">
        <v>238</v>
      </c>
      <c r="K1085" s="33" t="n">
        <v>1</v>
      </c>
      <c r="L1085" s="34"/>
      <c r="M1085" s="35"/>
      <c r="N1085" s="36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9"/>
      <c r="Z1085" s="39"/>
      <c r="AA1085" s="28"/>
      <c r="AMJ1085" s="0"/>
    </row>
    <row r="1086" s="2" customFormat="true" ht="12.75" hidden="false" customHeight="true" outlineLevel="0" collapsed="false">
      <c r="A1086" s="27" t="s">
        <v>2131</v>
      </c>
      <c r="B1086" s="27" t="s">
        <v>88</v>
      </c>
      <c r="C1086" s="28" t="s">
        <v>178</v>
      </c>
      <c r="D1086" s="27" t="s">
        <v>2132</v>
      </c>
      <c r="E1086" s="27"/>
      <c r="F1086" s="29" t="s">
        <v>2133</v>
      </c>
      <c r="G1086" s="30" t="n">
        <v>75016</v>
      </c>
      <c r="H1086" s="31" t="s">
        <v>36</v>
      </c>
      <c r="I1086" s="32"/>
      <c r="J1086" s="33" t="n">
        <v>169</v>
      </c>
      <c r="K1086" s="33" t="n">
        <v>2</v>
      </c>
      <c r="L1086" s="34" t="n">
        <v>1</v>
      </c>
      <c r="M1086" s="35" t="s">
        <v>164</v>
      </c>
      <c r="N1086" s="36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39"/>
      <c r="Z1086" s="39"/>
      <c r="AA1086" s="28" t="n">
        <v>3</v>
      </c>
      <c r="AMJ1086" s="0"/>
    </row>
    <row r="1087" s="2" customFormat="true" ht="12.75" hidden="false" customHeight="true" outlineLevel="0" collapsed="false">
      <c r="A1087" s="27" t="s">
        <v>2134</v>
      </c>
      <c r="B1087" s="27" t="s">
        <v>865</v>
      </c>
      <c r="C1087" s="28" t="s">
        <v>178</v>
      </c>
      <c r="D1087" s="27" t="s">
        <v>2132</v>
      </c>
      <c r="E1087" s="27"/>
      <c r="F1087" s="29" t="s">
        <v>2133</v>
      </c>
      <c r="G1087" s="30" t="n">
        <v>75016</v>
      </c>
      <c r="H1087" s="31" t="s">
        <v>36</v>
      </c>
      <c r="I1087" s="32" t="n">
        <v>140724000</v>
      </c>
      <c r="J1087" s="33" t="n">
        <v>113</v>
      </c>
      <c r="K1087" s="33" t="n">
        <v>1</v>
      </c>
      <c r="L1087" s="34"/>
      <c r="M1087" s="35"/>
      <c r="N1087" s="36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9"/>
      <c r="Z1087" s="39"/>
      <c r="AA1087" s="28"/>
      <c r="AMJ1087" s="0"/>
    </row>
    <row r="1088" s="2" customFormat="true" ht="12.75" hidden="false" customHeight="true" outlineLevel="0" collapsed="false">
      <c r="A1088" s="27" t="s">
        <v>2135</v>
      </c>
      <c r="B1088" s="27" t="s">
        <v>266</v>
      </c>
      <c r="C1088" s="28" t="s">
        <v>178</v>
      </c>
      <c r="D1088" s="27" t="s">
        <v>2132</v>
      </c>
      <c r="E1088" s="27"/>
      <c r="F1088" s="29" t="s">
        <v>2133</v>
      </c>
      <c r="G1088" s="30" t="n">
        <v>75016</v>
      </c>
      <c r="H1088" s="31" t="s">
        <v>36</v>
      </c>
      <c r="I1088" s="32"/>
      <c r="J1088" s="33" t="n">
        <v>111</v>
      </c>
      <c r="K1088" s="33" t="n">
        <v>1</v>
      </c>
      <c r="L1088" s="34"/>
      <c r="M1088" s="35"/>
      <c r="N1088" s="36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9"/>
      <c r="Z1088" s="39"/>
      <c r="AA1088" s="28"/>
      <c r="AMJ1088" s="0"/>
    </row>
    <row r="1089" s="2" customFormat="true" ht="12.75" hidden="false" customHeight="true" outlineLevel="0" collapsed="false">
      <c r="A1089" s="27" t="s">
        <v>2136</v>
      </c>
      <c r="B1089" s="27" t="s">
        <v>151</v>
      </c>
      <c r="C1089" s="28" t="s">
        <v>138</v>
      </c>
      <c r="D1089" s="27" t="s">
        <v>2132</v>
      </c>
      <c r="E1089" s="27"/>
      <c r="F1089" s="29" t="s">
        <v>2133</v>
      </c>
      <c r="G1089" s="30" t="n">
        <v>75016</v>
      </c>
      <c r="H1089" s="31" t="s">
        <v>36</v>
      </c>
      <c r="I1089" s="32" t="n">
        <v>156910856</v>
      </c>
      <c r="J1089" s="33" t="n">
        <v>305</v>
      </c>
      <c r="K1089" s="33" t="n">
        <v>1</v>
      </c>
      <c r="L1089" s="34" t="n">
        <v>2</v>
      </c>
      <c r="M1089" s="43" t="s">
        <v>164</v>
      </c>
      <c r="N1089" s="36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39" t="n">
        <v>45127.5347222222</v>
      </c>
      <c r="Z1089" s="39"/>
      <c r="AA1089" s="28" t="n">
        <v>2</v>
      </c>
      <c r="AMJ1089" s="0"/>
    </row>
    <row r="1090" s="2" customFormat="true" ht="12.75" hidden="false" customHeight="true" outlineLevel="0" collapsed="false">
      <c r="A1090" s="27" t="s">
        <v>2137</v>
      </c>
      <c r="B1090" s="27" t="s">
        <v>124</v>
      </c>
      <c r="C1090" s="28" t="s">
        <v>41</v>
      </c>
      <c r="D1090" s="27" t="s">
        <v>2132</v>
      </c>
      <c r="E1090" s="27"/>
      <c r="F1090" s="29" t="s">
        <v>2138</v>
      </c>
      <c r="G1090" s="30" t="n">
        <v>75016</v>
      </c>
      <c r="H1090" s="31" t="s">
        <v>36</v>
      </c>
      <c r="I1090" s="32" t="n">
        <v>142309812</v>
      </c>
      <c r="J1090" s="33" t="n">
        <v>239</v>
      </c>
      <c r="K1090" s="33" t="n">
        <v>2</v>
      </c>
      <c r="L1090" s="34"/>
      <c r="M1090" s="35"/>
      <c r="N1090" s="36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9"/>
      <c r="Z1090" s="39"/>
      <c r="AA1090" s="28"/>
      <c r="AMJ1090" s="0"/>
    </row>
    <row r="1091" s="2" customFormat="true" ht="12.75" hidden="false" customHeight="true" outlineLevel="0" collapsed="false">
      <c r="A1091" s="27" t="s">
        <v>2139</v>
      </c>
      <c r="B1091" s="27" t="s">
        <v>234</v>
      </c>
      <c r="C1091" s="28" t="s">
        <v>41</v>
      </c>
      <c r="D1091" s="27" t="s">
        <v>2132</v>
      </c>
      <c r="E1091" s="27"/>
      <c r="F1091" s="29" t="s">
        <v>2140</v>
      </c>
      <c r="G1091" s="30" t="n">
        <v>75016</v>
      </c>
      <c r="H1091" s="31" t="s">
        <v>36</v>
      </c>
      <c r="I1091" s="32" t="n">
        <v>145043719</v>
      </c>
      <c r="J1091" s="33" t="n">
        <v>273</v>
      </c>
      <c r="K1091" s="33" t="n">
        <v>1</v>
      </c>
      <c r="L1091" s="34"/>
      <c r="M1091" s="35"/>
      <c r="N1091" s="36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9"/>
      <c r="Z1091" s="39"/>
      <c r="AA1091" s="28"/>
      <c r="AMJ1091" s="0"/>
    </row>
    <row r="1092" s="2" customFormat="true" ht="12.75" hidden="false" customHeight="true" outlineLevel="0" collapsed="false">
      <c r="A1092" s="27" t="s">
        <v>2141</v>
      </c>
      <c r="B1092" s="27" t="s">
        <v>2142</v>
      </c>
      <c r="C1092" s="28" t="s">
        <v>33</v>
      </c>
      <c r="D1092" s="27" t="s">
        <v>2132</v>
      </c>
      <c r="E1092" s="27"/>
      <c r="F1092" s="29" t="s">
        <v>2143</v>
      </c>
      <c r="G1092" s="30" t="n">
        <v>75016</v>
      </c>
      <c r="H1092" s="31" t="s">
        <v>36</v>
      </c>
      <c r="I1092" s="32"/>
      <c r="J1092" s="33" t="n">
        <v>57</v>
      </c>
      <c r="K1092" s="33" t="n">
        <v>0</v>
      </c>
      <c r="L1092" s="34"/>
      <c r="M1092" s="35"/>
      <c r="N1092" s="36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9"/>
      <c r="Z1092" s="39"/>
      <c r="AA1092" s="28"/>
      <c r="AC1092" s="2" t="s">
        <v>197</v>
      </c>
      <c r="AMJ1092" s="0"/>
    </row>
    <row r="1093" s="2" customFormat="true" ht="12.75" hidden="false" customHeight="true" outlineLevel="0" collapsed="false">
      <c r="A1093" s="27" t="s">
        <v>2144</v>
      </c>
      <c r="B1093" s="27" t="s">
        <v>149</v>
      </c>
      <c r="C1093" s="28" t="s">
        <v>33</v>
      </c>
      <c r="D1093" s="27" t="s">
        <v>2132</v>
      </c>
      <c r="E1093" s="27"/>
      <c r="F1093" s="29" t="s">
        <v>2143</v>
      </c>
      <c r="G1093" s="30" t="n">
        <v>75016</v>
      </c>
      <c r="H1093" s="31" t="s">
        <v>36</v>
      </c>
      <c r="I1093" s="32" t="n">
        <v>153920202</v>
      </c>
      <c r="J1093" s="33" t="n">
        <v>55</v>
      </c>
      <c r="K1093" s="33" t="n">
        <v>2</v>
      </c>
      <c r="L1093" s="34"/>
      <c r="M1093" s="35"/>
      <c r="N1093" s="36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9"/>
      <c r="Z1093" s="39"/>
      <c r="AA1093" s="28"/>
      <c r="AC1093" s="2" t="s">
        <v>38</v>
      </c>
      <c r="AMJ1093" s="0"/>
    </row>
    <row r="1094" s="2" customFormat="true" ht="12.75" hidden="false" customHeight="true" outlineLevel="0" collapsed="false">
      <c r="A1094" s="27" t="s">
        <v>2145</v>
      </c>
      <c r="B1094" s="27" t="s">
        <v>1863</v>
      </c>
      <c r="C1094" s="28" t="s">
        <v>41</v>
      </c>
      <c r="D1094" s="27" t="s">
        <v>2132</v>
      </c>
      <c r="E1094" s="27"/>
      <c r="F1094" s="29" t="s">
        <v>2146</v>
      </c>
      <c r="G1094" s="30" t="n">
        <v>75016</v>
      </c>
      <c r="H1094" s="31" t="s">
        <v>36</v>
      </c>
      <c r="I1094" s="32"/>
      <c r="J1094" s="33" t="n">
        <v>211</v>
      </c>
      <c r="K1094" s="33" t="n">
        <v>2</v>
      </c>
      <c r="L1094" s="34"/>
      <c r="M1094" s="35"/>
      <c r="N1094" s="36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9"/>
      <c r="Z1094" s="39"/>
      <c r="AA1094" s="28"/>
      <c r="AMJ1094" s="0"/>
    </row>
    <row r="1095" s="2" customFormat="true" ht="12.75" hidden="false" customHeight="true" outlineLevel="0" collapsed="false">
      <c r="A1095" s="27" t="s">
        <v>2147</v>
      </c>
      <c r="B1095" s="27" t="s">
        <v>234</v>
      </c>
      <c r="C1095" s="28" t="s">
        <v>77</v>
      </c>
      <c r="D1095" s="27" t="s">
        <v>2132</v>
      </c>
      <c r="E1095" s="27"/>
      <c r="F1095" s="29" t="s">
        <v>2148</v>
      </c>
      <c r="G1095" s="30" t="n">
        <v>75016</v>
      </c>
      <c r="H1095" s="31" t="s">
        <v>36</v>
      </c>
      <c r="I1095" s="32" t="n">
        <v>140727129</v>
      </c>
      <c r="J1095" s="33" t="n">
        <v>583</v>
      </c>
      <c r="K1095" s="33" t="n">
        <v>6</v>
      </c>
      <c r="L1095" s="34"/>
      <c r="M1095" s="35"/>
      <c r="N1095" s="36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9"/>
      <c r="Z1095" s="39"/>
      <c r="AA1095" s="28"/>
      <c r="AMJ1095" s="0"/>
    </row>
    <row r="1096" s="2" customFormat="true" ht="12.75" hidden="false" customHeight="true" outlineLevel="0" collapsed="false">
      <c r="A1096" s="27" t="s">
        <v>2149</v>
      </c>
      <c r="B1096" s="27" t="s">
        <v>714</v>
      </c>
      <c r="C1096" s="28" t="s">
        <v>33</v>
      </c>
      <c r="D1096" s="27" t="s">
        <v>2132</v>
      </c>
      <c r="E1096" s="27"/>
      <c r="F1096" s="29" t="s">
        <v>2150</v>
      </c>
      <c r="G1096" s="30" t="n">
        <v>75016</v>
      </c>
      <c r="H1096" s="31" t="s">
        <v>36</v>
      </c>
      <c r="I1096" s="32" t="n">
        <v>147434270</v>
      </c>
      <c r="J1096" s="33" t="n">
        <v>61</v>
      </c>
      <c r="K1096" s="33" t="n">
        <v>1</v>
      </c>
      <c r="L1096" s="34"/>
      <c r="M1096" s="35"/>
      <c r="N1096" s="36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9"/>
      <c r="Z1096" s="39"/>
      <c r="AA1096" s="28"/>
      <c r="AC1096" s="2" t="s">
        <v>197</v>
      </c>
      <c r="AMJ1096" s="0"/>
    </row>
    <row r="1097" s="2" customFormat="true" ht="12.75" hidden="false" customHeight="true" outlineLevel="0" collapsed="false">
      <c r="A1097" s="27" t="s">
        <v>2151</v>
      </c>
      <c r="B1097" s="27" t="s">
        <v>2152</v>
      </c>
      <c r="C1097" s="28" t="s">
        <v>33</v>
      </c>
      <c r="D1097" s="27" t="s">
        <v>2132</v>
      </c>
      <c r="E1097" s="27"/>
      <c r="F1097" s="29" t="s">
        <v>2150</v>
      </c>
      <c r="G1097" s="30" t="n">
        <v>75016</v>
      </c>
      <c r="H1097" s="31" t="s">
        <v>36</v>
      </c>
      <c r="I1097" s="32" t="n">
        <v>147434270</v>
      </c>
      <c r="J1097" s="33" t="n">
        <v>51</v>
      </c>
      <c r="K1097" s="33" t="n">
        <v>1</v>
      </c>
      <c r="L1097" s="34"/>
      <c r="M1097" s="35"/>
      <c r="N1097" s="36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9"/>
      <c r="Z1097" s="39"/>
      <c r="AA1097" s="28"/>
      <c r="AC1097" s="2" t="s">
        <v>108</v>
      </c>
      <c r="AE1097" s="2" t="s">
        <v>2153</v>
      </c>
      <c r="AMJ1097" s="0"/>
    </row>
    <row r="1098" s="2" customFormat="true" ht="12.75" hidden="false" customHeight="true" outlineLevel="0" collapsed="false">
      <c r="A1098" s="27" t="s">
        <v>2154</v>
      </c>
      <c r="B1098" s="27" t="s">
        <v>435</v>
      </c>
      <c r="C1098" s="28" t="s">
        <v>41</v>
      </c>
      <c r="D1098" s="27" t="s">
        <v>2132</v>
      </c>
      <c r="E1098" s="27"/>
      <c r="F1098" s="29" t="s">
        <v>2155</v>
      </c>
      <c r="G1098" s="30" t="n">
        <v>75016</v>
      </c>
      <c r="H1098" s="31" t="s">
        <v>36</v>
      </c>
      <c r="I1098" s="32" t="n">
        <v>155250167</v>
      </c>
      <c r="J1098" s="33" t="n">
        <v>252</v>
      </c>
      <c r="K1098" s="33" t="n">
        <v>1</v>
      </c>
      <c r="L1098" s="34"/>
      <c r="M1098" s="35"/>
      <c r="N1098" s="36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9"/>
      <c r="Z1098" s="39"/>
      <c r="AA1098" s="28"/>
      <c r="AMJ1098" s="0"/>
    </row>
    <row r="1099" s="2" customFormat="true" ht="12.75" hidden="false" customHeight="true" outlineLevel="0" collapsed="false">
      <c r="A1099" s="27" t="s">
        <v>136</v>
      </c>
      <c r="B1099" s="27" t="s">
        <v>2156</v>
      </c>
      <c r="C1099" s="28" t="s">
        <v>33</v>
      </c>
      <c r="D1099" s="27" t="s">
        <v>2132</v>
      </c>
      <c r="E1099" s="27"/>
      <c r="F1099" s="29" t="s">
        <v>2155</v>
      </c>
      <c r="G1099" s="30" t="n">
        <v>75016</v>
      </c>
      <c r="H1099" s="31" t="s">
        <v>36</v>
      </c>
      <c r="I1099" s="32" t="n">
        <v>140726883</v>
      </c>
      <c r="J1099" s="33" t="n">
        <v>77</v>
      </c>
      <c r="K1099" s="33" t="n">
        <v>1</v>
      </c>
      <c r="L1099" s="34"/>
      <c r="M1099" s="35"/>
      <c r="N1099" s="36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9"/>
      <c r="Z1099" s="39"/>
      <c r="AA1099" s="28"/>
      <c r="AC1099" s="2" t="s">
        <v>218</v>
      </c>
      <c r="AMJ1099" s="0"/>
    </row>
    <row r="1100" s="2" customFormat="true" ht="12.75" hidden="false" customHeight="true" outlineLevel="0" collapsed="false">
      <c r="A1100" s="27" t="s">
        <v>2157</v>
      </c>
      <c r="B1100" s="27" t="s">
        <v>277</v>
      </c>
      <c r="C1100" s="28" t="s">
        <v>33</v>
      </c>
      <c r="D1100" s="27" t="s">
        <v>2132</v>
      </c>
      <c r="E1100" s="27"/>
      <c r="F1100" s="29" t="s">
        <v>2158</v>
      </c>
      <c r="G1100" s="30" t="n">
        <v>75016</v>
      </c>
      <c r="H1100" s="31" t="s">
        <v>36</v>
      </c>
      <c r="I1100" s="32" t="n">
        <v>145044121</v>
      </c>
      <c r="J1100" s="33" t="n">
        <v>55</v>
      </c>
      <c r="K1100" s="33" t="n">
        <v>0</v>
      </c>
      <c r="L1100" s="34"/>
      <c r="M1100" s="35"/>
      <c r="N1100" s="36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9"/>
      <c r="Z1100" s="39"/>
      <c r="AA1100" s="28"/>
      <c r="AC1100" s="2" t="s">
        <v>218</v>
      </c>
      <c r="AMJ1100" s="0"/>
    </row>
    <row r="1101" s="2" customFormat="true" ht="12.75" hidden="false" customHeight="true" outlineLevel="0" collapsed="false">
      <c r="A1101" s="27" t="s">
        <v>2159</v>
      </c>
      <c r="B1101" s="27" t="s">
        <v>1279</v>
      </c>
      <c r="C1101" s="28" t="s">
        <v>33</v>
      </c>
      <c r="D1101" s="27" t="s">
        <v>2132</v>
      </c>
      <c r="E1101" s="27"/>
      <c r="F1101" s="29" t="s">
        <v>2160</v>
      </c>
      <c r="G1101" s="30" t="n">
        <v>75016</v>
      </c>
      <c r="H1101" s="31" t="s">
        <v>36</v>
      </c>
      <c r="I1101" s="32" t="n">
        <v>142307070</v>
      </c>
      <c r="J1101" s="33" t="n">
        <v>51</v>
      </c>
      <c r="K1101" s="33" t="n">
        <v>0</v>
      </c>
      <c r="L1101" s="34"/>
      <c r="M1101" s="35"/>
      <c r="N1101" s="36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9"/>
      <c r="Z1101" s="39"/>
      <c r="AA1101" s="28"/>
      <c r="AC1101" s="2" t="s">
        <v>38</v>
      </c>
      <c r="AMJ1101" s="0"/>
    </row>
    <row r="1102" s="2" customFormat="true" ht="12.75" hidden="false" customHeight="true" outlineLevel="0" collapsed="false">
      <c r="A1102" s="27" t="s">
        <v>2161</v>
      </c>
      <c r="B1102" s="27" t="s">
        <v>106</v>
      </c>
      <c r="C1102" s="28" t="s">
        <v>178</v>
      </c>
      <c r="D1102" s="27" t="s">
        <v>2132</v>
      </c>
      <c r="E1102" s="27"/>
      <c r="F1102" s="29" t="s">
        <v>2162</v>
      </c>
      <c r="G1102" s="30" t="n">
        <v>75016</v>
      </c>
      <c r="H1102" s="31" t="s">
        <v>36</v>
      </c>
      <c r="I1102" s="32"/>
      <c r="J1102" s="33" t="n">
        <v>139</v>
      </c>
      <c r="K1102" s="33" t="n">
        <v>1</v>
      </c>
      <c r="L1102" s="34"/>
      <c r="M1102" s="35"/>
      <c r="N1102" s="36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9"/>
      <c r="Z1102" s="39"/>
      <c r="AA1102" s="28"/>
      <c r="AMJ1102" s="0"/>
    </row>
    <row r="1103" s="2" customFormat="true" ht="12.75" hidden="false" customHeight="true" outlineLevel="0" collapsed="false">
      <c r="A1103" s="27" t="s">
        <v>2163</v>
      </c>
      <c r="B1103" s="27" t="s">
        <v>2164</v>
      </c>
      <c r="C1103" s="28" t="s">
        <v>41</v>
      </c>
      <c r="D1103" s="27" t="s">
        <v>2132</v>
      </c>
      <c r="E1103" s="27"/>
      <c r="F1103" s="29" t="s">
        <v>2165</v>
      </c>
      <c r="G1103" s="30" t="n">
        <v>75016</v>
      </c>
      <c r="H1103" s="31" t="s">
        <v>36</v>
      </c>
      <c r="I1103" s="32" t="n">
        <v>145054444</v>
      </c>
      <c r="J1103" s="33" t="n">
        <v>11</v>
      </c>
      <c r="K1103" s="33" t="n">
        <v>3</v>
      </c>
      <c r="L1103" s="34"/>
      <c r="M1103" s="35"/>
      <c r="N1103" s="36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9"/>
      <c r="Z1103" s="39"/>
      <c r="AA1103" s="28"/>
      <c r="AMJ1103" s="0"/>
    </row>
    <row r="1104" s="2" customFormat="true" ht="12.75" hidden="false" customHeight="true" outlineLevel="0" collapsed="false">
      <c r="A1104" s="27" t="s">
        <v>2166</v>
      </c>
      <c r="B1104" s="27" t="s">
        <v>324</v>
      </c>
      <c r="C1104" s="28" t="s">
        <v>33</v>
      </c>
      <c r="D1104" s="27" t="s">
        <v>2132</v>
      </c>
      <c r="E1104" s="27"/>
      <c r="F1104" s="29" t="s">
        <v>2167</v>
      </c>
      <c r="G1104" s="30" t="n">
        <v>75016</v>
      </c>
      <c r="H1104" s="31" t="s">
        <v>36</v>
      </c>
      <c r="I1104" s="32" t="n">
        <v>156721510</v>
      </c>
      <c r="J1104" s="33" t="n">
        <v>51</v>
      </c>
      <c r="K1104" s="33" t="n">
        <v>1</v>
      </c>
      <c r="L1104" s="34"/>
      <c r="M1104" s="35"/>
      <c r="N1104" s="36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9"/>
      <c r="Z1104" s="39"/>
      <c r="AA1104" s="28"/>
      <c r="AC1104" s="2" t="s">
        <v>38</v>
      </c>
      <c r="AMJ1104" s="0"/>
    </row>
    <row r="1105" s="2" customFormat="true" ht="12.75" hidden="false" customHeight="true" outlineLevel="0" collapsed="false">
      <c r="A1105" s="40" t="s">
        <v>2168</v>
      </c>
      <c r="B1105" s="27"/>
      <c r="C1105" s="3"/>
      <c r="D1105" s="4" t="s">
        <v>2132</v>
      </c>
      <c r="E1105" s="0"/>
      <c r="F1105" s="4" t="s">
        <v>2169</v>
      </c>
      <c r="G1105" s="5" t="n">
        <v>75016</v>
      </c>
      <c r="H1105" s="5" t="s">
        <v>36</v>
      </c>
      <c r="I1105" s="7"/>
      <c r="J1105" s="8"/>
      <c r="K1105" s="8"/>
      <c r="L1105" s="9"/>
      <c r="M1105" s="10"/>
      <c r="N1105" s="11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3" t="n">
        <v>45188.7013888889</v>
      </c>
      <c r="Z1105" s="13"/>
      <c r="AA1105" s="14"/>
      <c r="AMJ1105" s="0"/>
    </row>
    <row r="1106" s="2" customFormat="true" ht="12.75" hidden="false" customHeight="true" outlineLevel="0" collapsed="false">
      <c r="A1106" s="27" t="s">
        <v>2170</v>
      </c>
      <c r="B1106" s="27" t="s">
        <v>2171</v>
      </c>
      <c r="C1106" s="28" t="s">
        <v>113</v>
      </c>
      <c r="D1106" s="27" t="s">
        <v>2132</v>
      </c>
      <c r="E1106" s="27"/>
      <c r="F1106" s="29" t="s">
        <v>2172</v>
      </c>
      <c r="G1106" s="30" t="n">
        <v>75016</v>
      </c>
      <c r="H1106" s="31" t="s">
        <v>36</v>
      </c>
      <c r="I1106" s="32"/>
      <c r="J1106" s="33" t="n">
        <v>55</v>
      </c>
      <c r="K1106" s="33" t="n">
        <v>0</v>
      </c>
      <c r="L1106" s="34"/>
      <c r="M1106" s="35"/>
      <c r="N1106" s="36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9"/>
      <c r="Z1106" s="39"/>
      <c r="AA1106" s="28"/>
      <c r="AMJ1106" s="0"/>
    </row>
    <row r="1107" s="2" customFormat="true" ht="12.75" hidden="false" customHeight="true" outlineLevel="0" collapsed="false">
      <c r="A1107" s="27" t="s">
        <v>2173</v>
      </c>
      <c r="B1107" s="27" t="s">
        <v>88</v>
      </c>
      <c r="C1107" s="28" t="s">
        <v>33</v>
      </c>
      <c r="D1107" s="27" t="s">
        <v>2132</v>
      </c>
      <c r="E1107" s="27"/>
      <c r="F1107" s="29" t="s">
        <v>2172</v>
      </c>
      <c r="G1107" s="30" t="n">
        <v>75016</v>
      </c>
      <c r="H1107" s="31" t="s">
        <v>36</v>
      </c>
      <c r="I1107" s="32"/>
      <c r="J1107" s="33" t="n">
        <v>59</v>
      </c>
      <c r="K1107" s="33" t="n">
        <v>1</v>
      </c>
      <c r="L1107" s="34"/>
      <c r="M1107" s="35"/>
      <c r="N1107" s="36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9"/>
      <c r="Z1107" s="39"/>
      <c r="AA1107" s="28"/>
      <c r="AC1107" s="2" t="s">
        <v>1478</v>
      </c>
      <c r="AMJ1107" s="0"/>
    </row>
    <row r="1108" s="2" customFormat="true" ht="12.75" hidden="false" customHeight="true" outlineLevel="0" collapsed="false">
      <c r="A1108" s="27" t="s">
        <v>2174</v>
      </c>
      <c r="B1108" s="27" t="s">
        <v>830</v>
      </c>
      <c r="C1108" s="28" t="s">
        <v>41</v>
      </c>
      <c r="D1108" s="27" t="s">
        <v>2132</v>
      </c>
      <c r="E1108" s="27"/>
      <c r="F1108" s="29" t="s">
        <v>2175</v>
      </c>
      <c r="G1108" s="30" t="n">
        <v>75016</v>
      </c>
      <c r="H1108" s="31" t="s">
        <v>36</v>
      </c>
      <c r="I1108" s="32"/>
      <c r="J1108" s="33"/>
      <c r="K1108" s="33"/>
      <c r="L1108" s="34"/>
      <c r="M1108" s="35"/>
      <c r="N1108" s="36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9"/>
      <c r="Z1108" s="39"/>
      <c r="AA1108" s="28"/>
      <c r="AMJ1108" s="0"/>
    </row>
    <row r="1109" s="2" customFormat="true" ht="12.75" hidden="false" customHeight="true" outlineLevel="0" collapsed="false">
      <c r="A1109" s="27" t="s">
        <v>2176</v>
      </c>
      <c r="B1109" s="27" t="s">
        <v>760</v>
      </c>
      <c r="C1109" s="28" t="s">
        <v>77</v>
      </c>
      <c r="D1109" s="27" t="s">
        <v>2132</v>
      </c>
      <c r="E1109" s="27"/>
      <c r="F1109" s="29" t="s">
        <v>2175</v>
      </c>
      <c r="G1109" s="30" t="n">
        <v>75016</v>
      </c>
      <c r="H1109" s="31" t="s">
        <v>36</v>
      </c>
      <c r="I1109" s="32" t="n">
        <v>147556713</v>
      </c>
      <c r="J1109" s="33" t="n">
        <v>679</v>
      </c>
      <c r="K1109" s="33" t="n">
        <v>1</v>
      </c>
      <c r="L1109" s="34"/>
      <c r="M1109" s="35"/>
      <c r="N1109" s="36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9"/>
      <c r="Z1109" s="39"/>
      <c r="AA1109" s="28"/>
      <c r="AMJ1109" s="0"/>
    </row>
    <row r="1110" s="2" customFormat="true" ht="12.75" hidden="false" customHeight="true" outlineLevel="0" collapsed="false">
      <c r="A1110" s="27" t="s">
        <v>2177</v>
      </c>
      <c r="B1110" s="27" t="s">
        <v>2178</v>
      </c>
      <c r="C1110" s="28" t="s">
        <v>41</v>
      </c>
      <c r="D1110" s="27" t="s">
        <v>2132</v>
      </c>
      <c r="E1110" s="27"/>
      <c r="F1110" s="29" t="s">
        <v>2179</v>
      </c>
      <c r="G1110" s="30" t="n">
        <v>75016</v>
      </c>
      <c r="H1110" s="31" t="s">
        <v>36</v>
      </c>
      <c r="I1110" s="32" t="n">
        <v>145270521</v>
      </c>
      <c r="J1110" s="33" t="n">
        <v>300</v>
      </c>
      <c r="K1110" s="33" t="n">
        <v>1</v>
      </c>
      <c r="L1110" s="34"/>
      <c r="M1110" s="35"/>
      <c r="N1110" s="36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9"/>
      <c r="Z1110" s="39"/>
      <c r="AA1110" s="28"/>
      <c r="AMJ1110" s="0"/>
    </row>
    <row r="1111" s="2" customFormat="true" ht="12.75" hidden="false" customHeight="true" outlineLevel="0" collapsed="false">
      <c r="A1111" s="27" t="s">
        <v>2180</v>
      </c>
      <c r="B1111" s="27" t="s">
        <v>157</v>
      </c>
      <c r="C1111" s="28" t="s">
        <v>33</v>
      </c>
      <c r="D1111" s="27" t="s">
        <v>2132</v>
      </c>
      <c r="E1111" s="27"/>
      <c r="F1111" s="29" t="s">
        <v>2181</v>
      </c>
      <c r="G1111" s="30" t="n">
        <v>75016</v>
      </c>
      <c r="H1111" s="31" t="s">
        <v>36</v>
      </c>
      <c r="I1111" s="32" t="n">
        <v>145045506</v>
      </c>
      <c r="J1111" s="33" t="n">
        <v>55</v>
      </c>
      <c r="K1111" s="33" t="n">
        <v>1</v>
      </c>
      <c r="L1111" s="34"/>
      <c r="M1111" s="35"/>
      <c r="N1111" s="36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9"/>
      <c r="Z1111" s="39"/>
      <c r="AA1111" s="28"/>
      <c r="AC1111" s="2" t="s">
        <v>38</v>
      </c>
      <c r="AMJ1111" s="0"/>
    </row>
    <row r="1112" s="2" customFormat="true" ht="12.75" hidden="false" customHeight="true" outlineLevel="0" collapsed="false">
      <c r="A1112" s="27" t="s">
        <v>2182</v>
      </c>
      <c r="B1112" s="27" t="s">
        <v>1245</v>
      </c>
      <c r="C1112" s="28" t="s">
        <v>41</v>
      </c>
      <c r="D1112" s="27" t="s">
        <v>2132</v>
      </c>
      <c r="E1112" s="27"/>
      <c r="F1112" s="29" t="s">
        <v>2183</v>
      </c>
      <c r="G1112" s="30" t="n">
        <v>75016</v>
      </c>
      <c r="H1112" s="31" t="s">
        <v>36</v>
      </c>
      <c r="I1112" s="32" t="n">
        <v>140508862</v>
      </c>
      <c r="J1112" s="33" t="n">
        <v>0</v>
      </c>
      <c r="K1112" s="33" t="n">
        <v>6</v>
      </c>
      <c r="L1112" s="34"/>
      <c r="M1112" s="35"/>
      <c r="N1112" s="36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9"/>
      <c r="Z1112" s="39"/>
      <c r="AA1112" s="28"/>
      <c r="AMJ1112" s="0"/>
    </row>
    <row r="1113" s="2" customFormat="true" ht="12.75" hidden="false" customHeight="true" outlineLevel="0" collapsed="false">
      <c r="A1113" s="27" t="s">
        <v>2184</v>
      </c>
      <c r="B1113" s="27" t="s">
        <v>151</v>
      </c>
      <c r="C1113" s="28" t="s">
        <v>138</v>
      </c>
      <c r="D1113" s="27" t="s">
        <v>2132</v>
      </c>
      <c r="E1113" s="27"/>
      <c r="F1113" s="29" t="s">
        <v>2185</v>
      </c>
      <c r="G1113" s="30" t="n">
        <v>75016</v>
      </c>
      <c r="H1113" s="31" t="s">
        <v>36</v>
      </c>
      <c r="I1113" s="32" t="n">
        <v>140506633</v>
      </c>
      <c r="J1113" s="33" t="n">
        <v>133</v>
      </c>
      <c r="K1113" s="33" t="n">
        <v>9</v>
      </c>
      <c r="L1113" s="34"/>
      <c r="M1113" s="35"/>
      <c r="N1113" s="36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9"/>
      <c r="Z1113" s="39"/>
      <c r="AA1113" s="28"/>
      <c r="AMJ1113" s="0"/>
    </row>
    <row r="1114" s="2" customFormat="true" ht="12.75" hidden="false" customHeight="true" outlineLevel="0" collapsed="false">
      <c r="A1114" s="27" t="s">
        <v>2186</v>
      </c>
      <c r="B1114" s="27" t="s">
        <v>490</v>
      </c>
      <c r="C1114" s="28" t="s">
        <v>33</v>
      </c>
      <c r="D1114" s="27" t="s">
        <v>2132</v>
      </c>
      <c r="E1114" s="27"/>
      <c r="F1114" s="29" t="s">
        <v>2187</v>
      </c>
      <c r="G1114" s="30" t="n">
        <v>75016</v>
      </c>
      <c r="H1114" s="31" t="s">
        <v>36</v>
      </c>
      <c r="I1114" s="32" t="n">
        <v>147662350</v>
      </c>
      <c r="J1114" s="33" t="n">
        <v>51</v>
      </c>
      <c r="K1114" s="33" t="n">
        <v>1</v>
      </c>
      <c r="L1114" s="34"/>
      <c r="M1114" s="35"/>
      <c r="N1114" s="36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9"/>
      <c r="Z1114" s="39"/>
      <c r="AA1114" s="28"/>
      <c r="AC1114" s="2" t="s">
        <v>1484</v>
      </c>
      <c r="AMJ1114" s="0"/>
    </row>
    <row r="1115" s="2" customFormat="true" ht="12.75" hidden="false" customHeight="true" outlineLevel="0" collapsed="false">
      <c r="A1115" s="27" t="s">
        <v>2188</v>
      </c>
      <c r="B1115" s="27" t="s">
        <v>2189</v>
      </c>
      <c r="C1115" s="28" t="s">
        <v>41</v>
      </c>
      <c r="D1115" s="27" t="s">
        <v>2132</v>
      </c>
      <c r="E1115" s="27"/>
      <c r="F1115" s="29" t="s">
        <v>2190</v>
      </c>
      <c r="G1115" s="30" t="n">
        <v>75016</v>
      </c>
      <c r="H1115" s="31" t="s">
        <v>36</v>
      </c>
      <c r="I1115" s="32"/>
      <c r="J1115" s="33" t="n">
        <v>262</v>
      </c>
      <c r="K1115" s="33"/>
      <c r="L1115" s="34"/>
      <c r="M1115" s="35"/>
      <c r="N1115" s="36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9"/>
      <c r="Z1115" s="39"/>
      <c r="AA1115" s="28"/>
      <c r="AMJ1115" s="0"/>
    </row>
    <row r="1116" s="2" customFormat="true" ht="12.75" hidden="false" customHeight="true" outlineLevel="0" collapsed="false">
      <c r="A1116" s="27" t="s">
        <v>2191</v>
      </c>
      <c r="B1116" s="27" t="s">
        <v>1258</v>
      </c>
      <c r="C1116" s="28" t="s">
        <v>138</v>
      </c>
      <c r="D1116" s="27" t="s">
        <v>2132</v>
      </c>
      <c r="E1116" s="27"/>
      <c r="F1116" s="29" t="s">
        <v>2192</v>
      </c>
      <c r="G1116" s="30" t="n">
        <v>75016</v>
      </c>
      <c r="H1116" s="31" t="s">
        <v>36</v>
      </c>
      <c r="I1116" s="32"/>
      <c r="J1116" s="33" t="n">
        <v>232</v>
      </c>
      <c r="K1116" s="33" t="n">
        <v>1</v>
      </c>
      <c r="L1116" s="34"/>
      <c r="M1116" s="35"/>
      <c r="N1116" s="36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9"/>
      <c r="Z1116" s="39"/>
      <c r="AA1116" s="28"/>
      <c r="AMJ1116" s="0"/>
    </row>
    <row r="1117" s="2" customFormat="true" ht="12.75" hidden="false" customHeight="true" outlineLevel="0" collapsed="false">
      <c r="A1117" s="27" t="s">
        <v>497</v>
      </c>
      <c r="B1117" s="27" t="s">
        <v>558</v>
      </c>
      <c r="C1117" s="28" t="s">
        <v>121</v>
      </c>
      <c r="D1117" s="27" t="s">
        <v>2132</v>
      </c>
      <c r="E1117" s="27"/>
      <c r="F1117" s="29" t="s">
        <v>2193</v>
      </c>
      <c r="G1117" s="30" t="n">
        <v>75016</v>
      </c>
      <c r="H1117" s="31" t="s">
        <v>36</v>
      </c>
      <c r="I1117" s="32" t="n">
        <v>145032702</v>
      </c>
      <c r="J1117" s="33" t="n">
        <v>168</v>
      </c>
      <c r="K1117" s="33" t="n">
        <v>6</v>
      </c>
      <c r="L1117" s="34" t="n">
        <v>2</v>
      </c>
      <c r="M1117" s="35" t="s">
        <v>164</v>
      </c>
      <c r="N1117" s="36" t="s">
        <v>2194</v>
      </c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39" t="n">
        <v>45114.4166666667</v>
      </c>
      <c r="Z1117" s="39"/>
      <c r="AA1117" s="28" t="n">
        <v>3</v>
      </c>
      <c r="AMJ1117" s="0"/>
    </row>
    <row r="1118" s="2" customFormat="true" ht="12.75" hidden="false" customHeight="true" outlineLevel="0" collapsed="false">
      <c r="A1118" s="27" t="s">
        <v>2195</v>
      </c>
      <c r="B1118" s="27" t="s">
        <v>2196</v>
      </c>
      <c r="C1118" s="28" t="s">
        <v>33</v>
      </c>
      <c r="D1118" s="27" t="s">
        <v>2132</v>
      </c>
      <c r="E1118" s="27"/>
      <c r="F1118" s="29" t="s">
        <v>2193</v>
      </c>
      <c r="G1118" s="30" t="n">
        <v>75016</v>
      </c>
      <c r="H1118" s="31" t="s">
        <v>36</v>
      </c>
      <c r="I1118" s="32" t="n">
        <v>175576860</v>
      </c>
      <c r="J1118" s="33" t="n">
        <v>53</v>
      </c>
      <c r="K1118" s="33" t="n">
        <v>1</v>
      </c>
      <c r="L1118" s="34"/>
      <c r="M1118" s="35"/>
      <c r="N1118" s="36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9"/>
      <c r="Z1118" s="39"/>
      <c r="AA1118" s="28"/>
      <c r="AC1118" s="2" t="s">
        <v>197</v>
      </c>
      <c r="AMJ1118" s="0"/>
    </row>
    <row r="1119" s="2" customFormat="true" ht="12.75" hidden="false" customHeight="true" outlineLevel="0" collapsed="false">
      <c r="A1119" s="27" t="s">
        <v>2197</v>
      </c>
      <c r="B1119" s="27" t="s">
        <v>1279</v>
      </c>
      <c r="C1119" s="28" t="s">
        <v>138</v>
      </c>
      <c r="D1119" s="27" t="s">
        <v>2132</v>
      </c>
      <c r="E1119" s="27"/>
      <c r="F1119" s="29" t="s">
        <v>2198</v>
      </c>
      <c r="G1119" s="30" t="n">
        <v>75016</v>
      </c>
      <c r="H1119" s="31" t="s">
        <v>36</v>
      </c>
      <c r="I1119" s="32" t="n">
        <v>145205465</v>
      </c>
      <c r="J1119" s="33" t="n">
        <v>226</v>
      </c>
      <c r="K1119" s="33" t="n">
        <v>1</v>
      </c>
      <c r="L1119" s="34"/>
      <c r="M1119" s="35"/>
      <c r="N1119" s="36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9"/>
      <c r="Z1119" s="39"/>
      <c r="AA1119" s="28"/>
      <c r="AMJ1119" s="0"/>
    </row>
    <row r="1120" s="2" customFormat="true" ht="12.75" hidden="false" customHeight="true" outlineLevel="0" collapsed="false">
      <c r="A1120" s="27" t="s">
        <v>2199</v>
      </c>
      <c r="B1120" s="27" t="s">
        <v>691</v>
      </c>
      <c r="C1120" s="28" t="s">
        <v>138</v>
      </c>
      <c r="D1120" s="27" t="s">
        <v>2132</v>
      </c>
      <c r="E1120" s="27"/>
      <c r="F1120" s="29" t="s">
        <v>2200</v>
      </c>
      <c r="G1120" s="30" t="n">
        <v>75016</v>
      </c>
      <c r="H1120" s="31" t="s">
        <v>36</v>
      </c>
      <c r="I1120" s="32" t="n">
        <v>145031506</v>
      </c>
      <c r="J1120" s="33" t="n">
        <v>257</v>
      </c>
      <c r="K1120" s="33" t="n">
        <v>1</v>
      </c>
      <c r="L1120" s="34"/>
      <c r="M1120" s="35"/>
      <c r="N1120" s="36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9"/>
      <c r="Z1120" s="39"/>
      <c r="AA1120" s="28"/>
      <c r="AMJ1120" s="0"/>
    </row>
    <row r="1121" s="2" customFormat="true" ht="12.75" hidden="false" customHeight="true" outlineLevel="0" collapsed="false">
      <c r="A1121" s="27" t="s">
        <v>2201</v>
      </c>
      <c r="B1121" s="27" t="s">
        <v>299</v>
      </c>
      <c r="C1121" s="28" t="s">
        <v>41</v>
      </c>
      <c r="D1121" s="27" t="s">
        <v>2132</v>
      </c>
      <c r="E1121" s="27"/>
      <c r="F1121" s="29" t="s">
        <v>2200</v>
      </c>
      <c r="G1121" s="30" t="n">
        <v>75016</v>
      </c>
      <c r="H1121" s="31" t="s">
        <v>36</v>
      </c>
      <c r="I1121" s="32" t="n">
        <v>175509772</v>
      </c>
      <c r="J1121" s="33" t="n">
        <v>299</v>
      </c>
      <c r="K1121" s="33" t="n">
        <v>0</v>
      </c>
      <c r="L1121" s="34"/>
      <c r="M1121" s="35"/>
      <c r="N1121" s="36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9"/>
      <c r="Z1121" s="39"/>
      <c r="AA1121" s="28"/>
      <c r="AMJ1121" s="0"/>
    </row>
    <row r="1122" s="2" customFormat="true" ht="12.75" hidden="false" customHeight="true" outlineLevel="0" collapsed="false">
      <c r="A1122" s="27" t="s">
        <v>2202</v>
      </c>
      <c r="B1122" s="27" t="s">
        <v>417</v>
      </c>
      <c r="C1122" s="28" t="s">
        <v>41</v>
      </c>
      <c r="D1122" s="27" t="s">
        <v>2132</v>
      </c>
      <c r="E1122" s="27"/>
      <c r="F1122" s="29" t="s">
        <v>2200</v>
      </c>
      <c r="G1122" s="30" t="n">
        <v>75016</v>
      </c>
      <c r="H1122" s="31" t="s">
        <v>36</v>
      </c>
      <c r="I1122" s="32" t="n">
        <v>175509772</v>
      </c>
      <c r="J1122" s="33" t="n">
        <v>268</v>
      </c>
      <c r="K1122" s="33" t="n">
        <v>1</v>
      </c>
      <c r="L1122" s="34"/>
      <c r="M1122" s="35"/>
      <c r="N1122" s="36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9"/>
      <c r="Z1122" s="39"/>
      <c r="AA1122" s="28"/>
      <c r="AMJ1122" s="0"/>
    </row>
    <row r="1123" s="2" customFormat="true" ht="12.75" hidden="false" customHeight="true" outlineLevel="0" collapsed="false">
      <c r="A1123" s="27" t="s">
        <v>2203</v>
      </c>
      <c r="B1123" s="27" t="s">
        <v>273</v>
      </c>
      <c r="C1123" s="28" t="s">
        <v>33</v>
      </c>
      <c r="D1123" s="27" t="s">
        <v>2132</v>
      </c>
      <c r="E1123" s="27"/>
      <c r="F1123" s="29" t="s">
        <v>2204</v>
      </c>
      <c r="G1123" s="30" t="n">
        <v>75016</v>
      </c>
      <c r="H1123" s="31" t="s">
        <v>36</v>
      </c>
      <c r="I1123" s="32" t="n">
        <v>145207862</v>
      </c>
      <c r="J1123" s="33" t="n">
        <v>63</v>
      </c>
      <c r="K1123" s="33" t="n">
        <v>1</v>
      </c>
      <c r="L1123" s="34"/>
      <c r="M1123" s="35"/>
      <c r="N1123" s="36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9"/>
      <c r="Z1123" s="39"/>
      <c r="AA1123" s="28"/>
      <c r="AC1123" s="2" t="s">
        <v>1478</v>
      </c>
      <c r="AMJ1123" s="0"/>
    </row>
    <row r="1124" s="2" customFormat="true" ht="12.75" hidden="false" customHeight="true" outlineLevel="0" collapsed="false">
      <c r="A1124" s="27" t="s">
        <v>2205</v>
      </c>
      <c r="B1124" s="27" t="s">
        <v>714</v>
      </c>
      <c r="C1124" s="28" t="s">
        <v>33</v>
      </c>
      <c r="D1124" s="27" t="s">
        <v>2132</v>
      </c>
      <c r="E1124" s="27"/>
      <c r="F1124" s="29" t="s">
        <v>2204</v>
      </c>
      <c r="G1124" s="30" t="n">
        <v>75016</v>
      </c>
      <c r="H1124" s="31" t="s">
        <v>36</v>
      </c>
      <c r="I1124" s="32" t="n">
        <v>145207862</v>
      </c>
      <c r="J1124" s="33" t="n">
        <v>63</v>
      </c>
      <c r="K1124" s="33" t="n">
        <v>1</v>
      </c>
      <c r="L1124" s="34"/>
      <c r="M1124" s="35"/>
      <c r="N1124" s="36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9"/>
      <c r="Z1124" s="39"/>
      <c r="AA1124" s="28"/>
      <c r="AC1124" s="2" t="s">
        <v>38</v>
      </c>
      <c r="AMJ1124" s="0"/>
    </row>
    <row r="1125" s="2" customFormat="true" ht="12.75" hidden="false" customHeight="true" outlineLevel="0" collapsed="false">
      <c r="A1125" s="27" t="s">
        <v>2206</v>
      </c>
      <c r="B1125" s="27" t="s">
        <v>157</v>
      </c>
      <c r="C1125" s="28" t="s">
        <v>33</v>
      </c>
      <c r="D1125" s="27" t="s">
        <v>2132</v>
      </c>
      <c r="E1125" s="27"/>
      <c r="F1125" s="29" t="s">
        <v>2204</v>
      </c>
      <c r="G1125" s="30" t="n">
        <v>75016</v>
      </c>
      <c r="H1125" s="31" t="s">
        <v>36</v>
      </c>
      <c r="I1125" s="32" t="n">
        <v>145207862</v>
      </c>
      <c r="J1125" s="33" t="n">
        <v>61</v>
      </c>
      <c r="K1125" s="33" t="n">
        <v>1</v>
      </c>
      <c r="L1125" s="34"/>
      <c r="M1125" s="35"/>
      <c r="N1125" s="36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9"/>
      <c r="Z1125" s="39"/>
      <c r="AA1125" s="28"/>
      <c r="AC1125" s="2" t="s">
        <v>38</v>
      </c>
      <c r="AMJ1125" s="0"/>
    </row>
    <row r="1126" s="2" customFormat="true" ht="12.75" hidden="false" customHeight="true" outlineLevel="0" collapsed="false">
      <c r="A1126" s="27" t="s">
        <v>2207</v>
      </c>
      <c r="B1126" s="27" t="s">
        <v>2208</v>
      </c>
      <c r="C1126" s="28" t="s">
        <v>33</v>
      </c>
      <c r="D1126" s="27" t="s">
        <v>2132</v>
      </c>
      <c r="E1126" s="27"/>
      <c r="F1126" s="29" t="s">
        <v>2204</v>
      </c>
      <c r="G1126" s="30" t="n">
        <v>75016</v>
      </c>
      <c r="H1126" s="31" t="s">
        <v>36</v>
      </c>
      <c r="I1126" s="32" t="n">
        <v>145207862</v>
      </c>
      <c r="J1126" s="33" t="n">
        <v>26</v>
      </c>
      <c r="K1126" s="33" t="n">
        <v>1</v>
      </c>
      <c r="L1126" s="34"/>
      <c r="M1126" s="35"/>
      <c r="N1126" s="36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9"/>
      <c r="Z1126" s="39"/>
      <c r="AA1126" s="28"/>
      <c r="AC1126" s="2" t="s">
        <v>1484</v>
      </c>
      <c r="AMJ1126" s="0"/>
    </row>
    <row r="1127" s="2" customFormat="true" ht="12.75" hidden="false" customHeight="true" outlineLevel="0" collapsed="false">
      <c r="A1127" s="27" t="s">
        <v>2209</v>
      </c>
      <c r="B1127" s="27" t="s">
        <v>590</v>
      </c>
      <c r="C1127" s="28" t="s">
        <v>138</v>
      </c>
      <c r="D1127" s="27" t="s">
        <v>2132</v>
      </c>
      <c r="E1127" s="27"/>
      <c r="F1127" s="29" t="s">
        <v>2210</v>
      </c>
      <c r="G1127" s="30" t="n">
        <v>75016</v>
      </c>
      <c r="H1127" s="31" t="s">
        <v>36</v>
      </c>
      <c r="I1127" s="32"/>
      <c r="J1127" s="33" t="n">
        <v>170</v>
      </c>
      <c r="K1127" s="33" t="n">
        <v>1</v>
      </c>
      <c r="L1127" s="34"/>
      <c r="M1127" s="35"/>
      <c r="N1127" s="36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9"/>
      <c r="Z1127" s="39"/>
      <c r="AA1127" s="28"/>
      <c r="AMJ1127" s="0"/>
    </row>
    <row r="1128" s="2" customFormat="true" ht="12.75" hidden="false" customHeight="true" outlineLevel="0" collapsed="false">
      <c r="A1128" s="27" t="s">
        <v>2211</v>
      </c>
      <c r="B1128" s="27" t="s">
        <v>1962</v>
      </c>
      <c r="C1128" s="28" t="s">
        <v>41</v>
      </c>
      <c r="D1128" s="27" t="s">
        <v>2132</v>
      </c>
      <c r="E1128" s="27"/>
      <c r="F1128" s="29" t="s">
        <v>2212</v>
      </c>
      <c r="G1128" s="30" t="n">
        <v>75016</v>
      </c>
      <c r="H1128" s="31" t="s">
        <v>36</v>
      </c>
      <c r="I1128" s="32" t="n">
        <v>145049395</v>
      </c>
      <c r="J1128" s="33" t="n">
        <v>275</v>
      </c>
      <c r="K1128" s="33" t="n">
        <v>1</v>
      </c>
      <c r="L1128" s="34"/>
      <c r="M1128" s="35"/>
      <c r="N1128" s="36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9"/>
      <c r="Z1128" s="39"/>
      <c r="AA1128" s="28"/>
      <c r="AMJ1128" s="0"/>
    </row>
    <row r="1129" s="2" customFormat="true" ht="12.75" hidden="false" customHeight="true" outlineLevel="0" collapsed="false">
      <c r="A1129" s="27" t="s">
        <v>1953</v>
      </c>
      <c r="B1129" s="27" t="s">
        <v>335</v>
      </c>
      <c r="C1129" s="28" t="s">
        <v>33</v>
      </c>
      <c r="D1129" s="27" t="s">
        <v>2132</v>
      </c>
      <c r="E1129" s="27"/>
      <c r="F1129" s="29" t="s">
        <v>2213</v>
      </c>
      <c r="G1129" s="30" t="n">
        <v>75016</v>
      </c>
      <c r="H1129" s="31" t="s">
        <v>36</v>
      </c>
      <c r="I1129" s="32" t="n">
        <v>145656106</v>
      </c>
      <c r="J1129" s="33" t="n">
        <v>40</v>
      </c>
      <c r="K1129" s="33" t="n">
        <v>1</v>
      </c>
      <c r="L1129" s="34"/>
      <c r="M1129" s="35"/>
      <c r="N1129" s="36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9"/>
      <c r="Z1129" s="39"/>
      <c r="AA1129" s="28"/>
      <c r="AC1129" s="2" t="s">
        <v>38</v>
      </c>
      <c r="AMJ1129" s="0"/>
    </row>
    <row r="1130" s="2" customFormat="true" ht="12.75" hidden="false" customHeight="true" outlineLevel="0" collapsed="false">
      <c r="A1130" s="27" t="s">
        <v>2214</v>
      </c>
      <c r="B1130" s="27" t="s">
        <v>1266</v>
      </c>
      <c r="C1130" s="28" t="s">
        <v>33</v>
      </c>
      <c r="D1130" s="27" t="s">
        <v>2132</v>
      </c>
      <c r="E1130" s="27"/>
      <c r="F1130" s="29" t="s">
        <v>2213</v>
      </c>
      <c r="G1130" s="30" t="n">
        <v>75016</v>
      </c>
      <c r="H1130" s="31" t="s">
        <v>36</v>
      </c>
      <c r="I1130" s="32" t="n">
        <v>145656106</v>
      </c>
      <c r="J1130" s="33" t="n">
        <v>40</v>
      </c>
      <c r="K1130" s="33" t="n">
        <v>1</v>
      </c>
      <c r="L1130" s="34"/>
      <c r="M1130" s="35"/>
      <c r="N1130" s="36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9"/>
      <c r="Z1130" s="39"/>
      <c r="AA1130" s="28"/>
      <c r="AC1130" s="2" t="s">
        <v>38</v>
      </c>
      <c r="AMJ1130" s="0"/>
    </row>
    <row r="1131" s="2" customFormat="true" ht="12.75" hidden="false" customHeight="true" outlineLevel="0" collapsed="false">
      <c r="A1131" s="27" t="s">
        <v>2215</v>
      </c>
      <c r="B1131" s="27" t="s">
        <v>2216</v>
      </c>
      <c r="C1131" s="28" t="s">
        <v>33</v>
      </c>
      <c r="D1131" s="27" t="s">
        <v>2132</v>
      </c>
      <c r="E1131" s="27"/>
      <c r="F1131" s="29" t="s">
        <v>2213</v>
      </c>
      <c r="G1131" s="30" t="n">
        <v>75016</v>
      </c>
      <c r="H1131" s="31" t="s">
        <v>36</v>
      </c>
      <c r="I1131" s="32" t="n">
        <v>145656106</v>
      </c>
      <c r="J1131" s="33" t="n">
        <v>40</v>
      </c>
      <c r="K1131" s="33" t="n">
        <v>1</v>
      </c>
      <c r="L1131" s="34"/>
      <c r="M1131" s="35"/>
      <c r="N1131" s="36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9"/>
      <c r="Z1131" s="39"/>
      <c r="AA1131" s="28"/>
      <c r="AC1131" s="2" t="s">
        <v>1484</v>
      </c>
      <c r="AMJ1131" s="0"/>
    </row>
    <row r="1132" s="2" customFormat="true" ht="12.75" hidden="false" customHeight="true" outlineLevel="0" collapsed="false">
      <c r="A1132" s="27" t="s">
        <v>2217</v>
      </c>
      <c r="B1132" s="27" t="s">
        <v>332</v>
      </c>
      <c r="C1132" s="28" t="s">
        <v>33</v>
      </c>
      <c r="D1132" s="27" t="s">
        <v>2132</v>
      </c>
      <c r="E1132" s="27"/>
      <c r="F1132" s="29" t="s">
        <v>2213</v>
      </c>
      <c r="G1132" s="30" t="n">
        <v>75016</v>
      </c>
      <c r="H1132" s="31" t="s">
        <v>36</v>
      </c>
      <c r="I1132" s="32" t="n">
        <v>145656106</v>
      </c>
      <c r="J1132" s="33" t="n">
        <v>40</v>
      </c>
      <c r="K1132" s="33" t="n">
        <v>2</v>
      </c>
      <c r="L1132" s="34"/>
      <c r="M1132" s="35"/>
      <c r="N1132" s="36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9"/>
      <c r="Z1132" s="39"/>
      <c r="AA1132" s="28"/>
      <c r="AC1132" s="2" t="s">
        <v>38</v>
      </c>
      <c r="AMJ1132" s="0"/>
    </row>
    <row r="1133" s="2" customFormat="true" ht="12.75" hidden="false" customHeight="true" outlineLevel="0" collapsed="false">
      <c r="A1133" s="27" t="s">
        <v>362</v>
      </c>
      <c r="B1133" s="27" t="s">
        <v>63</v>
      </c>
      <c r="C1133" s="28" t="s">
        <v>41</v>
      </c>
      <c r="D1133" s="27" t="s">
        <v>2132</v>
      </c>
      <c r="E1133" s="27"/>
      <c r="F1133" s="29" t="s">
        <v>2218</v>
      </c>
      <c r="G1133" s="30" t="n">
        <v>75016</v>
      </c>
      <c r="H1133" s="31" t="s">
        <v>36</v>
      </c>
      <c r="I1133" s="32"/>
      <c r="J1133" s="33" t="n">
        <v>220</v>
      </c>
      <c r="K1133" s="33" t="n">
        <v>1</v>
      </c>
      <c r="L1133" s="34"/>
      <c r="M1133" s="35"/>
      <c r="N1133" s="36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9"/>
      <c r="Z1133" s="39"/>
      <c r="AA1133" s="28"/>
      <c r="AMJ1133" s="0"/>
    </row>
    <row r="1134" s="2" customFormat="true" ht="12.75" hidden="false" customHeight="true" outlineLevel="0" collapsed="false">
      <c r="A1134" s="27" t="s">
        <v>244</v>
      </c>
      <c r="B1134" s="27" t="s">
        <v>384</v>
      </c>
      <c r="C1134" s="28" t="s">
        <v>41</v>
      </c>
      <c r="D1134" s="27" t="s">
        <v>2132</v>
      </c>
      <c r="E1134" s="27"/>
      <c r="F1134" s="29" t="s">
        <v>2219</v>
      </c>
      <c r="G1134" s="30" t="n">
        <v>75016</v>
      </c>
      <c r="H1134" s="31" t="s">
        <v>36</v>
      </c>
      <c r="I1134" s="32" t="n">
        <v>145248388</v>
      </c>
      <c r="J1134" s="33" t="n">
        <v>144</v>
      </c>
      <c r="K1134" s="33" t="n">
        <v>0</v>
      </c>
      <c r="L1134" s="34"/>
      <c r="M1134" s="35"/>
      <c r="N1134" s="36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9"/>
      <c r="Z1134" s="39"/>
      <c r="AA1134" s="28"/>
      <c r="AMJ1134" s="0"/>
    </row>
    <row r="1135" s="2" customFormat="true" ht="12.75" hidden="false" customHeight="true" outlineLevel="0" collapsed="false">
      <c r="A1135" s="27" t="s">
        <v>2220</v>
      </c>
      <c r="B1135" s="27" t="s">
        <v>596</v>
      </c>
      <c r="C1135" s="28" t="s">
        <v>41</v>
      </c>
      <c r="D1135" s="27" t="s">
        <v>2132</v>
      </c>
      <c r="E1135" s="27"/>
      <c r="F1135" s="29" t="s">
        <v>2221</v>
      </c>
      <c r="G1135" s="30" t="n">
        <v>75016</v>
      </c>
      <c r="H1135" s="31" t="s">
        <v>36</v>
      </c>
      <c r="I1135" s="32" t="n">
        <v>145206295</v>
      </c>
      <c r="J1135" s="33" t="n">
        <v>395</v>
      </c>
      <c r="K1135" s="33" t="n">
        <v>19</v>
      </c>
      <c r="L1135" s="34" t="n">
        <v>2</v>
      </c>
      <c r="M1135" s="35" t="s">
        <v>716</v>
      </c>
      <c r="N1135" s="36"/>
      <c r="O1135" s="41"/>
      <c r="P1135" s="41" t="n">
        <v>0.572916666666667</v>
      </c>
      <c r="Q1135" s="41"/>
      <c r="R1135" s="41"/>
      <c r="S1135" s="41"/>
      <c r="T1135" s="41" t="n">
        <v>0.572916666666667</v>
      </c>
      <c r="U1135" s="41"/>
      <c r="V1135" s="41"/>
      <c r="W1135" s="41"/>
      <c r="X1135" s="41"/>
      <c r="Y1135" s="39"/>
      <c r="Z1135" s="39"/>
      <c r="AA1135" s="28" t="n">
        <v>3</v>
      </c>
      <c r="AMJ1135" s="0"/>
    </row>
    <row r="1136" s="2" customFormat="true" ht="12.75" hidden="false" customHeight="true" outlineLevel="0" collapsed="false">
      <c r="A1136" s="27" t="s">
        <v>2222</v>
      </c>
      <c r="B1136" s="27" t="s">
        <v>280</v>
      </c>
      <c r="C1136" s="28" t="s">
        <v>138</v>
      </c>
      <c r="D1136" s="27" t="s">
        <v>2132</v>
      </c>
      <c r="E1136" s="27"/>
      <c r="F1136" s="29" t="s">
        <v>2223</v>
      </c>
      <c r="G1136" s="30" t="n">
        <v>75016</v>
      </c>
      <c r="H1136" s="31" t="s">
        <v>36</v>
      </c>
      <c r="I1136" s="32" t="n">
        <v>147550770</v>
      </c>
      <c r="J1136" s="33" t="n">
        <v>247</v>
      </c>
      <c r="K1136" s="33" t="n">
        <v>1</v>
      </c>
      <c r="L1136" s="34"/>
      <c r="M1136" s="35"/>
      <c r="N1136" s="36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9"/>
      <c r="Z1136" s="39"/>
      <c r="AA1136" s="28"/>
      <c r="AMJ1136" s="0"/>
    </row>
    <row r="1137" s="2" customFormat="true" ht="12.75" hidden="false" customHeight="true" outlineLevel="0" collapsed="false">
      <c r="A1137" s="27" t="s">
        <v>2224</v>
      </c>
      <c r="B1137" s="27" t="s">
        <v>669</v>
      </c>
      <c r="C1137" s="28" t="s">
        <v>41</v>
      </c>
      <c r="D1137" s="27" t="s">
        <v>2132</v>
      </c>
      <c r="E1137" s="27"/>
      <c r="F1137" s="29" t="s">
        <v>2225</v>
      </c>
      <c r="G1137" s="30" t="n">
        <v>75016</v>
      </c>
      <c r="H1137" s="31" t="s">
        <v>36</v>
      </c>
      <c r="I1137" s="32" t="n">
        <v>145254419</v>
      </c>
      <c r="J1137" s="33" t="n">
        <v>345</v>
      </c>
      <c r="K1137" s="33" t="n">
        <v>6</v>
      </c>
      <c r="L1137" s="34"/>
      <c r="M1137" s="43" t="s">
        <v>155</v>
      </c>
      <c r="N1137" s="36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39"/>
      <c r="Z1137" s="39" t="n">
        <v>45195.5</v>
      </c>
      <c r="AA1137" s="28"/>
      <c r="AMJ1137" s="0"/>
    </row>
    <row r="1138" s="2" customFormat="true" ht="12.75" hidden="false" customHeight="true" outlineLevel="0" collapsed="false">
      <c r="A1138" s="27" t="s">
        <v>2226</v>
      </c>
      <c r="B1138" s="27" t="s">
        <v>309</v>
      </c>
      <c r="C1138" s="28" t="s">
        <v>138</v>
      </c>
      <c r="D1138" s="27" t="s">
        <v>2132</v>
      </c>
      <c r="E1138" s="27"/>
      <c r="F1138" s="29" t="s">
        <v>2227</v>
      </c>
      <c r="G1138" s="30" t="n">
        <v>75016</v>
      </c>
      <c r="H1138" s="31" t="s">
        <v>36</v>
      </c>
      <c r="I1138" s="32" t="n">
        <v>147272900</v>
      </c>
      <c r="J1138" s="33" t="n">
        <v>378</v>
      </c>
      <c r="K1138" s="33" t="n">
        <v>6</v>
      </c>
      <c r="L1138" s="34" t="n">
        <v>2</v>
      </c>
      <c r="M1138" s="35" t="s">
        <v>164</v>
      </c>
      <c r="N1138" s="36" t="s">
        <v>165</v>
      </c>
      <c r="O1138" s="41"/>
      <c r="P1138" s="41"/>
      <c r="Q1138" s="41" t="s">
        <v>2228</v>
      </c>
      <c r="R1138" s="41"/>
      <c r="S1138" s="41"/>
      <c r="T1138" s="41"/>
      <c r="U1138" s="41"/>
      <c r="V1138" s="41"/>
      <c r="W1138" s="41" t="s">
        <v>2228</v>
      </c>
      <c r="X1138" s="41"/>
      <c r="Y1138" s="39" t="n">
        <v>45114.4583333333</v>
      </c>
      <c r="Z1138" s="39"/>
      <c r="AA1138" s="28" t="n">
        <v>3</v>
      </c>
      <c r="AMJ1138" s="0"/>
    </row>
    <row r="1139" s="2" customFormat="true" ht="12.75" hidden="false" customHeight="true" outlineLevel="0" collapsed="false">
      <c r="A1139" s="27" t="s">
        <v>2229</v>
      </c>
      <c r="B1139" s="27" t="s">
        <v>2230</v>
      </c>
      <c r="C1139" s="28" t="s">
        <v>138</v>
      </c>
      <c r="D1139" s="27" t="s">
        <v>2132</v>
      </c>
      <c r="E1139" s="27"/>
      <c r="F1139" s="29" t="s">
        <v>2231</v>
      </c>
      <c r="G1139" s="30" t="n">
        <v>75016</v>
      </c>
      <c r="H1139" s="31" t="s">
        <v>36</v>
      </c>
      <c r="I1139" s="32" t="n">
        <v>145537494</v>
      </c>
      <c r="J1139" s="33" t="n">
        <v>218</v>
      </c>
      <c r="K1139" s="33" t="n">
        <v>2</v>
      </c>
      <c r="L1139" s="34"/>
      <c r="M1139" s="35"/>
      <c r="N1139" s="36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9"/>
      <c r="Z1139" s="39"/>
      <c r="AA1139" s="28"/>
      <c r="AMJ1139" s="0"/>
    </row>
    <row r="1140" s="2" customFormat="true" ht="12.75" hidden="false" customHeight="true" outlineLevel="0" collapsed="false">
      <c r="A1140" s="27" t="s">
        <v>2232</v>
      </c>
      <c r="B1140" s="27" t="s">
        <v>1672</v>
      </c>
      <c r="C1140" s="28" t="s">
        <v>138</v>
      </c>
      <c r="D1140" s="27" t="s">
        <v>2132</v>
      </c>
      <c r="E1140" s="27"/>
      <c r="F1140" s="29" t="s">
        <v>2233</v>
      </c>
      <c r="G1140" s="30" t="n">
        <v>75016</v>
      </c>
      <c r="H1140" s="31" t="s">
        <v>36</v>
      </c>
      <c r="I1140" s="32" t="n">
        <v>176215580</v>
      </c>
      <c r="J1140" s="33" t="n">
        <v>0</v>
      </c>
      <c r="K1140" s="33" t="n">
        <v>5</v>
      </c>
      <c r="L1140" s="34"/>
      <c r="M1140" s="35"/>
      <c r="N1140" s="36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9"/>
      <c r="Z1140" s="39"/>
      <c r="AA1140" s="28"/>
      <c r="AMJ1140" s="0"/>
    </row>
    <row r="1141" s="2" customFormat="true" ht="12.75" hidden="false" customHeight="true" outlineLevel="0" collapsed="false">
      <c r="A1141" s="27" t="s">
        <v>2234</v>
      </c>
      <c r="B1141" s="27" t="s">
        <v>273</v>
      </c>
      <c r="C1141" s="28" t="s">
        <v>41</v>
      </c>
      <c r="D1141" s="27" t="s">
        <v>2132</v>
      </c>
      <c r="E1141" s="27"/>
      <c r="F1141" s="29" t="s">
        <v>2235</v>
      </c>
      <c r="G1141" s="30" t="n">
        <v>75016</v>
      </c>
      <c r="H1141" s="31" t="s">
        <v>36</v>
      </c>
      <c r="I1141" s="32" t="n">
        <v>145272709</v>
      </c>
      <c r="J1141" s="33" t="n">
        <v>287</v>
      </c>
      <c r="K1141" s="33" t="n">
        <v>5</v>
      </c>
      <c r="L1141" s="34"/>
      <c r="M1141" s="35"/>
      <c r="N1141" s="36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9"/>
      <c r="Z1141" s="39"/>
      <c r="AA1141" s="28"/>
      <c r="AMJ1141" s="0"/>
    </row>
    <row r="1142" s="2" customFormat="true" ht="12.75" hidden="false" customHeight="true" outlineLevel="0" collapsed="false">
      <c r="A1142" s="27" t="s">
        <v>2236</v>
      </c>
      <c r="B1142" s="27" t="s">
        <v>1054</v>
      </c>
      <c r="C1142" s="28" t="s">
        <v>41</v>
      </c>
      <c r="D1142" s="27" t="s">
        <v>2132</v>
      </c>
      <c r="E1142" s="27"/>
      <c r="F1142" s="29" t="s">
        <v>2237</v>
      </c>
      <c r="G1142" s="30" t="n">
        <v>75016</v>
      </c>
      <c r="H1142" s="31" t="s">
        <v>36</v>
      </c>
      <c r="I1142" s="32" t="n">
        <v>980316715</v>
      </c>
      <c r="J1142" s="33" t="n">
        <v>11</v>
      </c>
      <c r="K1142" s="33" t="n">
        <v>1</v>
      </c>
      <c r="L1142" s="34"/>
      <c r="M1142" s="35"/>
      <c r="N1142" s="36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9"/>
      <c r="Z1142" s="39"/>
      <c r="AA1142" s="28"/>
      <c r="AMJ1142" s="0"/>
    </row>
    <row r="1143" s="2" customFormat="true" ht="12.75" hidden="false" customHeight="true" outlineLevel="0" collapsed="false">
      <c r="A1143" s="27" t="s">
        <v>2238</v>
      </c>
      <c r="B1143" s="27" t="s">
        <v>2239</v>
      </c>
      <c r="C1143" s="28" t="s">
        <v>41</v>
      </c>
      <c r="D1143" s="27" t="s">
        <v>2132</v>
      </c>
      <c r="E1143" s="27"/>
      <c r="F1143" s="29" t="s">
        <v>2240</v>
      </c>
      <c r="G1143" s="30" t="n">
        <v>75016</v>
      </c>
      <c r="H1143" s="31" t="s">
        <v>36</v>
      </c>
      <c r="I1143" s="32" t="n">
        <v>142888090</v>
      </c>
      <c r="J1143" s="33" t="n">
        <v>271</v>
      </c>
      <c r="K1143" s="33" t="n">
        <v>7</v>
      </c>
      <c r="L1143" s="34"/>
      <c r="M1143" s="35"/>
      <c r="N1143" s="36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9"/>
      <c r="Z1143" s="39"/>
      <c r="AA1143" s="28"/>
      <c r="AMJ1143" s="0"/>
    </row>
    <row r="1144" s="2" customFormat="true" ht="12.75" hidden="false" customHeight="true" outlineLevel="0" collapsed="false">
      <c r="A1144" s="27" t="s">
        <v>2241</v>
      </c>
      <c r="B1144" s="27" t="s">
        <v>160</v>
      </c>
      <c r="C1144" s="28" t="s">
        <v>41</v>
      </c>
      <c r="D1144" s="27" t="s">
        <v>2132</v>
      </c>
      <c r="E1144" s="27"/>
      <c r="F1144" s="29" t="s">
        <v>2242</v>
      </c>
      <c r="G1144" s="30" t="n">
        <v>75016</v>
      </c>
      <c r="H1144" s="31" t="s">
        <v>36</v>
      </c>
      <c r="I1144" s="32" t="n">
        <v>147272475</v>
      </c>
      <c r="J1144" s="33" t="n">
        <v>240</v>
      </c>
      <c r="K1144" s="33" t="n">
        <v>8</v>
      </c>
      <c r="L1144" s="34"/>
      <c r="M1144" s="35"/>
      <c r="N1144" s="36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9"/>
      <c r="Z1144" s="39"/>
      <c r="AA1144" s="28"/>
      <c r="AMJ1144" s="0"/>
    </row>
    <row r="1145" s="2" customFormat="true" ht="12.75" hidden="false" customHeight="true" outlineLevel="0" collapsed="false">
      <c r="A1145" s="27" t="s">
        <v>2243</v>
      </c>
      <c r="B1145" s="27" t="s">
        <v>157</v>
      </c>
      <c r="C1145" s="28" t="s">
        <v>138</v>
      </c>
      <c r="D1145" s="27" t="s">
        <v>2132</v>
      </c>
      <c r="E1145" s="27"/>
      <c r="F1145" s="29" t="s">
        <v>2244</v>
      </c>
      <c r="G1145" s="30" t="n">
        <v>75016</v>
      </c>
      <c r="H1145" s="31" t="s">
        <v>36</v>
      </c>
      <c r="I1145" s="32" t="n">
        <v>144085883</v>
      </c>
      <c r="J1145" s="33" t="n">
        <v>237</v>
      </c>
      <c r="K1145" s="33" t="n">
        <v>1</v>
      </c>
      <c r="L1145" s="34"/>
      <c r="M1145" s="35"/>
      <c r="N1145" s="36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9"/>
      <c r="Z1145" s="39"/>
      <c r="AA1145" s="28"/>
      <c r="AMJ1145" s="0"/>
    </row>
    <row r="1146" s="2" customFormat="true" ht="12.75" hidden="false" customHeight="true" outlineLevel="0" collapsed="false">
      <c r="A1146" s="27" t="s">
        <v>2245</v>
      </c>
      <c r="B1146" s="27" t="s">
        <v>88</v>
      </c>
      <c r="C1146" s="28" t="s">
        <v>138</v>
      </c>
      <c r="D1146" s="27" t="s">
        <v>2132</v>
      </c>
      <c r="E1146" s="27"/>
      <c r="F1146" s="29" t="s">
        <v>2246</v>
      </c>
      <c r="G1146" s="30" t="n">
        <v>75016</v>
      </c>
      <c r="H1146" s="31" t="s">
        <v>36</v>
      </c>
      <c r="I1146" s="32"/>
      <c r="J1146" s="33" t="n">
        <v>230</v>
      </c>
      <c r="K1146" s="33" t="n">
        <v>1</v>
      </c>
      <c r="L1146" s="34"/>
      <c r="M1146" s="35"/>
      <c r="N1146" s="36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9"/>
      <c r="Z1146" s="39"/>
      <c r="AA1146" s="28"/>
      <c r="AMJ1146" s="0"/>
    </row>
    <row r="1147" s="2" customFormat="true" ht="12.75" hidden="false" customHeight="true" outlineLevel="0" collapsed="false">
      <c r="A1147" s="27" t="s">
        <v>2247</v>
      </c>
      <c r="B1147" s="27" t="s">
        <v>2248</v>
      </c>
      <c r="C1147" s="28" t="s">
        <v>33</v>
      </c>
      <c r="D1147" s="27" t="s">
        <v>2132</v>
      </c>
      <c r="E1147" s="27"/>
      <c r="F1147" s="29" t="s">
        <v>2246</v>
      </c>
      <c r="G1147" s="30" t="n">
        <v>75016</v>
      </c>
      <c r="H1147" s="31" t="s">
        <v>36</v>
      </c>
      <c r="I1147" s="32" t="n">
        <v>140728481</v>
      </c>
      <c r="J1147" s="33" t="n">
        <v>53</v>
      </c>
      <c r="K1147" s="33" t="n">
        <v>1</v>
      </c>
      <c r="L1147" s="34"/>
      <c r="M1147" s="35"/>
      <c r="N1147" s="36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9"/>
      <c r="Z1147" s="39"/>
      <c r="AA1147" s="28"/>
      <c r="AC1147" s="2" t="s">
        <v>38</v>
      </c>
      <c r="AMJ1147" s="0"/>
    </row>
    <row r="1148" s="2" customFormat="true" ht="12.75" hidden="false" customHeight="true" outlineLevel="0" collapsed="false">
      <c r="A1148" s="27" t="s">
        <v>1736</v>
      </c>
      <c r="B1148" s="27" t="s">
        <v>151</v>
      </c>
      <c r="C1148" s="28" t="s">
        <v>178</v>
      </c>
      <c r="D1148" s="27" t="s">
        <v>2132</v>
      </c>
      <c r="E1148" s="27"/>
      <c r="F1148" s="29" t="s">
        <v>2249</v>
      </c>
      <c r="G1148" s="30" t="n">
        <v>75016</v>
      </c>
      <c r="H1148" s="31" t="s">
        <v>36</v>
      </c>
      <c r="I1148" s="32" t="n">
        <v>140722888</v>
      </c>
      <c r="J1148" s="33" t="n">
        <v>134</v>
      </c>
      <c r="K1148" s="33" t="n">
        <v>1</v>
      </c>
      <c r="L1148" s="34"/>
      <c r="M1148" s="35"/>
      <c r="N1148" s="36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9"/>
      <c r="Z1148" s="39"/>
      <c r="AA1148" s="28"/>
      <c r="AMJ1148" s="0"/>
    </row>
    <row r="1149" s="2" customFormat="true" ht="12.75" hidden="false" customHeight="true" outlineLevel="0" collapsed="false">
      <c r="A1149" s="27" t="s">
        <v>2250</v>
      </c>
      <c r="B1149" s="27" t="s">
        <v>1883</v>
      </c>
      <c r="C1149" s="28" t="s">
        <v>33</v>
      </c>
      <c r="D1149" s="27" t="s">
        <v>2132</v>
      </c>
      <c r="E1149" s="27"/>
      <c r="F1149" s="29" t="s">
        <v>2251</v>
      </c>
      <c r="G1149" s="30" t="n">
        <v>75016</v>
      </c>
      <c r="H1149" s="31" t="s">
        <v>36</v>
      </c>
      <c r="I1149" s="32" t="n">
        <v>761298304</v>
      </c>
      <c r="J1149" s="33" t="n">
        <v>52</v>
      </c>
      <c r="K1149" s="33" t="n">
        <v>1</v>
      </c>
      <c r="L1149" s="34"/>
      <c r="M1149" s="35"/>
      <c r="N1149" s="36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9"/>
      <c r="Z1149" s="39"/>
      <c r="AA1149" s="28"/>
      <c r="AC1149" s="2" t="s">
        <v>38</v>
      </c>
      <c r="AMJ1149" s="0"/>
    </row>
    <row r="1150" s="2" customFormat="true" ht="12.75" hidden="false" customHeight="true" outlineLevel="0" collapsed="false">
      <c r="A1150" s="27" t="s">
        <v>2252</v>
      </c>
      <c r="B1150" s="27" t="s">
        <v>470</v>
      </c>
      <c r="C1150" s="28" t="s">
        <v>41</v>
      </c>
      <c r="D1150" s="27" t="s">
        <v>2132</v>
      </c>
      <c r="E1150" s="27"/>
      <c r="F1150" s="29" t="s">
        <v>2253</v>
      </c>
      <c r="G1150" s="30" t="n">
        <v>75016</v>
      </c>
      <c r="H1150" s="31" t="s">
        <v>36</v>
      </c>
      <c r="I1150" s="32" t="n">
        <v>140727474</v>
      </c>
      <c r="J1150" s="33" t="n">
        <v>290</v>
      </c>
      <c r="K1150" s="33" t="n">
        <v>1</v>
      </c>
      <c r="L1150" s="34"/>
      <c r="M1150" s="35"/>
      <c r="N1150" s="36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9"/>
      <c r="Z1150" s="39"/>
      <c r="AA1150" s="28"/>
      <c r="AMJ1150" s="0"/>
    </row>
    <row r="1151" s="2" customFormat="true" ht="12.75" hidden="false" customHeight="true" outlineLevel="0" collapsed="false">
      <c r="A1151" s="27" t="s">
        <v>2254</v>
      </c>
      <c r="B1151" s="27" t="s">
        <v>1094</v>
      </c>
      <c r="C1151" s="28" t="s">
        <v>121</v>
      </c>
      <c r="D1151" s="27" t="s">
        <v>2132</v>
      </c>
      <c r="E1151" s="27"/>
      <c r="F1151" s="29" t="s">
        <v>2255</v>
      </c>
      <c r="G1151" s="30" t="n">
        <v>75016</v>
      </c>
      <c r="H1151" s="31" t="s">
        <v>36</v>
      </c>
      <c r="I1151" s="32" t="n">
        <v>153922569</v>
      </c>
      <c r="J1151" s="33" t="n">
        <v>224</v>
      </c>
      <c r="K1151" s="33" t="n">
        <v>14</v>
      </c>
      <c r="L1151" s="34" t="n">
        <v>3</v>
      </c>
      <c r="M1151" s="35" t="s">
        <v>164</v>
      </c>
      <c r="N1151" s="36" t="s">
        <v>165</v>
      </c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39" t="n">
        <v>45119.375</v>
      </c>
      <c r="Z1151" s="39"/>
      <c r="AA1151" s="28" t="n">
        <v>3</v>
      </c>
      <c r="AMJ1151" s="0"/>
    </row>
    <row r="1152" s="2" customFormat="true" ht="12.75" hidden="false" customHeight="true" outlineLevel="0" collapsed="false">
      <c r="A1152" s="27" t="s">
        <v>2256</v>
      </c>
      <c r="B1152" s="27" t="s">
        <v>2196</v>
      </c>
      <c r="C1152" s="28" t="s">
        <v>121</v>
      </c>
      <c r="D1152" s="27" t="s">
        <v>2132</v>
      </c>
      <c r="E1152" s="27"/>
      <c r="F1152" s="29" t="s">
        <v>2257</v>
      </c>
      <c r="G1152" s="30" t="n">
        <v>75016</v>
      </c>
      <c r="H1152" s="31" t="s">
        <v>36</v>
      </c>
      <c r="I1152" s="32" t="n">
        <v>145045358</v>
      </c>
      <c r="J1152" s="33" t="n">
        <v>116</v>
      </c>
      <c r="K1152" s="33" t="n">
        <v>2</v>
      </c>
      <c r="L1152" s="34"/>
      <c r="M1152" s="35"/>
      <c r="N1152" s="36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9"/>
      <c r="Z1152" s="39"/>
      <c r="AA1152" s="28"/>
      <c r="AMJ1152" s="0"/>
    </row>
    <row r="1153" s="2" customFormat="true" ht="12.75" hidden="false" customHeight="true" outlineLevel="0" collapsed="false">
      <c r="A1153" s="27" t="s">
        <v>2258</v>
      </c>
      <c r="B1153" s="27" t="s">
        <v>172</v>
      </c>
      <c r="C1153" s="28" t="s">
        <v>41</v>
      </c>
      <c r="D1153" s="27" t="s">
        <v>2132</v>
      </c>
      <c r="E1153" s="27"/>
      <c r="F1153" s="29" t="s">
        <v>2259</v>
      </c>
      <c r="G1153" s="30" t="n">
        <v>75016</v>
      </c>
      <c r="H1153" s="31" t="s">
        <v>36</v>
      </c>
      <c r="I1153" s="32" t="n">
        <v>142240303</v>
      </c>
      <c r="J1153" s="33" t="n">
        <v>310</v>
      </c>
      <c r="K1153" s="33" t="n">
        <v>1</v>
      </c>
      <c r="L1153" s="34"/>
      <c r="M1153" s="35"/>
      <c r="N1153" s="36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9"/>
      <c r="Z1153" s="39"/>
      <c r="AA1153" s="28"/>
      <c r="AMJ1153" s="0"/>
    </row>
    <row r="1154" s="2" customFormat="true" ht="12.75" hidden="false" customHeight="true" outlineLevel="0" collapsed="false">
      <c r="A1154" s="27" t="s">
        <v>2260</v>
      </c>
      <c r="B1154" s="27" t="s">
        <v>234</v>
      </c>
      <c r="C1154" s="28" t="s">
        <v>33</v>
      </c>
      <c r="D1154" s="27" t="s">
        <v>2132</v>
      </c>
      <c r="E1154" s="27"/>
      <c r="F1154" s="29" t="s">
        <v>2259</v>
      </c>
      <c r="G1154" s="30" t="n">
        <v>75016</v>
      </c>
      <c r="H1154" s="31" t="s">
        <v>36</v>
      </c>
      <c r="I1154" s="32" t="n">
        <v>142240303</v>
      </c>
      <c r="J1154" s="33" t="n">
        <v>55</v>
      </c>
      <c r="K1154" s="33" t="n">
        <v>1</v>
      </c>
      <c r="L1154" s="34"/>
      <c r="M1154" s="35"/>
      <c r="N1154" s="36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9"/>
      <c r="Z1154" s="39"/>
      <c r="AA1154" s="28"/>
      <c r="AC1154" s="2" t="s">
        <v>38</v>
      </c>
      <c r="AMJ1154" s="0"/>
    </row>
    <row r="1155" s="2" customFormat="true" ht="12.75" hidden="false" customHeight="true" outlineLevel="0" collapsed="false">
      <c r="A1155" s="27" t="s">
        <v>812</v>
      </c>
      <c r="B1155" s="27" t="s">
        <v>157</v>
      </c>
      <c r="C1155" s="28" t="s">
        <v>33</v>
      </c>
      <c r="D1155" s="27" t="s">
        <v>2132</v>
      </c>
      <c r="E1155" s="27"/>
      <c r="F1155" s="29" t="s">
        <v>2259</v>
      </c>
      <c r="G1155" s="30" t="n">
        <v>75016</v>
      </c>
      <c r="H1155" s="31" t="s">
        <v>36</v>
      </c>
      <c r="I1155" s="32" t="n">
        <v>146082105</v>
      </c>
      <c r="J1155" s="33" t="n">
        <v>53</v>
      </c>
      <c r="K1155" s="33" t="n">
        <v>1</v>
      </c>
      <c r="L1155" s="34"/>
      <c r="M1155" s="35"/>
      <c r="N1155" s="36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9"/>
      <c r="Z1155" s="39"/>
      <c r="AA1155" s="28"/>
      <c r="AC1155" s="2" t="s">
        <v>38</v>
      </c>
      <c r="AMJ1155" s="0"/>
    </row>
    <row r="1156" s="2" customFormat="true" ht="12.75" hidden="false" customHeight="true" outlineLevel="0" collapsed="false">
      <c r="A1156" s="27" t="s">
        <v>2261</v>
      </c>
      <c r="B1156" s="27" t="s">
        <v>94</v>
      </c>
      <c r="C1156" s="28" t="s">
        <v>138</v>
      </c>
      <c r="D1156" s="27" t="s">
        <v>2132</v>
      </c>
      <c r="E1156" s="27" t="s">
        <v>2262</v>
      </c>
      <c r="F1156" s="29" t="s">
        <v>2263</v>
      </c>
      <c r="G1156" s="30" t="n">
        <v>75016</v>
      </c>
      <c r="H1156" s="31" t="s">
        <v>36</v>
      </c>
      <c r="I1156" s="32" t="n">
        <v>187446777</v>
      </c>
      <c r="J1156" s="33" t="n">
        <v>140</v>
      </c>
      <c r="K1156" s="33" t="n">
        <v>2</v>
      </c>
      <c r="L1156" s="34"/>
      <c r="M1156" s="35"/>
      <c r="N1156" s="36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9"/>
      <c r="Z1156" s="39"/>
      <c r="AA1156" s="28"/>
      <c r="AMJ1156" s="0"/>
    </row>
    <row r="1157" s="2" customFormat="true" ht="12.75" hidden="false" customHeight="true" outlineLevel="0" collapsed="false">
      <c r="A1157" s="27" t="s">
        <v>2264</v>
      </c>
      <c r="B1157" s="27" t="s">
        <v>2265</v>
      </c>
      <c r="C1157" s="28" t="s">
        <v>138</v>
      </c>
      <c r="D1157" s="27" t="s">
        <v>2132</v>
      </c>
      <c r="E1157" s="27" t="s">
        <v>2262</v>
      </c>
      <c r="F1157" s="29" t="s">
        <v>2263</v>
      </c>
      <c r="G1157" s="30" t="n">
        <v>75016</v>
      </c>
      <c r="H1157" s="31" t="s">
        <v>36</v>
      </c>
      <c r="I1157" s="32" t="n">
        <v>187446777</v>
      </c>
      <c r="J1157" s="33" t="n">
        <v>113</v>
      </c>
      <c r="K1157" s="33" t="n">
        <v>1</v>
      </c>
      <c r="L1157" s="34" t="n">
        <v>2</v>
      </c>
      <c r="M1157" s="35" t="s">
        <v>164</v>
      </c>
      <c r="N1157" s="36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39"/>
      <c r="Z1157" s="39"/>
      <c r="AA1157" s="28" t="n">
        <v>2</v>
      </c>
      <c r="AMJ1157" s="0"/>
    </row>
    <row r="1158" s="2" customFormat="true" ht="12.75" hidden="false" customHeight="true" outlineLevel="0" collapsed="false">
      <c r="A1158" s="27" t="s">
        <v>2266</v>
      </c>
      <c r="B1158" s="27" t="s">
        <v>47</v>
      </c>
      <c r="C1158" s="28" t="s">
        <v>138</v>
      </c>
      <c r="D1158" s="27" t="s">
        <v>2132</v>
      </c>
      <c r="E1158" s="27" t="s">
        <v>2262</v>
      </c>
      <c r="F1158" s="29" t="s">
        <v>2263</v>
      </c>
      <c r="G1158" s="30" t="n">
        <v>75016</v>
      </c>
      <c r="H1158" s="31" t="s">
        <v>36</v>
      </c>
      <c r="I1158" s="32" t="n">
        <v>187446777</v>
      </c>
      <c r="J1158" s="33" t="n">
        <v>0</v>
      </c>
      <c r="K1158" s="33" t="n">
        <v>3</v>
      </c>
      <c r="L1158" s="34" t="n">
        <v>1</v>
      </c>
      <c r="M1158" s="35" t="s">
        <v>164</v>
      </c>
      <c r="N1158" s="36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39"/>
      <c r="Z1158" s="39"/>
      <c r="AA1158" s="28" t="n">
        <v>3</v>
      </c>
      <c r="AMJ1158" s="0"/>
    </row>
    <row r="1159" s="2" customFormat="true" ht="12.75" hidden="false" customHeight="true" outlineLevel="0" collapsed="false">
      <c r="A1159" s="27" t="s">
        <v>2267</v>
      </c>
      <c r="B1159" s="27" t="s">
        <v>1795</v>
      </c>
      <c r="C1159" s="28" t="s">
        <v>138</v>
      </c>
      <c r="D1159" s="27" t="s">
        <v>2132</v>
      </c>
      <c r="E1159" s="27" t="s">
        <v>2262</v>
      </c>
      <c r="F1159" s="29" t="s">
        <v>2263</v>
      </c>
      <c r="G1159" s="30" t="n">
        <v>75016</v>
      </c>
      <c r="H1159" s="31" t="s">
        <v>36</v>
      </c>
      <c r="I1159" s="32" t="n">
        <v>187446777</v>
      </c>
      <c r="J1159" s="33" t="n">
        <v>0</v>
      </c>
      <c r="K1159" s="33" t="n">
        <v>2</v>
      </c>
      <c r="L1159" s="34"/>
      <c r="M1159" s="35"/>
      <c r="N1159" s="36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9"/>
      <c r="Z1159" s="39"/>
      <c r="AA1159" s="28"/>
      <c r="AMJ1159" s="0"/>
    </row>
    <row r="1160" s="2" customFormat="true" ht="12.75" hidden="false" customHeight="true" outlineLevel="0" collapsed="false">
      <c r="A1160" s="27" t="s">
        <v>2268</v>
      </c>
      <c r="B1160" s="27" t="s">
        <v>2269</v>
      </c>
      <c r="C1160" s="28" t="s">
        <v>138</v>
      </c>
      <c r="D1160" s="27" t="s">
        <v>2132</v>
      </c>
      <c r="E1160" s="27" t="s">
        <v>2262</v>
      </c>
      <c r="F1160" s="29" t="s">
        <v>2263</v>
      </c>
      <c r="G1160" s="30" t="n">
        <v>75016</v>
      </c>
      <c r="H1160" s="31" t="s">
        <v>36</v>
      </c>
      <c r="I1160" s="32" t="n">
        <v>140257679</v>
      </c>
      <c r="J1160" s="33" t="n">
        <v>0</v>
      </c>
      <c r="K1160" s="33" t="n">
        <v>1</v>
      </c>
      <c r="L1160" s="34"/>
      <c r="M1160" s="35"/>
      <c r="N1160" s="36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9"/>
      <c r="Z1160" s="39"/>
      <c r="AA1160" s="28"/>
      <c r="AMJ1160" s="0"/>
    </row>
    <row r="1161" s="2" customFormat="true" ht="12.75" hidden="false" customHeight="true" outlineLevel="0" collapsed="false">
      <c r="A1161" s="27" t="s">
        <v>2270</v>
      </c>
      <c r="B1161" s="27" t="s">
        <v>760</v>
      </c>
      <c r="C1161" s="28" t="s">
        <v>41</v>
      </c>
      <c r="D1161" s="27" t="s">
        <v>2132</v>
      </c>
      <c r="E1161" s="27"/>
      <c r="F1161" s="29" t="s">
        <v>2271</v>
      </c>
      <c r="G1161" s="30" t="n">
        <v>75016</v>
      </c>
      <c r="H1161" s="31" t="s">
        <v>36</v>
      </c>
      <c r="I1161" s="32" t="n">
        <v>142241650</v>
      </c>
      <c r="J1161" s="33" t="n">
        <v>403</v>
      </c>
      <c r="K1161" s="33" t="n">
        <v>17</v>
      </c>
      <c r="L1161" s="34" t="n">
        <v>2</v>
      </c>
      <c r="M1161" s="35" t="s">
        <v>164</v>
      </c>
      <c r="N1161" s="36" t="s">
        <v>2272</v>
      </c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39" t="n">
        <v>45195.5833333333</v>
      </c>
      <c r="Z1161" s="39"/>
      <c r="AA1161" s="28" t="n">
        <v>3</v>
      </c>
      <c r="AMJ1161" s="0"/>
    </row>
    <row r="1162" s="2" customFormat="true" ht="12.75" hidden="false" customHeight="true" outlineLevel="0" collapsed="false">
      <c r="A1162" s="27" t="s">
        <v>2273</v>
      </c>
      <c r="B1162" s="27" t="s">
        <v>714</v>
      </c>
      <c r="C1162" s="28" t="s">
        <v>41</v>
      </c>
      <c r="D1162" s="27" t="s">
        <v>2132</v>
      </c>
      <c r="E1162" s="27"/>
      <c r="F1162" s="29" t="s">
        <v>2271</v>
      </c>
      <c r="G1162" s="30" t="n">
        <v>75016</v>
      </c>
      <c r="H1162" s="31" t="s">
        <v>36</v>
      </c>
      <c r="I1162" s="32" t="n">
        <v>142241650</v>
      </c>
      <c r="J1162" s="33" t="n">
        <v>312</v>
      </c>
      <c r="K1162" s="33" t="n">
        <v>5</v>
      </c>
      <c r="L1162" s="34" t="n">
        <v>2</v>
      </c>
      <c r="M1162" s="43" t="s">
        <v>155</v>
      </c>
      <c r="N1162" s="36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39" t="n">
        <v>45195.625</v>
      </c>
      <c r="Z1162" s="39"/>
      <c r="AA1162" s="28" t="n">
        <v>3</v>
      </c>
      <c r="AMJ1162" s="0"/>
    </row>
    <row r="1163" s="2" customFormat="true" ht="12.75" hidden="false" customHeight="true" outlineLevel="0" collapsed="false">
      <c r="A1163" s="27" t="s">
        <v>2274</v>
      </c>
      <c r="B1163" s="27" t="s">
        <v>2275</v>
      </c>
      <c r="C1163" s="28" t="s">
        <v>41</v>
      </c>
      <c r="D1163" s="27" t="s">
        <v>2132</v>
      </c>
      <c r="E1163" s="27"/>
      <c r="F1163" s="29" t="s">
        <v>2276</v>
      </c>
      <c r="G1163" s="30" t="n">
        <v>75016</v>
      </c>
      <c r="H1163" s="31" t="s">
        <v>36</v>
      </c>
      <c r="I1163" s="32" t="n">
        <v>145030121</v>
      </c>
      <c r="J1163" s="33" t="n">
        <v>230</v>
      </c>
      <c r="K1163" s="33" t="n">
        <v>1</v>
      </c>
      <c r="L1163" s="34"/>
      <c r="M1163" s="35"/>
      <c r="N1163" s="36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9"/>
      <c r="Z1163" s="39"/>
      <c r="AA1163" s="28"/>
      <c r="AMJ1163" s="0"/>
    </row>
    <row r="1164" s="2" customFormat="true" ht="12.75" hidden="false" customHeight="true" outlineLevel="0" collapsed="false">
      <c r="A1164" s="27" t="s">
        <v>150</v>
      </c>
      <c r="B1164" s="27" t="s">
        <v>157</v>
      </c>
      <c r="C1164" s="28" t="s">
        <v>138</v>
      </c>
      <c r="D1164" s="27" t="s">
        <v>2132</v>
      </c>
      <c r="E1164" s="27" t="s">
        <v>2277</v>
      </c>
      <c r="F1164" s="29" t="s">
        <v>2278</v>
      </c>
      <c r="G1164" s="30" t="n">
        <v>75016</v>
      </c>
      <c r="H1164" s="31" t="s">
        <v>36</v>
      </c>
      <c r="I1164" s="32" t="n">
        <v>140723357</v>
      </c>
      <c r="J1164" s="33" t="n">
        <v>299</v>
      </c>
      <c r="K1164" s="33" t="n">
        <v>2</v>
      </c>
      <c r="L1164" s="34" t="n">
        <v>2</v>
      </c>
      <c r="M1164" s="44" t="s">
        <v>321</v>
      </c>
      <c r="N1164" s="36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39"/>
      <c r="Z1164" s="39"/>
      <c r="AA1164" s="28" t="n">
        <v>3</v>
      </c>
      <c r="AMJ1164" s="0"/>
    </row>
    <row r="1165" s="2" customFormat="true" ht="12.75" hidden="false" customHeight="true" outlineLevel="0" collapsed="false">
      <c r="A1165" s="27" t="s">
        <v>2279</v>
      </c>
      <c r="B1165" s="27" t="s">
        <v>2280</v>
      </c>
      <c r="C1165" s="28" t="s">
        <v>138</v>
      </c>
      <c r="D1165" s="27" t="s">
        <v>2132</v>
      </c>
      <c r="E1165" s="27" t="s">
        <v>2277</v>
      </c>
      <c r="F1165" s="29" t="s">
        <v>2278</v>
      </c>
      <c r="G1165" s="30" t="n">
        <v>75016</v>
      </c>
      <c r="H1165" s="31" t="s">
        <v>36</v>
      </c>
      <c r="I1165" s="32" t="n">
        <v>140723357</v>
      </c>
      <c r="J1165" s="33" t="n">
        <v>269</v>
      </c>
      <c r="K1165" s="33" t="n">
        <v>4</v>
      </c>
      <c r="L1165" s="34"/>
      <c r="M1165" s="35"/>
      <c r="N1165" s="36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9" t="n">
        <v>45188.6388888889</v>
      </c>
      <c r="Z1165" s="39"/>
      <c r="AA1165" s="28"/>
      <c r="AMJ1165" s="0"/>
    </row>
    <row r="1166" s="2" customFormat="true" ht="12.75" hidden="false" customHeight="true" outlineLevel="0" collapsed="false">
      <c r="A1166" s="27" t="s">
        <v>2281</v>
      </c>
      <c r="B1166" s="27" t="s">
        <v>329</v>
      </c>
      <c r="C1166" s="28" t="s">
        <v>138</v>
      </c>
      <c r="D1166" s="27" t="s">
        <v>2132</v>
      </c>
      <c r="E1166" s="27" t="s">
        <v>2277</v>
      </c>
      <c r="F1166" s="29" t="s">
        <v>2278</v>
      </c>
      <c r="G1166" s="30" t="n">
        <v>75016</v>
      </c>
      <c r="H1166" s="31" t="s">
        <v>36</v>
      </c>
      <c r="I1166" s="32" t="n">
        <v>140723357</v>
      </c>
      <c r="J1166" s="33" t="n">
        <v>269</v>
      </c>
      <c r="K1166" s="33" t="n">
        <v>1</v>
      </c>
      <c r="L1166" s="34"/>
      <c r="M1166" s="35"/>
      <c r="N1166" s="36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9"/>
      <c r="Z1166" s="39"/>
      <c r="AA1166" s="28"/>
      <c r="AMJ1166" s="0"/>
    </row>
    <row r="1167" s="2" customFormat="true" ht="12.75" hidden="false" customHeight="true" outlineLevel="0" collapsed="false">
      <c r="A1167" s="27" t="s">
        <v>2282</v>
      </c>
      <c r="B1167" s="27" t="s">
        <v>691</v>
      </c>
      <c r="C1167" s="28" t="s">
        <v>138</v>
      </c>
      <c r="D1167" s="27" t="s">
        <v>2132</v>
      </c>
      <c r="E1167" s="27" t="s">
        <v>2277</v>
      </c>
      <c r="F1167" s="29" t="s">
        <v>2278</v>
      </c>
      <c r="G1167" s="30" t="n">
        <v>75016</v>
      </c>
      <c r="H1167" s="31" t="s">
        <v>36</v>
      </c>
      <c r="I1167" s="32" t="n">
        <v>140723357</v>
      </c>
      <c r="J1167" s="33" t="n">
        <v>267</v>
      </c>
      <c r="K1167" s="33" t="n">
        <v>1</v>
      </c>
      <c r="L1167" s="34"/>
      <c r="M1167" s="35"/>
      <c r="N1167" s="36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9"/>
      <c r="Z1167" s="39"/>
      <c r="AA1167" s="28"/>
      <c r="AMJ1167" s="0"/>
    </row>
    <row r="1168" s="2" customFormat="true" ht="12.75" hidden="false" customHeight="true" outlineLevel="0" collapsed="false">
      <c r="A1168" s="27" t="s">
        <v>2283</v>
      </c>
      <c r="B1168" s="27" t="s">
        <v>2284</v>
      </c>
      <c r="C1168" s="28" t="s">
        <v>138</v>
      </c>
      <c r="D1168" s="27" t="s">
        <v>2132</v>
      </c>
      <c r="E1168" s="27" t="s">
        <v>2277</v>
      </c>
      <c r="F1168" s="29" t="s">
        <v>2278</v>
      </c>
      <c r="G1168" s="30" t="n">
        <v>75016</v>
      </c>
      <c r="H1168" s="31" t="s">
        <v>36</v>
      </c>
      <c r="I1168" s="32" t="n">
        <v>145012696</v>
      </c>
      <c r="J1168" s="33" t="n">
        <v>249</v>
      </c>
      <c r="K1168" s="33" t="n">
        <v>2</v>
      </c>
      <c r="L1168" s="34"/>
      <c r="M1168" s="35"/>
      <c r="N1168" s="36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9" t="n">
        <v>45188.5729166667</v>
      </c>
      <c r="Z1168" s="39"/>
      <c r="AA1168" s="28"/>
      <c r="AMJ1168" s="0"/>
    </row>
    <row r="1169" s="2" customFormat="true" ht="12.75" hidden="false" customHeight="true" outlineLevel="0" collapsed="false">
      <c r="A1169" s="27" t="s">
        <v>2285</v>
      </c>
      <c r="B1169" s="27" t="s">
        <v>1521</v>
      </c>
      <c r="C1169" s="28" t="s">
        <v>138</v>
      </c>
      <c r="D1169" s="27" t="s">
        <v>2132</v>
      </c>
      <c r="E1169" s="27" t="s">
        <v>2277</v>
      </c>
      <c r="F1169" s="29" t="s">
        <v>2278</v>
      </c>
      <c r="G1169" s="30" t="n">
        <v>75016</v>
      </c>
      <c r="H1169" s="31" t="s">
        <v>36</v>
      </c>
      <c r="I1169" s="32" t="n">
        <v>140723357</v>
      </c>
      <c r="J1169" s="33" t="n">
        <v>242</v>
      </c>
      <c r="K1169" s="33" t="n">
        <v>1</v>
      </c>
      <c r="L1169" s="34"/>
      <c r="M1169" s="35"/>
      <c r="N1169" s="36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9"/>
      <c r="Z1169" s="39"/>
      <c r="AA1169" s="28"/>
      <c r="AMJ1169" s="0"/>
    </row>
    <row r="1170" s="2" customFormat="true" ht="12.75" hidden="false" customHeight="true" outlineLevel="0" collapsed="false">
      <c r="A1170" s="27" t="s">
        <v>682</v>
      </c>
      <c r="B1170" s="27" t="s">
        <v>157</v>
      </c>
      <c r="C1170" s="28" t="s">
        <v>138</v>
      </c>
      <c r="D1170" s="27" t="s">
        <v>2132</v>
      </c>
      <c r="E1170" s="27" t="s">
        <v>2277</v>
      </c>
      <c r="F1170" s="29" t="s">
        <v>2278</v>
      </c>
      <c r="G1170" s="30" t="n">
        <v>75016</v>
      </c>
      <c r="H1170" s="31" t="s">
        <v>36</v>
      </c>
      <c r="I1170" s="32" t="n">
        <v>140723357</v>
      </c>
      <c r="J1170" s="33" t="n">
        <v>240</v>
      </c>
      <c r="K1170" s="33" t="n">
        <v>1</v>
      </c>
      <c r="L1170" s="34"/>
      <c r="M1170" s="35"/>
      <c r="N1170" s="36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9"/>
      <c r="Z1170" s="39"/>
      <c r="AA1170" s="28"/>
      <c r="AMJ1170" s="0"/>
    </row>
    <row r="1171" s="2" customFormat="true" ht="12.75" hidden="false" customHeight="true" outlineLevel="0" collapsed="false">
      <c r="A1171" s="27" t="s">
        <v>2286</v>
      </c>
      <c r="B1171" s="27" t="s">
        <v>1613</v>
      </c>
      <c r="C1171" s="28" t="s">
        <v>138</v>
      </c>
      <c r="D1171" s="27" t="s">
        <v>2132</v>
      </c>
      <c r="E1171" s="27" t="s">
        <v>2277</v>
      </c>
      <c r="F1171" s="29" t="s">
        <v>2278</v>
      </c>
      <c r="G1171" s="30" t="n">
        <v>75016</v>
      </c>
      <c r="H1171" s="31" t="s">
        <v>36</v>
      </c>
      <c r="I1171" s="32" t="n">
        <v>140723356</v>
      </c>
      <c r="J1171" s="33" t="n">
        <v>237</v>
      </c>
      <c r="K1171" s="33" t="n">
        <v>1</v>
      </c>
      <c r="L1171" s="34" t="n">
        <v>1</v>
      </c>
      <c r="M1171" s="44" t="s">
        <v>321</v>
      </c>
      <c r="N1171" s="36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39"/>
      <c r="Z1171" s="39"/>
      <c r="AA1171" s="28" t="n">
        <v>2</v>
      </c>
      <c r="AMJ1171" s="0"/>
    </row>
    <row r="1172" s="2" customFormat="true" ht="12.75" hidden="false" customHeight="true" outlineLevel="0" collapsed="false">
      <c r="A1172" s="27" t="s">
        <v>2287</v>
      </c>
      <c r="B1172" s="27" t="s">
        <v>130</v>
      </c>
      <c r="C1172" s="28" t="s">
        <v>138</v>
      </c>
      <c r="D1172" s="27" t="s">
        <v>2132</v>
      </c>
      <c r="E1172" s="27" t="s">
        <v>2277</v>
      </c>
      <c r="F1172" s="29" t="s">
        <v>2278</v>
      </c>
      <c r="G1172" s="30" t="n">
        <v>75016</v>
      </c>
      <c r="H1172" s="31" t="s">
        <v>36</v>
      </c>
      <c r="I1172" s="32" t="n">
        <v>140723357</v>
      </c>
      <c r="J1172" s="33" t="n">
        <v>233</v>
      </c>
      <c r="K1172" s="33" t="n">
        <v>1</v>
      </c>
      <c r="L1172" s="34"/>
      <c r="M1172" s="35"/>
      <c r="N1172" s="36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9"/>
      <c r="Z1172" s="39"/>
      <c r="AA1172" s="28"/>
      <c r="AMJ1172" s="0"/>
    </row>
    <row r="1173" s="2" customFormat="true" ht="12.75" hidden="false" customHeight="true" outlineLevel="0" collapsed="false">
      <c r="A1173" s="27" t="s">
        <v>331</v>
      </c>
      <c r="B1173" s="27" t="s">
        <v>428</v>
      </c>
      <c r="C1173" s="28" t="s">
        <v>138</v>
      </c>
      <c r="D1173" s="27" t="s">
        <v>2132</v>
      </c>
      <c r="E1173" s="27" t="s">
        <v>2277</v>
      </c>
      <c r="F1173" s="29" t="s">
        <v>2278</v>
      </c>
      <c r="G1173" s="30" t="n">
        <v>75016</v>
      </c>
      <c r="H1173" s="31" t="s">
        <v>36</v>
      </c>
      <c r="I1173" s="32" t="n">
        <v>140723357</v>
      </c>
      <c r="J1173" s="33" t="n">
        <v>128</v>
      </c>
      <c r="K1173" s="33" t="n">
        <v>1</v>
      </c>
      <c r="L1173" s="34"/>
      <c r="M1173" s="35"/>
      <c r="N1173" s="36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9"/>
      <c r="Z1173" s="39"/>
      <c r="AA1173" s="28"/>
      <c r="AMJ1173" s="0"/>
    </row>
    <row r="1174" s="2" customFormat="true" ht="12.75" hidden="false" customHeight="true" outlineLevel="0" collapsed="false">
      <c r="A1174" s="27" t="s">
        <v>2288</v>
      </c>
      <c r="B1174" s="27" t="s">
        <v>884</v>
      </c>
      <c r="C1174" s="28" t="s">
        <v>138</v>
      </c>
      <c r="D1174" s="27" t="s">
        <v>2132</v>
      </c>
      <c r="E1174" s="27" t="s">
        <v>2277</v>
      </c>
      <c r="F1174" s="29" t="s">
        <v>2278</v>
      </c>
      <c r="G1174" s="30" t="n">
        <v>75016</v>
      </c>
      <c r="H1174" s="31" t="s">
        <v>36</v>
      </c>
      <c r="I1174" s="32" t="n">
        <v>140723356</v>
      </c>
      <c r="J1174" s="33" t="n">
        <v>123</v>
      </c>
      <c r="K1174" s="33" t="n">
        <v>1</v>
      </c>
      <c r="L1174" s="34"/>
      <c r="M1174" s="35"/>
      <c r="N1174" s="36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9"/>
      <c r="Z1174" s="39"/>
      <c r="AA1174" s="28"/>
      <c r="AMJ1174" s="0"/>
    </row>
    <row r="1175" s="2" customFormat="true" ht="12.75" hidden="false" customHeight="true" outlineLevel="0" collapsed="false">
      <c r="A1175" s="27" t="s">
        <v>2289</v>
      </c>
      <c r="B1175" s="27" t="s">
        <v>714</v>
      </c>
      <c r="C1175" s="28" t="s">
        <v>138</v>
      </c>
      <c r="D1175" s="27" t="s">
        <v>2132</v>
      </c>
      <c r="E1175" s="27" t="s">
        <v>2277</v>
      </c>
      <c r="F1175" s="29" t="s">
        <v>2278</v>
      </c>
      <c r="G1175" s="30" t="n">
        <v>75016</v>
      </c>
      <c r="H1175" s="31" t="s">
        <v>36</v>
      </c>
      <c r="I1175" s="32" t="n">
        <v>140723356</v>
      </c>
      <c r="J1175" s="33" t="n">
        <v>118</v>
      </c>
      <c r="K1175" s="33" t="n">
        <v>1</v>
      </c>
      <c r="L1175" s="34"/>
      <c r="M1175" s="35"/>
      <c r="N1175" s="36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9"/>
      <c r="Z1175" s="39"/>
      <c r="AA1175" s="28"/>
      <c r="AMJ1175" s="0"/>
    </row>
    <row r="1176" s="2" customFormat="true" ht="12.75" hidden="false" customHeight="true" outlineLevel="0" collapsed="false">
      <c r="A1176" s="27" t="s">
        <v>2290</v>
      </c>
      <c r="B1176" s="27" t="s">
        <v>443</v>
      </c>
      <c r="C1176" s="28" t="s">
        <v>41</v>
      </c>
      <c r="D1176" s="27" t="s">
        <v>2132</v>
      </c>
      <c r="E1176" s="27"/>
      <c r="F1176" s="29" t="s">
        <v>2291</v>
      </c>
      <c r="G1176" s="30" t="n">
        <v>75016</v>
      </c>
      <c r="H1176" s="31" t="s">
        <v>36</v>
      </c>
      <c r="I1176" s="32" t="n">
        <v>142880626</v>
      </c>
      <c r="J1176" s="33" t="n">
        <v>184</v>
      </c>
      <c r="K1176" s="33" t="n">
        <v>1</v>
      </c>
      <c r="L1176" s="34"/>
      <c r="M1176" s="35"/>
      <c r="N1176" s="36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9"/>
      <c r="Z1176" s="39"/>
      <c r="AA1176" s="28"/>
      <c r="AMJ1176" s="0"/>
    </row>
    <row r="1177" s="2" customFormat="true" ht="12.75" hidden="false" customHeight="true" outlineLevel="0" collapsed="false">
      <c r="A1177" s="27" t="s">
        <v>2292</v>
      </c>
      <c r="B1177" s="27" t="s">
        <v>664</v>
      </c>
      <c r="C1177" s="28" t="s">
        <v>138</v>
      </c>
      <c r="D1177" s="27" t="s">
        <v>2132</v>
      </c>
      <c r="E1177" s="27"/>
      <c r="F1177" s="29" t="s">
        <v>2293</v>
      </c>
      <c r="G1177" s="30" t="n">
        <v>75016</v>
      </c>
      <c r="H1177" s="31" t="s">
        <v>36</v>
      </c>
      <c r="I1177" s="32" t="n">
        <v>140723392</v>
      </c>
      <c r="J1177" s="33" t="n">
        <v>159</v>
      </c>
      <c r="K1177" s="33" t="n">
        <v>1</v>
      </c>
      <c r="L1177" s="34"/>
      <c r="M1177" s="35"/>
      <c r="N1177" s="36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9"/>
      <c r="Z1177" s="39"/>
      <c r="AA1177" s="28"/>
      <c r="AMJ1177" s="0"/>
    </row>
    <row r="1178" s="2" customFormat="true" ht="12.75" hidden="false" customHeight="true" outlineLevel="0" collapsed="false">
      <c r="A1178" s="27" t="s">
        <v>2294</v>
      </c>
      <c r="B1178" s="27" t="s">
        <v>332</v>
      </c>
      <c r="C1178" s="28" t="s">
        <v>121</v>
      </c>
      <c r="D1178" s="27" t="s">
        <v>2132</v>
      </c>
      <c r="E1178" s="27"/>
      <c r="F1178" s="29" t="s">
        <v>2295</v>
      </c>
      <c r="G1178" s="30" t="n">
        <v>75016</v>
      </c>
      <c r="H1178" s="31" t="s">
        <v>36</v>
      </c>
      <c r="I1178" s="32" t="n">
        <v>153808686</v>
      </c>
      <c r="J1178" s="33" t="n">
        <v>195</v>
      </c>
      <c r="K1178" s="33" t="n">
        <v>2</v>
      </c>
      <c r="L1178" s="34"/>
      <c r="M1178" s="35"/>
      <c r="N1178" s="36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9"/>
      <c r="Z1178" s="39"/>
      <c r="AA1178" s="28"/>
      <c r="AMJ1178" s="0"/>
    </row>
    <row r="1179" s="2" customFormat="true" ht="12.75" hidden="false" customHeight="true" outlineLevel="0" collapsed="false">
      <c r="A1179" s="27" t="s">
        <v>2296</v>
      </c>
      <c r="B1179" s="27" t="s">
        <v>137</v>
      </c>
      <c r="C1179" s="28" t="s">
        <v>121</v>
      </c>
      <c r="D1179" s="27" t="s">
        <v>2132</v>
      </c>
      <c r="E1179" s="27"/>
      <c r="F1179" s="29" t="s">
        <v>2295</v>
      </c>
      <c r="G1179" s="30" t="n">
        <v>75016</v>
      </c>
      <c r="H1179" s="31" t="s">
        <v>36</v>
      </c>
      <c r="I1179" s="32" t="n">
        <v>142243688</v>
      </c>
      <c r="J1179" s="33" t="n">
        <v>173</v>
      </c>
      <c r="K1179" s="33" t="n">
        <v>2</v>
      </c>
      <c r="L1179" s="34"/>
      <c r="M1179" s="35"/>
      <c r="N1179" s="36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9"/>
      <c r="Z1179" s="39"/>
      <c r="AA1179" s="28"/>
      <c r="AMJ1179" s="0"/>
    </row>
    <row r="1180" s="2" customFormat="true" ht="12.75" hidden="false" customHeight="true" outlineLevel="0" collapsed="false">
      <c r="A1180" s="27" t="s">
        <v>2297</v>
      </c>
      <c r="B1180" s="27" t="s">
        <v>195</v>
      </c>
      <c r="C1180" s="28" t="s">
        <v>41</v>
      </c>
      <c r="D1180" s="27" t="s">
        <v>2132</v>
      </c>
      <c r="E1180" s="27"/>
      <c r="F1180" s="29" t="s">
        <v>2298</v>
      </c>
      <c r="G1180" s="30" t="n">
        <v>75016</v>
      </c>
      <c r="H1180" s="31" t="s">
        <v>36</v>
      </c>
      <c r="I1180" s="32" t="n">
        <v>142730940</v>
      </c>
      <c r="J1180" s="33" t="n">
        <v>271</v>
      </c>
      <c r="K1180" s="33" t="n">
        <v>1</v>
      </c>
      <c r="L1180" s="34"/>
      <c r="M1180" s="35"/>
      <c r="N1180" s="36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9"/>
      <c r="Z1180" s="39"/>
      <c r="AA1180" s="28"/>
      <c r="AMJ1180" s="0"/>
    </row>
    <row r="1181" s="2" customFormat="true" ht="12.75" hidden="false" customHeight="true" outlineLevel="0" collapsed="false">
      <c r="A1181" s="27" t="s">
        <v>2299</v>
      </c>
      <c r="B1181" s="27" t="s">
        <v>532</v>
      </c>
      <c r="C1181" s="28" t="s">
        <v>41</v>
      </c>
      <c r="D1181" s="27" t="s">
        <v>2132</v>
      </c>
      <c r="E1181" s="27"/>
      <c r="F1181" s="29" t="s">
        <v>2300</v>
      </c>
      <c r="G1181" s="30" t="n">
        <v>75016</v>
      </c>
      <c r="H1181" s="31" t="s">
        <v>36</v>
      </c>
      <c r="I1181" s="32" t="n">
        <v>142245254</v>
      </c>
      <c r="J1181" s="33" t="n">
        <v>400</v>
      </c>
      <c r="K1181" s="33"/>
      <c r="L1181" s="34"/>
      <c r="M1181" s="35"/>
      <c r="N1181" s="36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9"/>
      <c r="Z1181" s="39"/>
      <c r="AA1181" s="28"/>
      <c r="AMJ1181" s="0"/>
    </row>
    <row r="1182" s="2" customFormat="true" ht="12.75" hidden="false" customHeight="true" outlineLevel="0" collapsed="false">
      <c r="A1182" s="27" t="s">
        <v>2301</v>
      </c>
      <c r="B1182" s="27" t="s">
        <v>2302</v>
      </c>
      <c r="C1182" s="28" t="s">
        <v>41</v>
      </c>
      <c r="D1182" s="27" t="s">
        <v>2132</v>
      </c>
      <c r="E1182" s="27"/>
      <c r="F1182" s="29" t="s">
        <v>2303</v>
      </c>
      <c r="G1182" s="30" t="n">
        <v>75016</v>
      </c>
      <c r="H1182" s="31" t="s">
        <v>36</v>
      </c>
      <c r="I1182" s="32" t="n">
        <v>142245888</v>
      </c>
      <c r="J1182" s="33" t="n">
        <v>281</v>
      </c>
      <c r="K1182" s="33" t="n">
        <v>1</v>
      </c>
      <c r="L1182" s="34"/>
      <c r="M1182" s="35"/>
      <c r="N1182" s="36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9"/>
      <c r="Z1182" s="39"/>
      <c r="AA1182" s="28"/>
      <c r="AMJ1182" s="0"/>
    </row>
    <row r="1183" s="2" customFormat="true" ht="12.75" hidden="false" customHeight="true" outlineLevel="0" collapsed="false">
      <c r="A1183" s="27" t="s">
        <v>2304</v>
      </c>
      <c r="B1183" s="27" t="s">
        <v>266</v>
      </c>
      <c r="C1183" s="28" t="s">
        <v>113</v>
      </c>
      <c r="D1183" s="27" t="s">
        <v>2132</v>
      </c>
      <c r="E1183" s="27"/>
      <c r="F1183" s="29" t="s">
        <v>2305</v>
      </c>
      <c r="G1183" s="30" t="n">
        <v>75016</v>
      </c>
      <c r="H1183" s="31" t="s">
        <v>36</v>
      </c>
      <c r="I1183" s="32" t="n">
        <v>142309600</v>
      </c>
      <c r="J1183" s="33" t="n">
        <v>56</v>
      </c>
      <c r="K1183" s="33" t="n">
        <v>0</v>
      </c>
      <c r="L1183" s="34"/>
      <c r="M1183" s="35"/>
      <c r="N1183" s="36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9"/>
      <c r="Z1183" s="39"/>
      <c r="AA1183" s="28"/>
      <c r="AMJ1183" s="0"/>
    </row>
    <row r="1184" s="2" customFormat="true" ht="12.75" hidden="false" customHeight="true" outlineLevel="0" collapsed="false">
      <c r="A1184" s="27" t="s">
        <v>2306</v>
      </c>
      <c r="B1184" s="27" t="s">
        <v>84</v>
      </c>
      <c r="C1184" s="28" t="s">
        <v>33</v>
      </c>
      <c r="D1184" s="27" t="s">
        <v>2132</v>
      </c>
      <c r="E1184" s="27"/>
      <c r="F1184" s="29" t="s">
        <v>2307</v>
      </c>
      <c r="G1184" s="30" t="n">
        <v>75016</v>
      </c>
      <c r="H1184" s="31" t="s">
        <v>36</v>
      </c>
      <c r="I1184" s="32" t="n">
        <v>141929242</v>
      </c>
      <c r="J1184" s="33" t="n">
        <v>25</v>
      </c>
      <c r="K1184" s="33" t="n">
        <v>2</v>
      </c>
      <c r="L1184" s="34"/>
      <c r="M1184" s="35"/>
      <c r="N1184" s="36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9"/>
      <c r="Z1184" s="39"/>
      <c r="AA1184" s="28"/>
      <c r="AC1184" s="2" t="s">
        <v>108</v>
      </c>
      <c r="AD1184" s="2" t="s">
        <v>109</v>
      </c>
      <c r="AE1184" s="2" t="s">
        <v>110</v>
      </c>
      <c r="AMJ1184" s="0"/>
    </row>
    <row r="1185" s="2" customFormat="true" ht="12.75" hidden="false" customHeight="true" outlineLevel="0" collapsed="false">
      <c r="A1185" s="27" t="s">
        <v>2308</v>
      </c>
      <c r="B1185" s="27" t="s">
        <v>332</v>
      </c>
      <c r="C1185" s="28" t="s">
        <v>121</v>
      </c>
      <c r="D1185" s="27" t="s">
        <v>2132</v>
      </c>
      <c r="E1185" s="27"/>
      <c r="F1185" s="29" t="s">
        <v>2309</v>
      </c>
      <c r="G1185" s="30" t="n">
        <v>75016</v>
      </c>
      <c r="H1185" s="31" t="s">
        <v>36</v>
      </c>
      <c r="I1185" s="32" t="n">
        <v>145035363</v>
      </c>
      <c r="J1185" s="33" t="n">
        <v>215</v>
      </c>
      <c r="K1185" s="33" t="n">
        <v>0</v>
      </c>
      <c r="L1185" s="34"/>
      <c r="M1185" s="35"/>
      <c r="N1185" s="36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  <c r="Y1185" s="39"/>
      <c r="Z1185" s="39"/>
      <c r="AA1185" s="28"/>
      <c r="AMJ1185" s="0"/>
    </row>
    <row r="1186" s="2" customFormat="true" ht="12.75" hidden="false" customHeight="true" outlineLevel="0" collapsed="false">
      <c r="A1186" s="27" t="s">
        <v>2310</v>
      </c>
      <c r="B1186" s="27" t="s">
        <v>237</v>
      </c>
      <c r="C1186" s="28" t="s">
        <v>138</v>
      </c>
      <c r="D1186" s="27" t="s">
        <v>2132</v>
      </c>
      <c r="E1186" s="27"/>
      <c r="F1186" s="29" t="s">
        <v>2311</v>
      </c>
      <c r="G1186" s="30" t="n">
        <v>75016</v>
      </c>
      <c r="H1186" s="31" t="s">
        <v>36</v>
      </c>
      <c r="I1186" s="32" t="n">
        <v>147644942</v>
      </c>
      <c r="J1186" s="33" t="n">
        <v>217</v>
      </c>
      <c r="K1186" s="33" t="n">
        <v>1</v>
      </c>
      <c r="L1186" s="34"/>
      <c r="M1186" s="35"/>
      <c r="N1186" s="36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  <c r="Y1186" s="39"/>
      <c r="Z1186" s="39"/>
      <c r="AA1186" s="28"/>
      <c r="AMJ1186" s="0"/>
    </row>
    <row r="1187" s="2" customFormat="true" ht="12.75" hidden="false" customHeight="true" outlineLevel="0" collapsed="false">
      <c r="A1187" s="27" t="s">
        <v>564</v>
      </c>
      <c r="B1187" s="27" t="s">
        <v>61</v>
      </c>
      <c r="C1187" s="28" t="s">
        <v>41</v>
      </c>
      <c r="D1187" s="27" t="s">
        <v>2132</v>
      </c>
      <c r="E1187" s="27"/>
      <c r="F1187" s="29" t="s">
        <v>2312</v>
      </c>
      <c r="G1187" s="30" t="n">
        <v>75016</v>
      </c>
      <c r="H1187" s="31" t="s">
        <v>36</v>
      </c>
      <c r="I1187" s="32" t="n">
        <v>142886220</v>
      </c>
      <c r="J1187" s="33" t="n">
        <v>69</v>
      </c>
      <c r="K1187" s="33" t="n">
        <v>1</v>
      </c>
      <c r="L1187" s="34"/>
      <c r="M1187" s="35"/>
      <c r="N1187" s="36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9"/>
      <c r="Z1187" s="39"/>
      <c r="AA1187" s="28"/>
      <c r="AMJ1187" s="0"/>
    </row>
    <row r="1188" s="2" customFormat="true" ht="12.75" hidden="false" customHeight="true" outlineLevel="0" collapsed="false">
      <c r="A1188" s="27" t="s">
        <v>2313</v>
      </c>
      <c r="B1188" s="27" t="s">
        <v>415</v>
      </c>
      <c r="C1188" s="28" t="s">
        <v>33</v>
      </c>
      <c r="D1188" s="27" t="s">
        <v>2132</v>
      </c>
      <c r="E1188" s="27"/>
      <c r="F1188" s="29" t="s">
        <v>2312</v>
      </c>
      <c r="G1188" s="30" t="n">
        <v>75016</v>
      </c>
      <c r="H1188" s="31" t="s">
        <v>36</v>
      </c>
      <c r="I1188" s="32" t="n">
        <v>142244604</v>
      </c>
      <c r="J1188" s="33" t="n">
        <v>61</v>
      </c>
      <c r="K1188" s="33" t="n">
        <v>1</v>
      </c>
      <c r="L1188" s="34"/>
      <c r="M1188" s="35"/>
      <c r="N1188" s="36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9"/>
      <c r="Z1188" s="39"/>
      <c r="AA1188" s="28"/>
      <c r="AC1188" s="2" t="s">
        <v>38</v>
      </c>
      <c r="AMJ1188" s="0"/>
    </row>
    <row r="1189" s="2" customFormat="true" ht="12.75" hidden="false" customHeight="true" outlineLevel="0" collapsed="false">
      <c r="A1189" s="27" t="s">
        <v>2314</v>
      </c>
      <c r="B1189" s="27" t="s">
        <v>2315</v>
      </c>
      <c r="C1189" s="28" t="s">
        <v>138</v>
      </c>
      <c r="D1189" s="27" t="s">
        <v>2132</v>
      </c>
      <c r="E1189" s="27"/>
      <c r="F1189" s="29" t="s">
        <v>2316</v>
      </c>
      <c r="G1189" s="30" t="n">
        <v>75016</v>
      </c>
      <c r="H1189" s="31" t="s">
        <v>36</v>
      </c>
      <c r="I1189" s="32" t="n">
        <v>142735253</v>
      </c>
      <c r="J1189" s="33" t="n">
        <v>102</v>
      </c>
      <c r="K1189" s="33" t="n">
        <v>0</v>
      </c>
      <c r="L1189" s="34"/>
      <c r="M1189" s="35"/>
      <c r="N1189" s="36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9"/>
      <c r="Z1189" s="39"/>
      <c r="AA1189" s="28"/>
      <c r="AMJ1189" s="0"/>
    </row>
    <row r="1190" s="2" customFormat="true" ht="12.75" hidden="false" customHeight="true" outlineLevel="0" collapsed="false">
      <c r="A1190" s="27" t="s">
        <v>2206</v>
      </c>
      <c r="B1190" s="27" t="s">
        <v>2317</v>
      </c>
      <c r="C1190" s="28" t="s">
        <v>113</v>
      </c>
      <c r="D1190" s="27" t="s">
        <v>2132</v>
      </c>
      <c r="E1190" s="27"/>
      <c r="F1190" s="29" t="s">
        <v>2318</v>
      </c>
      <c r="G1190" s="30" t="n">
        <v>75016</v>
      </c>
      <c r="H1190" s="31" t="s">
        <v>36</v>
      </c>
      <c r="I1190" s="32" t="n">
        <v>145051804</v>
      </c>
      <c r="J1190" s="33" t="n">
        <v>54</v>
      </c>
      <c r="K1190" s="33" t="n">
        <v>0</v>
      </c>
      <c r="L1190" s="34"/>
      <c r="M1190" s="35"/>
      <c r="N1190" s="36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9"/>
      <c r="Z1190" s="39"/>
      <c r="AA1190" s="28"/>
      <c r="AMJ1190" s="0"/>
    </row>
    <row r="1191" s="2" customFormat="true" ht="12.75" hidden="false" customHeight="true" outlineLevel="0" collapsed="false">
      <c r="A1191" s="27" t="s">
        <v>2319</v>
      </c>
      <c r="B1191" s="27" t="s">
        <v>67</v>
      </c>
      <c r="C1191" s="28" t="s">
        <v>41</v>
      </c>
      <c r="D1191" s="27" t="s">
        <v>2132</v>
      </c>
      <c r="E1191" s="27"/>
      <c r="F1191" s="29" t="s">
        <v>2320</v>
      </c>
      <c r="G1191" s="30" t="n">
        <v>75016</v>
      </c>
      <c r="H1191" s="31" t="s">
        <v>36</v>
      </c>
      <c r="I1191" s="32"/>
      <c r="J1191" s="33" t="n">
        <v>192</v>
      </c>
      <c r="K1191" s="33" t="n">
        <v>2</v>
      </c>
      <c r="L1191" s="34"/>
      <c r="M1191" s="35"/>
      <c r="N1191" s="36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9"/>
      <c r="Z1191" s="39"/>
      <c r="AA1191" s="28"/>
      <c r="AMJ1191" s="0"/>
    </row>
    <row r="1192" s="2" customFormat="true" ht="12.75" hidden="false" customHeight="true" outlineLevel="0" collapsed="false">
      <c r="A1192" s="27" t="s">
        <v>2321</v>
      </c>
      <c r="B1192" s="27" t="s">
        <v>635</v>
      </c>
      <c r="C1192" s="28" t="s">
        <v>41</v>
      </c>
      <c r="D1192" s="27" t="s">
        <v>2132</v>
      </c>
      <c r="E1192" s="27"/>
      <c r="F1192" s="29" t="s">
        <v>2322</v>
      </c>
      <c r="G1192" s="30" t="n">
        <v>75016</v>
      </c>
      <c r="H1192" s="31" t="s">
        <v>36</v>
      </c>
      <c r="I1192" s="32" t="n">
        <v>140728381</v>
      </c>
      <c r="J1192" s="33" t="n">
        <v>331</v>
      </c>
      <c r="K1192" s="33" t="n">
        <v>5</v>
      </c>
      <c r="L1192" s="34"/>
      <c r="M1192" s="35"/>
      <c r="N1192" s="36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9"/>
      <c r="Z1192" s="39"/>
      <c r="AA1192" s="28"/>
      <c r="AMJ1192" s="0"/>
    </row>
    <row r="1193" s="2" customFormat="true" ht="12.75" hidden="false" customHeight="true" outlineLevel="0" collapsed="false">
      <c r="A1193" s="27" t="s">
        <v>2323</v>
      </c>
      <c r="B1193" s="27" t="s">
        <v>2284</v>
      </c>
      <c r="C1193" s="28" t="s">
        <v>33</v>
      </c>
      <c r="D1193" s="27" t="s">
        <v>2132</v>
      </c>
      <c r="E1193" s="27"/>
      <c r="F1193" s="29" t="s">
        <v>2324</v>
      </c>
      <c r="G1193" s="30" t="n">
        <v>75016</v>
      </c>
      <c r="H1193" s="31" t="s">
        <v>36</v>
      </c>
      <c r="I1193" s="32"/>
      <c r="J1193" s="33" t="n">
        <v>61</v>
      </c>
      <c r="K1193" s="33" t="n">
        <v>1</v>
      </c>
      <c r="L1193" s="34"/>
      <c r="M1193" s="35"/>
      <c r="N1193" s="36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  <c r="Y1193" s="39"/>
      <c r="Z1193" s="39"/>
      <c r="AA1193" s="28"/>
      <c r="AC1193" s="2" t="s">
        <v>1478</v>
      </c>
      <c r="AMJ1193" s="0"/>
    </row>
    <row r="1194" s="2" customFormat="true" ht="12.75" hidden="false" customHeight="true" outlineLevel="0" collapsed="false">
      <c r="A1194" s="27" t="s">
        <v>2325</v>
      </c>
      <c r="B1194" s="27" t="s">
        <v>2326</v>
      </c>
      <c r="C1194" s="28" t="s">
        <v>33</v>
      </c>
      <c r="D1194" s="27" t="s">
        <v>2132</v>
      </c>
      <c r="E1194" s="27"/>
      <c r="F1194" s="29" t="s">
        <v>2324</v>
      </c>
      <c r="G1194" s="30" t="n">
        <v>75016</v>
      </c>
      <c r="H1194" s="31" t="s">
        <v>36</v>
      </c>
      <c r="I1194" s="32"/>
      <c r="J1194" s="33" t="n">
        <v>56</v>
      </c>
      <c r="K1194" s="33" t="n">
        <v>1</v>
      </c>
      <c r="L1194" s="34"/>
      <c r="M1194" s="35"/>
      <c r="N1194" s="36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9"/>
      <c r="Z1194" s="39"/>
      <c r="AA1194" s="28"/>
      <c r="AC1194" s="2" t="s">
        <v>38</v>
      </c>
      <c r="AMJ1194" s="0"/>
    </row>
    <row r="1195" s="2" customFormat="true" ht="12.75" hidden="false" customHeight="true" outlineLevel="0" collapsed="false">
      <c r="A1195" s="27" t="s">
        <v>2327</v>
      </c>
      <c r="B1195" s="27" t="s">
        <v>596</v>
      </c>
      <c r="C1195" s="28" t="s">
        <v>138</v>
      </c>
      <c r="D1195" s="27" t="s">
        <v>2132</v>
      </c>
      <c r="E1195" s="27"/>
      <c r="F1195" s="29" t="s">
        <v>2328</v>
      </c>
      <c r="G1195" s="30" t="n">
        <v>75016</v>
      </c>
      <c r="H1195" s="31" t="s">
        <v>36</v>
      </c>
      <c r="I1195" s="32"/>
      <c r="J1195" s="33" t="n">
        <v>265</v>
      </c>
      <c r="K1195" s="33" t="n">
        <v>3</v>
      </c>
      <c r="L1195" s="34"/>
      <c r="M1195" s="35"/>
      <c r="N1195" s="36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  <c r="Y1195" s="39"/>
      <c r="Z1195" s="39"/>
      <c r="AA1195" s="28"/>
      <c r="AMJ1195" s="0"/>
    </row>
    <row r="1196" s="2" customFormat="true" ht="12.75" hidden="false" customHeight="true" outlineLevel="0" collapsed="false">
      <c r="A1196" s="27" t="s">
        <v>2329</v>
      </c>
      <c r="B1196" s="27" t="s">
        <v>309</v>
      </c>
      <c r="C1196" s="28" t="s">
        <v>138</v>
      </c>
      <c r="D1196" s="27" t="s">
        <v>2132</v>
      </c>
      <c r="E1196" s="27"/>
      <c r="F1196" s="29" t="s">
        <v>2328</v>
      </c>
      <c r="G1196" s="30" t="n">
        <v>75016</v>
      </c>
      <c r="H1196" s="31" t="s">
        <v>36</v>
      </c>
      <c r="I1196" s="32" t="n">
        <v>616016831</v>
      </c>
      <c r="J1196" s="33" t="n">
        <v>254</v>
      </c>
      <c r="K1196" s="33" t="n">
        <v>1</v>
      </c>
      <c r="L1196" s="34" t="n">
        <v>2</v>
      </c>
      <c r="M1196" s="43" t="s">
        <v>164</v>
      </c>
      <c r="N1196" s="36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39" t="n">
        <v>45127.375</v>
      </c>
      <c r="Z1196" s="39"/>
      <c r="AA1196" s="28" t="n">
        <v>2</v>
      </c>
      <c r="AMJ1196" s="0"/>
    </row>
    <row r="1197" s="2" customFormat="true" ht="12.75" hidden="false" customHeight="true" outlineLevel="0" collapsed="false">
      <c r="A1197" s="27" t="s">
        <v>2330</v>
      </c>
      <c r="B1197" s="27" t="s">
        <v>830</v>
      </c>
      <c r="C1197" s="28" t="s">
        <v>138</v>
      </c>
      <c r="D1197" s="27" t="s">
        <v>2132</v>
      </c>
      <c r="E1197" s="27"/>
      <c r="F1197" s="29" t="s">
        <v>2328</v>
      </c>
      <c r="G1197" s="30" t="n">
        <v>75016</v>
      </c>
      <c r="H1197" s="31" t="s">
        <v>36</v>
      </c>
      <c r="I1197" s="32"/>
      <c r="J1197" s="33" t="n">
        <v>239</v>
      </c>
      <c r="K1197" s="33" t="n">
        <v>1</v>
      </c>
      <c r="L1197" s="34"/>
      <c r="M1197" s="35"/>
      <c r="N1197" s="36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9"/>
      <c r="Z1197" s="39"/>
      <c r="AA1197" s="28"/>
      <c r="AMJ1197" s="0"/>
    </row>
    <row r="1198" s="2" customFormat="true" ht="12.75" hidden="false" customHeight="true" outlineLevel="0" collapsed="false">
      <c r="A1198" s="27" t="s">
        <v>508</v>
      </c>
      <c r="B1198" s="27" t="s">
        <v>401</v>
      </c>
      <c r="C1198" s="28" t="s">
        <v>121</v>
      </c>
      <c r="D1198" s="27" t="s">
        <v>2132</v>
      </c>
      <c r="E1198" s="27"/>
      <c r="F1198" s="29" t="s">
        <v>2331</v>
      </c>
      <c r="G1198" s="30" t="n">
        <v>75016</v>
      </c>
      <c r="H1198" s="31" t="s">
        <v>36</v>
      </c>
      <c r="I1198" s="32" t="n">
        <v>145045313</v>
      </c>
      <c r="J1198" s="33" t="n">
        <v>228</v>
      </c>
      <c r="K1198" s="33" t="n">
        <v>10</v>
      </c>
      <c r="L1198" s="34" t="n">
        <v>2</v>
      </c>
      <c r="M1198" s="35" t="s">
        <v>164</v>
      </c>
      <c r="N1198" s="36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39"/>
      <c r="Z1198" s="39"/>
      <c r="AA1198" s="28" t="n">
        <v>3</v>
      </c>
      <c r="AMJ1198" s="0"/>
    </row>
    <row r="1199" s="2" customFormat="true" ht="12.75" hidden="false" customHeight="true" outlineLevel="0" collapsed="false">
      <c r="A1199" s="27" t="s">
        <v>2332</v>
      </c>
      <c r="B1199" s="27" t="s">
        <v>1760</v>
      </c>
      <c r="C1199" s="28" t="s">
        <v>121</v>
      </c>
      <c r="D1199" s="27" t="s">
        <v>2132</v>
      </c>
      <c r="E1199" s="27"/>
      <c r="F1199" s="29" t="s">
        <v>2331</v>
      </c>
      <c r="G1199" s="30" t="n">
        <v>75016</v>
      </c>
      <c r="H1199" s="31" t="s">
        <v>36</v>
      </c>
      <c r="I1199" s="32"/>
      <c r="J1199" s="33" t="n">
        <v>0</v>
      </c>
      <c r="K1199" s="33" t="n">
        <v>5</v>
      </c>
      <c r="L1199" s="34"/>
      <c r="M1199" s="35"/>
      <c r="N1199" s="36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9"/>
      <c r="Z1199" s="39"/>
      <c r="AA1199" s="28"/>
      <c r="AMJ1199" s="0"/>
    </row>
    <row r="1200" s="2" customFormat="true" ht="12.75" hidden="false" customHeight="true" outlineLevel="0" collapsed="false">
      <c r="A1200" s="27" t="s">
        <v>2333</v>
      </c>
      <c r="B1200" s="27" t="s">
        <v>1632</v>
      </c>
      <c r="C1200" s="28" t="s">
        <v>33</v>
      </c>
      <c r="D1200" s="27" t="s">
        <v>2132</v>
      </c>
      <c r="E1200" s="27"/>
      <c r="F1200" s="29" t="s">
        <v>2334</v>
      </c>
      <c r="G1200" s="30" t="n">
        <v>75016</v>
      </c>
      <c r="H1200" s="31" t="s">
        <v>36</v>
      </c>
      <c r="I1200" s="32" t="n">
        <v>145253696</v>
      </c>
      <c r="J1200" s="33" t="n">
        <v>51</v>
      </c>
      <c r="K1200" s="33" t="n">
        <v>1</v>
      </c>
      <c r="L1200" s="34"/>
      <c r="M1200" s="35"/>
      <c r="N1200" s="36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9"/>
      <c r="Z1200" s="39"/>
      <c r="AA1200" s="28"/>
      <c r="AC1200" s="2" t="s">
        <v>38</v>
      </c>
      <c r="AMJ1200" s="0"/>
    </row>
    <row r="1201" s="2" customFormat="true" ht="12.75" hidden="false" customHeight="true" outlineLevel="0" collapsed="false">
      <c r="A1201" s="27" t="s">
        <v>2335</v>
      </c>
      <c r="B1201" s="27" t="s">
        <v>88</v>
      </c>
      <c r="C1201" s="28" t="s">
        <v>178</v>
      </c>
      <c r="D1201" s="27" t="s">
        <v>2132</v>
      </c>
      <c r="E1201" s="27"/>
      <c r="F1201" s="29" t="s">
        <v>2336</v>
      </c>
      <c r="G1201" s="30" t="n">
        <v>75016</v>
      </c>
      <c r="H1201" s="31" t="s">
        <v>36</v>
      </c>
      <c r="I1201" s="32" t="n">
        <v>140724000</v>
      </c>
      <c r="J1201" s="33" t="n">
        <v>148</v>
      </c>
      <c r="K1201" s="33" t="n">
        <v>1</v>
      </c>
      <c r="L1201" s="34"/>
      <c r="M1201" s="35"/>
      <c r="N1201" s="36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9"/>
      <c r="Z1201" s="39"/>
      <c r="AA1201" s="28"/>
      <c r="AMJ1201" s="0"/>
    </row>
    <row r="1202" s="2" customFormat="true" ht="12.75" hidden="false" customHeight="true" outlineLevel="0" collapsed="false">
      <c r="A1202" s="27" t="s">
        <v>2337</v>
      </c>
      <c r="B1202" s="27" t="s">
        <v>329</v>
      </c>
      <c r="C1202" s="28" t="s">
        <v>178</v>
      </c>
      <c r="D1202" s="27" t="s">
        <v>2132</v>
      </c>
      <c r="E1202" s="27"/>
      <c r="F1202" s="29" t="s">
        <v>2336</v>
      </c>
      <c r="G1202" s="30" t="n">
        <v>75016</v>
      </c>
      <c r="H1202" s="31" t="s">
        <v>36</v>
      </c>
      <c r="I1202" s="32" t="n">
        <v>140724000</v>
      </c>
      <c r="J1202" s="33" t="n">
        <v>138</v>
      </c>
      <c r="K1202" s="33" t="n">
        <v>1</v>
      </c>
      <c r="L1202" s="34"/>
      <c r="M1202" s="35"/>
      <c r="N1202" s="36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9"/>
      <c r="Z1202" s="39"/>
      <c r="AA1202" s="28"/>
      <c r="AMJ1202" s="0"/>
    </row>
    <row r="1203" s="2" customFormat="true" ht="12.75" hidden="false" customHeight="true" outlineLevel="0" collapsed="false">
      <c r="A1203" s="27" t="s">
        <v>2338</v>
      </c>
      <c r="B1203" s="27" t="s">
        <v>596</v>
      </c>
      <c r="C1203" s="28" t="s">
        <v>178</v>
      </c>
      <c r="D1203" s="27" t="s">
        <v>2132</v>
      </c>
      <c r="E1203" s="27"/>
      <c r="F1203" s="29" t="s">
        <v>2336</v>
      </c>
      <c r="G1203" s="30" t="n">
        <v>75016</v>
      </c>
      <c r="H1203" s="31" t="s">
        <v>36</v>
      </c>
      <c r="I1203" s="32" t="n">
        <v>140724000</v>
      </c>
      <c r="J1203" s="33" t="n">
        <v>137</v>
      </c>
      <c r="K1203" s="33" t="n">
        <v>1</v>
      </c>
      <c r="L1203" s="34"/>
      <c r="M1203" s="35"/>
      <c r="N1203" s="36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  <c r="Y1203" s="39"/>
      <c r="Z1203" s="39"/>
      <c r="AA1203" s="28"/>
      <c r="AMJ1203" s="0"/>
    </row>
    <row r="1204" s="2" customFormat="true" ht="12.75" hidden="false" customHeight="true" outlineLevel="0" collapsed="false">
      <c r="A1204" s="27" t="s">
        <v>2339</v>
      </c>
      <c r="B1204" s="27" t="s">
        <v>608</v>
      </c>
      <c r="C1204" s="28" t="s">
        <v>138</v>
      </c>
      <c r="D1204" s="27" t="s">
        <v>2132</v>
      </c>
      <c r="E1204" s="27"/>
      <c r="F1204" s="29" t="s">
        <v>2336</v>
      </c>
      <c r="G1204" s="30" t="n">
        <v>75016</v>
      </c>
      <c r="H1204" s="31" t="s">
        <v>36</v>
      </c>
      <c r="I1204" s="32"/>
      <c r="J1204" s="33" t="n">
        <v>140</v>
      </c>
      <c r="K1204" s="33" t="n">
        <v>3</v>
      </c>
      <c r="L1204" s="34"/>
      <c r="M1204" s="35"/>
      <c r="N1204" s="36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9"/>
      <c r="Z1204" s="39"/>
      <c r="AA1204" s="28"/>
      <c r="AMJ1204" s="0"/>
    </row>
    <row r="1205" s="2" customFormat="true" ht="12.75" hidden="false" customHeight="true" outlineLevel="0" collapsed="false">
      <c r="A1205" s="27" t="s">
        <v>411</v>
      </c>
      <c r="B1205" s="27" t="s">
        <v>743</v>
      </c>
      <c r="C1205" s="28" t="s">
        <v>33</v>
      </c>
      <c r="D1205" s="27" t="s">
        <v>2132</v>
      </c>
      <c r="E1205" s="27"/>
      <c r="F1205" s="29" t="s">
        <v>2340</v>
      </c>
      <c r="G1205" s="30" t="n">
        <v>75016</v>
      </c>
      <c r="H1205" s="31" t="s">
        <v>36</v>
      </c>
      <c r="I1205" s="32" t="n">
        <v>145256002</v>
      </c>
      <c r="J1205" s="33" t="n">
        <v>43</v>
      </c>
      <c r="K1205" s="33" t="n">
        <v>1</v>
      </c>
      <c r="L1205" s="34"/>
      <c r="M1205" s="35"/>
      <c r="N1205" s="36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9"/>
      <c r="Z1205" s="39"/>
      <c r="AA1205" s="28"/>
      <c r="AC1205" s="2" t="s">
        <v>197</v>
      </c>
      <c r="AMJ1205" s="0"/>
    </row>
    <row r="1206" s="2" customFormat="true" ht="12.75" hidden="false" customHeight="true" outlineLevel="0" collapsed="false">
      <c r="A1206" s="27" t="s">
        <v>2341</v>
      </c>
      <c r="B1206" s="27" t="s">
        <v>2342</v>
      </c>
      <c r="C1206" s="28" t="s">
        <v>41</v>
      </c>
      <c r="D1206" s="27" t="s">
        <v>2132</v>
      </c>
      <c r="E1206" s="27"/>
      <c r="F1206" s="29" t="s">
        <v>2343</v>
      </c>
      <c r="G1206" s="30" t="n">
        <v>75016</v>
      </c>
      <c r="H1206" s="31" t="s">
        <v>36</v>
      </c>
      <c r="I1206" s="32"/>
      <c r="J1206" s="33" t="n">
        <v>301</v>
      </c>
      <c r="K1206" s="33" t="n">
        <v>0</v>
      </c>
      <c r="L1206" s="34"/>
      <c r="M1206" s="35"/>
      <c r="N1206" s="36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9"/>
      <c r="Z1206" s="39"/>
      <c r="AA1206" s="28"/>
      <c r="AMJ1206" s="0"/>
    </row>
    <row r="1207" s="2" customFormat="true" ht="12.75" hidden="false" customHeight="true" outlineLevel="0" collapsed="false">
      <c r="A1207" s="27" t="s">
        <v>2344</v>
      </c>
      <c r="B1207" s="27" t="s">
        <v>2345</v>
      </c>
      <c r="C1207" s="28" t="s">
        <v>138</v>
      </c>
      <c r="D1207" s="27" t="s">
        <v>2132</v>
      </c>
      <c r="E1207" s="27"/>
      <c r="F1207" s="29" t="s">
        <v>2346</v>
      </c>
      <c r="G1207" s="30" t="n">
        <v>75016</v>
      </c>
      <c r="H1207" s="31" t="s">
        <v>36</v>
      </c>
      <c r="I1207" s="32" t="n">
        <v>145279783</v>
      </c>
      <c r="J1207" s="33" t="n">
        <v>237</v>
      </c>
      <c r="K1207" s="33" t="n">
        <v>1</v>
      </c>
      <c r="L1207" s="34"/>
      <c r="M1207" s="35"/>
      <c r="N1207" s="36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9"/>
      <c r="Z1207" s="39"/>
      <c r="AA1207" s="28"/>
      <c r="AMJ1207" s="0"/>
    </row>
    <row r="1208" s="2" customFormat="true" ht="12.75" hidden="false" customHeight="true" outlineLevel="0" collapsed="false">
      <c r="A1208" s="27" t="s">
        <v>2347</v>
      </c>
      <c r="B1208" s="27" t="s">
        <v>2348</v>
      </c>
      <c r="C1208" s="28" t="s">
        <v>178</v>
      </c>
      <c r="D1208" s="27" t="s">
        <v>2132</v>
      </c>
      <c r="E1208" s="27"/>
      <c r="F1208" s="29" t="s">
        <v>2349</v>
      </c>
      <c r="G1208" s="30" t="n">
        <v>75016</v>
      </c>
      <c r="H1208" s="31" t="s">
        <v>36</v>
      </c>
      <c r="I1208" s="32" t="n">
        <v>145246950</v>
      </c>
      <c r="J1208" s="33" t="n">
        <v>83</v>
      </c>
      <c r="K1208" s="33" t="n">
        <v>2</v>
      </c>
      <c r="L1208" s="34"/>
      <c r="M1208" s="35"/>
      <c r="N1208" s="36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9"/>
      <c r="Z1208" s="39"/>
      <c r="AA1208" s="28"/>
      <c r="AMJ1208" s="0"/>
    </row>
    <row r="1209" s="2" customFormat="true" ht="12.75" hidden="false" customHeight="true" outlineLevel="0" collapsed="false">
      <c r="A1209" s="27" t="s">
        <v>2350</v>
      </c>
      <c r="B1209" s="27" t="s">
        <v>2351</v>
      </c>
      <c r="C1209" s="28" t="s">
        <v>121</v>
      </c>
      <c r="D1209" s="27" t="s">
        <v>2132</v>
      </c>
      <c r="E1209" s="27"/>
      <c r="F1209" s="29" t="s">
        <v>2349</v>
      </c>
      <c r="G1209" s="30" t="n">
        <v>75016</v>
      </c>
      <c r="H1209" s="31" t="s">
        <v>36</v>
      </c>
      <c r="I1209" s="32" t="n">
        <v>298293469</v>
      </c>
      <c r="J1209" s="33" t="n">
        <v>86</v>
      </c>
      <c r="K1209" s="33" t="n">
        <v>2</v>
      </c>
      <c r="L1209" s="34"/>
      <c r="M1209" s="35"/>
      <c r="N1209" s="36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9"/>
      <c r="Z1209" s="39"/>
      <c r="AA1209" s="28"/>
      <c r="AMJ1209" s="0"/>
    </row>
    <row r="1210" s="2" customFormat="true" ht="12.75" hidden="false" customHeight="true" outlineLevel="0" collapsed="false">
      <c r="A1210" s="27" t="s">
        <v>2352</v>
      </c>
      <c r="B1210" s="27" t="s">
        <v>2353</v>
      </c>
      <c r="C1210" s="28" t="s">
        <v>33</v>
      </c>
      <c r="D1210" s="27" t="s">
        <v>2132</v>
      </c>
      <c r="E1210" s="27"/>
      <c r="F1210" s="29" t="s">
        <v>2354</v>
      </c>
      <c r="G1210" s="30" t="n">
        <v>75016</v>
      </c>
      <c r="H1210" s="31" t="s">
        <v>36</v>
      </c>
      <c r="I1210" s="32" t="n">
        <v>145251614</v>
      </c>
      <c r="J1210" s="33" t="n">
        <v>31</v>
      </c>
      <c r="K1210" s="33" t="n">
        <v>1</v>
      </c>
      <c r="L1210" s="34"/>
      <c r="M1210" s="35"/>
      <c r="N1210" s="36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9"/>
      <c r="Z1210" s="39"/>
      <c r="AA1210" s="28"/>
      <c r="AC1210" s="2" t="s">
        <v>38</v>
      </c>
      <c r="AMJ1210" s="0"/>
    </row>
    <row r="1211" s="2" customFormat="true" ht="12.75" hidden="false" customHeight="true" outlineLevel="0" collapsed="false">
      <c r="A1211" s="27" t="s">
        <v>2355</v>
      </c>
      <c r="B1211" s="27" t="s">
        <v>189</v>
      </c>
      <c r="C1211" s="28" t="s">
        <v>33</v>
      </c>
      <c r="D1211" s="27" t="s">
        <v>2132</v>
      </c>
      <c r="E1211" s="27"/>
      <c r="F1211" s="29" t="s">
        <v>2356</v>
      </c>
      <c r="G1211" s="30" t="n">
        <v>75016</v>
      </c>
      <c r="H1211" s="31" t="s">
        <v>36</v>
      </c>
      <c r="I1211" s="32" t="n">
        <v>145034838</v>
      </c>
      <c r="J1211" s="33" t="n">
        <v>56</v>
      </c>
      <c r="K1211" s="33" t="n">
        <v>0</v>
      </c>
      <c r="L1211" s="34"/>
      <c r="M1211" s="35"/>
      <c r="N1211" s="36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9"/>
      <c r="Z1211" s="39"/>
      <c r="AA1211" s="28"/>
      <c r="AC1211" s="2" t="s">
        <v>197</v>
      </c>
      <c r="AMJ1211" s="0"/>
    </row>
    <row r="1212" s="2" customFormat="true" ht="12.75" hidden="false" customHeight="true" outlineLevel="0" collapsed="false">
      <c r="A1212" s="27" t="s">
        <v>2357</v>
      </c>
      <c r="B1212" s="27" t="s">
        <v>377</v>
      </c>
      <c r="C1212" s="28" t="s">
        <v>41</v>
      </c>
      <c r="D1212" s="27" t="s">
        <v>2132</v>
      </c>
      <c r="E1212" s="27"/>
      <c r="F1212" s="29" t="s">
        <v>2358</v>
      </c>
      <c r="G1212" s="30" t="n">
        <v>75016</v>
      </c>
      <c r="H1212" s="31" t="s">
        <v>36</v>
      </c>
      <c r="I1212" s="32" t="n">
        <v>140727032</v>
      </c>
      <c r="J1212" s="33" t="n">
        <v>284</v>
      </c>
      <c r="K1212" s="33" t="n">
        <v>3</v>
      </c>
      <c r="L1212" s="34"/>
      <c r="M1212" s="35"/>
      <c r="N1212" s="36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9"/>
      <c r="Z1212" s="39"/>
      <c r="AA1212" s="28"/>
      <c r="AMJ1212" s="0"/>
    </row>
    <row r="1213" s="2" customFormat="true" ht="12.75" hidden="false" customHeight="true" outlineLevel="0" collapsed="false">
      <c r="A1213" s="27" t="s">
        <v>2359</v>
      </c>
      <c r="B1213" s="27" t="s">
        <v>2360</v>
      </c>
      <c r="C1213" s="28" t="s">
        <v>121</v>
      </c>
      <c r="D1213" s="27" t="s">
        <v>2132</v>
      </c>
      <c r="E1213" s="27"/>
      <c r="F1213" s="29" t="s">
        <v>2361</v>
      </c>
      <c r="G1213" s="30" t="n">
        <v>75016</v>
      </c>
      <c r="H1213" s="31" t="s">
        <v>36</v>
      </c>
      <c r="I1213" s="32" t="n">
        <v>145200366</v>
      </c>
      <c r="J1213" s="33" t="n">
        <v>197</v>
      </c>
      <c r="K1213" s="33" t="n">
        <v>6</v>
      </c>
      <c r="L1213" s="34" t="n">
        <v>2</v>
      </c>
      <c r="M1213" s="35" t="s">
        <v>164</v>
      </c>
      <c r="N1213" s="36" t="s">
        <v>2362</v>
      </c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39"/>
      <c r="Z1213" s="39"/>
      <c r="AA1213" s="28" t="n">
        <v>3</v>
      </c>
      <c r="AMJ1213" s="0"/>
    </row>
    <row r="1214" s="2" customFormat="true" ht="12.75" hidden="false" customHeight="true" outlineLevel="0" collapsed="false">
      <c r="A1214" s="27" t="s">
        <v>2363</v>
      </c>
      <c r="B1214" s="27" t="s">
        <v>2063</v>
      </c>
      <c r="C1214" s="28" t="s">
        <v>33</v>
      </c>
      <c r="D1214" s="27" t="s">
        <v>2132</v>
      </c>
      <c r="E1214" s="27"/>
      <c r="F1214" s="29" t="s">
        <v>2364</v>
      </c>
      <c r="G1214" s="30" t="n">
        <v>75016</v>
      </c>
      <c r="H1214" s="31" t="s">
        <v>36</v>
      </c>
      <c r="I1214" s="32" t="n">
        <v>142254809</v>
      </c>
      <c r="J1214" s="33" t="n">
        <v>51</v>
      </c>
      <c r="K1214" s="33" t="n">
        <v>0</v>
      </c>
      <c r="L1214" s="34"/>
      <c r="M1214" s="35"/>
      <c r="N1214" s="36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9"/>
      <c r="Z1214" s="39"/>
      <c r="AA1214" s="28"/>
      <c r="AC1214" s="2" t="s">
        <v>38</v>
      </c>
      <c r="AMJ1214" s="0"/>
    </row>
    <row r="1215" s="2" customFormat="true" ht="12.75" hidden="false" customHeight="true" outlineLevel="0" collapsed="false">
      <c r="A1215" s="27" t="s">
        <v>2365</v>
      </c>
      <c r="B1215" s="27" t="s">
        <v>2366</v>
      </c>
      <c r="C1215" s="28" t="s">
        <v>138</v>
      </c>
      <c r="D1215" s="27" t="s">
        <v>2132</v>
      </c>
      <c r="E1215" s="27"/>
      <c r="F1215" s="29" t="s">
        <v>2367</v>
      </c>
      <c r="G1215" s="30" t="n">
        <v>75016</v>
      </c>
      <c r="H1215" s="31" t="s">
        <v>36</v>
      </c>
      <c r="I1215" s="32" t="n">
        <v>140723356</v>
      </c>
      <c r="J1215" s="33" t="n">
        <v>257</v>
      </c>
      <c r="K1215" s="33" t="n">
        <v>3</v>
      </c>
      <c r="L1215" s="34"/>
      <c r="M1215" s="35"/>
      <c r="N1215" s="36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9"/>
      <c r="Z1215" s="39"/>
      <c r="AA1215" s="28"/>
      <c r="AMJ1215" s="0"/>
    </row>
    <row r="1216" s="2" customFormat="true" ht="12.75" hidden="false" customHeight="true" outlineLevel="0" collapsed="false">
      <c r="A1216" s="27" t="s">
        <v>2368</v>
      </c>
      <c r="B1216" s="27" t="s">
        <v>160</v>
      </c>
      <c r="C1216" s="28" t="s">
        <v>41</v>
      </c>
      <c r="D1216" s="27" t="s">
        <v>2132</v>
      </c>
      <c r="E1216" s="27"/>
      <c r="F1216" s="29" t="s">
        <v>2367</v>
      </c>
      <c r="G1216" s="30" t="n">
        <v>75016</v>
      </c>
      <c r="H1216" s="31" t="s">
        <v>36</v>
      </c>
      <c r="I1216" s="32" t="n">
        <v>145046892</v>
      </c>
      <c r="J1216" s="33" t="n">
        <v>273</v>
      </c>
      <c r="K1216" s="33" t="n">
        <v>1</v>
      </c>
      <c r="L1216" s="34"/>
      <c r="M1216" s="35"/>
      <c r="N1216" s="36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9"/>
      <c r="Z1216" s="39"/>
      <c r="AA1216" s="28"/>
      <c r="AMJ1216" s="0"/>
    </row>
    <row r="1217" s="2" customFormat="true" ht="12.75" hidden="false" customHeight="true" outlineLevel="0" collapsed="false">
      <c r="A1217" s="27" t="s">
        <v>150</v>
      </c>
      <c r="B1217" s="27" t="s">
        <v>88</v>
      </c>
      <c r="C1217" s="28" t="s">
        <v>41</v>
      </c>
      <c r="D1217" s="27" t="s">
        <v>2132</v>
      </c>
      <c r="E1217" s="27"/>
      <c r="F1217" s="29" t="s">
        <v>2367</v>
      </c>
      <c r="G1217" s="30" t="n">
        <v>75016</v>
      </c>
      <c r="H1217" s="31" t="s">
        <v>36</v>
      </c>
      <c r="I1217" s="32" t="n">
        <v>147550777</v>
      </c>
      <c r="J1217" s="33" t="n">
        <v>268</v>
      </c>
      <c r="K1217" s="33" t="n">
        <v>1</v>
      </c>
      <c r="L1217" s="34"/>
      <c r="M1217" s="35"/>
      <c r="N1217" s="36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9"/>
      <c r="Z1217" s="39"/>
      <c r="AA1217" s="28"/>
      <c r="AMJ1217" s="0"/>
    </row>
    <row r="1218" s="2" customFormat="true" ht="12.75" hidden="false" customHeight="true" outlineLevel="0" collapsed="false">
      <c r="A1218" s="27" t="s">
        <v>2369</v>
      </c>
      <c r="B1218" s="27" t="s">
        <v>2370</v>
      </c>
      <c r="C1218" s="28" t="s">
        <v>41</v>
      </c>
      <c r="D1218" s="27" t="s">
        <v>2132</v>
      </c>
      <c r="E1218" s="27"/>
      <c r="F1218" s="29" t="s">
        <v>2371</v>
      </c>
      <c r="G1218" s="30" t="n">
        <v>75016</v>
      </c>
      <c r="H1218" s="31" t="s">
        <v>36</v>
      </c>
      <c r="I1218" s="32"/>
      <c r="J1218" s="33" t="n">
        <v>263</v>
      </c>
      <c r="K1218" s="33" t="n">
        <v>1</v>
      </c>
      <c r="L1218" s="34"/>
      <c r="M1218" s="35"/>
      <c r="N1218" s="36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9"/>
      <c r="Z1218" s="39"/>
      <c r="AA1218" s="28"/>
      <c r="AMJ1218" s="0"/>
    </row>
    <row r="1219" s="2" customFormat="true" ht="12.75" hidden="false" customHeight="true" outlineLevel="0" collapsed="false">
      <c r="A1219" s="27" t="s">
        <v>2372</v>
      </c>
      <c r="B1219" s="27" t="s">
        <v>590</v>
      </c>
      <c r="C1219" s="28" t="s">
        <v>138</v>
      </c>
      <c r="D1219" s="27" t="s">
        <v>2132</v>
      </c>
      <c r="E1219" s="27"/>
      <c r="F1219" s="29" t="s">
        <v>2373</v>
      </c>
      <c r="G1219" s="30" t="n">
        <v>75016</v>
      </c>
      <c r="H1219" s="31" t="s">
        <v>36</v>
      </c>
      <c r="I1219" s="32" t="n">
        <v>145033074</v>
      </c>
      <c r="J1219" s="33" t="n">
        <v>229</v>
      </c>
      <c r="K1219" s="33" t="n">
        <v>1</v>
      </c>
      <c r="L1219" s="34"/>
      <c r="M1219" s="35"/>
      <c r="N1219" s="36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9"/>
      <c r="Z1219" s="39"/>
      <c r="AA1219" s="28"/>
      <c r="AMJ1219" s="0"/>
    </row>
    <row r="1220" s="2" customFormat="true" ht="12.75" hidden="false" customHeight="true" outlineLevel="0" collapsed="false">
      <c r="A1220" s="27" t="s">
        <v>2374</v>
      </c>
      <c r="B1220" s="27" t="s">
        <v>51</v>
      </c>
      <c r="C1220" s="28" t="s">
        <v>138</v>
      </c>
      <c r="D1220" s="27" t="s">
        <v>2132</v>
      </c>
      <c r="E1220" s="27"/>
      <c r="F1220" s="29" t="s">
        <v>2373</v>
      </c>
      <c r="G1220" s="30" t="n">
        <v>75016</v>
      </c>
      <c r="H1220" s="31" t="s">
        <v>36</v>
      </c>
      <c r="I1220" s="32" t="n">
        <v>145033074</v>
      </c>
      <c r="J1220" s="33" t="n">
        <v>215</v>
      </c>
      <c r="K1220" s="33" t="n">
        <v>1</v>
      </c>
      <c r="L1220" s="34"/>
      <c r="M1220" s="35"/>
      <c r="N1220" s="36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9"/>
      <c r="Z1220" s="39"/>
      <c r="AA1220" s="28"/>
      <c r="AMJ1220" s="0"/>
    </row>
    <row r="1221" s="2" customFormat="true" ht="12.75" hidden="false" customHeight="true" outlineLevel="0" collapsed="false">
      <c r="A1221" s="27" t="s">
        <v>2375</v>
      </c>
      <c r="B1221" s="27" t="s">
        <v>2376</v>
      </c>
      <c r="C1221" s="28" t="s">
        <v>41</v>
      </c>
      <c r="D1221" s="27" t="s">
        <v>2132</v>
      </c>
      <c r="E1221" s="27"/>
      <c r="F1221" s="29" t="s">
        <v>2377</v>
      </c>
      <c r="G1221" s="30" t="n">
        <v>75016</v>
      </c>
      <c r="H1221" s="31" t="s">
        <v>36</v>
      </c>
      <c r="I1221" s="32" t="n">
        <v>145257127</v>
      </c>
      <c r="J1221" s="33" t="n">
        <v>362</v>
      </c>
      <c r="K1221" s="33" t="n">
        <v>2</v>
      </c>
      <c r="L1221" s="34"/>
      <c r="M1221" s="35"/>
      <c r="N1221" s="36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9"/>
      <c r="Z1221" s="39"/>
      <c r="AA1221" s="28"/>
      <c r="AMJ1221" s="0"/>
    </row>
    <row r="1222" s="2" customFormat="true" ht="12.75" hidden="false" customHeight="true" outlineLevel="0" collapsed="false">
      <c r="A1222" s="27" t="s">
        <v>2378</v>
      </c>
      <c r="B1222" s="27" t="s">
        <v>65</v>
      </c>
      <c r="C1222" s="28" t="s">
        <v>138</v>
      </c>
      <c r="D1222" s="27" t="s">
        <v>2132</v>
      </c>
      <c r="E1222" s="27"/>
      <c r="F1222" s="29" t="s">
        <v>2379</v>
      </c>
      <c r="G1222" s="30" t="n">
        <v>75016</v>
      </c>
      <c r="H1222" s="31" t="s">
        <v>36</v>
      </c>
      <c r="I1222" s="32" t="n">
        <v>142662499</v>
      </c>
      <c r="J1222" s="33" t="n">
        <v>72</v>
      </c>
      <c r="K1222" s="33" t="n">
        <v>8</v>
      </c>
      <c r="L1222" s="34" t="n">
        <v>3</v>
      </c>
      <c r="M1222" s="35" t="s">
        <v>164</v>
      </c>
      <c r="N1222" s="36" t="s">
        <v>2380</v>
      </c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39"/>
      <c r="Z1222" s="39"/>
      <c r="AA1222" s="28" t="n">
        <v>3</v>
      </c>
      <c r="AMJ1222" s="0"/>
    </row>
    <row r="1223" s="2" customFormat="true" ht="12.75" hidden="false" customHeight="true" outlineLevel="0" collapsed="false">
      <c r="A1223" s="27" t="s">
        <v>2381</v>
      </c>
      <c r="B1223" s="27" t="s">
        <v>590</v>
      </c>
      <c r="C1223" s="28" t="s">
        <v>33</v>
      </c>
      <c r="D1223" s="27" t="s">
        <v>2132</v>
      </c>
      <c r="E1223" s="27"/>
      <c r="F1223" s="29" t="s">
        <v>2379</v>
      </c>
      <c r="G1223" s="30" t="n">
        <v>75016</v>
      </c>
      <c r="H1223" s="31" t="s">
        <v>36</v>
      </c>
      <c r="I1223" s="32"/>
      <c r="J1223" s="33" t="n">
        <v>77</v>
      </c>
      <c r="K1223" s="33" t="n">
        <v>1</v>
      </c>
      <c r="L1223" s="34"/>
      <c r="M1223" s="35"/>
      <c r="N1223" s="36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9"/>
      <c r="Z1223" s="39"/>
      <c r="AA1223" s="28"/>
      <c r="AC1223" s="2" t="s">
        <v>38</v>
      </c>
      <c r="AMJ1223" s="0"/>
    </row>
    <row r="1224" s="2" customFormat="true" ht="12.75" hidden="false" customHeight="true" outlineLevel="0" collapsed="false">
      <c r="A1224" s="27" t="s">
        <v>2382</v>
      </c>
      <c r="B1224" s="27" t="s">
        <v>428</v>
      </c>
      <c r="C1224" s="28" t="s">
        <v>33</v>
      </c>
      <c r="D1224" s="27" t="s">
        <v>2132</v>
      </c>
      <c r="E1224" s="27"/>
      <c r="F1224" s="29" t="s">
        <v>2379</v>
      </c>
      <c r="G1224" s="30" t="n">
        <v>75016</v>
      </c>
      <c r="H1224" s="31" t="s">
        <v>36</v>
      </c>
      <c r="I1224" s="32"/>
      <c r="J1224" s="33" t="n">
        <v>58</v>
      </c>
      <c r="K1224" s="33" t="n">
        <v>2</v>
      </c>
      <c r="L1224" s="34"/>
      <c r="M1224" s="35"/>
      <c r="N1224" s="36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9"/>
      <c r="Z1224" s="39"/>
      <c r="AA1224" s="28"/>
      <c r="AC1224" s="2" t="s">
        <v>38</v>
      </c>
      <c r="AMJ1224" s="0"/>
    </row>
    <row r="1225" s="2" customFormat="true" ht="12.75" hidden="false" customHeight="true" outlineLevel="0" collapsed="false">
      <c r="A1225" s="27" t="s">
        <v>391</v>
      </c>
      <c r="B1225" s="27" t="s">
        <v>53</v>
      </c>
      <c r="C1225" s="28" t="s">
        <v>33</v>
      </c>
      <c r="D1225" s="27" t="s">
        <v>2132</v>
      </c>
      <c r="E1225" s="27"/>
      <c r="F1225" s="29" t="s">
        <v>2379</v>
      </c>
      <c r="G1225" s="30" t="n">
        <v>75016</v>
      </c>
      <c r="H1225" s="31" t="s">
        <v>36</v>
      </c>
      <c r="I1225" s="32" t="n">
        <v>158412424</v>
      </c>
      <c r="J1225" s="33" t="n">
        <v>51</v>
      </c>
      <c r="K1225" s="33" t="n">
        <v>1</v>
      </c>
      <c r="L1225" s="34"/>
      <c r="M1225" s="35"/>
      <c r="N1225" s="36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9"/>
      <c r="Z1225" s="39"/>
      <c r="AA1225" s="28"/>
      <c r="AC1225" s="2" t="s">
        <v>38</v>
      </c>
      <c r="AMJ1225" s="0"/>
    </row>
    <row r="1226" s="2" customFormat="true" ht="12.75" hidden="false" customHeight="true" outlineLevel="0" collapsed="false">
      <c r="A1226" s="27" t="s">
        <v>2383</v>
      </c>
      <c r="B1226" s="27" t="s">
        <v>2384</v>
      </c>
      <c r="C1226" s="28" t="s">
        <v>138</v>
      </c>
      <c r="D1226" s="27" t="s">
        <v>2132</v>
      </c>
      <c r="E1226" s="27"/>
      <c r="F1226" s="29" t="s">
        <v>2385</v>
      </c>
      <c r="G1226" s="30" t="n">
        <v>75016</v>
      </c>
      <c r="H1226" s="31" t="s">
        <v>36</v>
      </c>
      <c r="I1226" s="32" t="n">
        <v>147275555</v>
      </c>
      <c r="J1226" s="33" t="n">
        <v>262</v>
      </c>
      <c r="K1226" s="33" t="n">
        <v>1</v>
      </c>
      <c r="L1226" s="34"/>
      <c r="M1226" s="35"/>
      <c r="N1226" s="36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9"/>
      <c r="Z1226" s="39"/>
      <c r="AA1226" s="28"/>
      <c r="AMJ1226" s="0"/>
    </row>
    <row r="1227" s="2" customFormat="true" ht="12.75" hidden="false" customHeight="true" outlineLevel="0" collapsed="false">
      <c r="A1227" s="27" t="s">
        <v>2386</v>
      </c>
      <c r="B1227" s="27" t="s">
        <v>1865</v>
      </c>
      <c r="C1227" s="28" t="s">
        <v>138</v>
      </c>
      <c r="D1227" s="27" t="s">
        <v>2132</v>
      </c>
      <c r="E1227" s="27"/>
      <c r="F1227" s="29" t="s">
        <v>2385</v>
      </c>
      <c r="G1227" s="30" t="n">
        <v>75016</v>
      </c>
      <c r="H1227" s="31" t="s">
        <v>36</v>
      </c>
      <c r="I1227" s="32" t="n">
        <v>147275555</v>
      </c>
      <c r="J1227" s="33" t="n">
        <v>121</v>
      </c>
      <c r="K1227" s="33" t="n">
        <v>4</v>
      </c>
      <c r="L1227" s="34" t="n">
        <v>2</v>
      </c>
      <c r="M1227" s="43" t="s">
        <v>155</v>
      </c>
      <c r="N1227" s="36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39" t="n">
        <v>45110.375</v>
      </c>
      <c r="Z1227" s="39" t="n">
        <v>45209.5833333333</v>
      </c>
      <c r="AA1227" s="28" t="n">
        <v>3</v>
      </c>
      <c r="AMJ1227" s="0"/>
    </row>
    <row r="1228" s="2" customFormat="true" ht="12.75" hidden="false" customHeight="true" outlineLevel="0" collapsed="false">
      <c r="A1228" s="27" t="s">
        <v>2387</v>
      </c>
      <c r="B1228" s="27" t="s">
        <v>1160</v>
      </c>
      <c r="C1228" s="28" t="s">
        <v>41</v>
      </c>
      <c r="D1228" s="27" t="s">
        <v>2132</v>
      </c>
      <c r="E1228" s="27"/>
      <c r="F1228" s="29" t="s">
        <v>2388</v>
      </c>
      <c r="G1228" s="30" t="n">
        <v>75016</v>
      </c>
      <c r="H1228" s="31" t="s">
        <v>36</v>
      </c>
      <c r="I1228" s="32" t="n">
        <v>145273976</v>
      </c>
      <c r="J1228" s="33" t="n">
        <v>309</v>
      </c>
      <c r="K1228" s="33" t="n">
        <v>7</v>
      </c>
      <c r="L1228" s="34"/>
      <c r="M1228" s="43" t="s">
        <v>155</v>
      </c>
      <c r="N1228" s="36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39" t="n">
        <v>45110.4166666667</v>
      </c>
      <c r="Z1228" s="39" t="n">
        <v>45188.5833333333</v>
      </c>
      <c r="AA1228" s="28"/>
      <c r="AMJ1228" s="0"/>
    </row>
    <row r="1229" s="2" customFormat="true" ht="12.75" hidden="false" customHeight="true" outlineLevel="0" collapsed="false">
      <c r="A1229" s="27" t="s">
        <v>2389</v>
      </c>
      <c r="B1229" s="27" t="s">
        <v>1094</v>
      </c>
      <c r="C1229" s="28" t="s">
        <v>33</v>
      </c>
      <c r="D1229" s="27" t="s">
        <v>2132</v>
      </c>
      <c r="E1229" s="27"/>
      <c r="F1229" s="29" t="s">
        <v>2390</v>
      </c>
      <c r="G1229" s="30" t="n">
        <v>75016</v>
      </c>
      <c r="H1229" s="31" t="s">
        <v>36</v>
      </c>
      <c r="I1229" s="32" t="n">
        <v>144090320</v>
      </c>
      <c r="J1229" s="33" t="n">
        <v>65</v>
      </c>
      <c r="K1229" s="33" t="n">
        <v>2</v>
      </c>
      <c r="L1229" s="34"/>
      <c r="M1229" s="35"/>
      <c r="N1229" s="36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9"/>
      <c r="Z1229" s="39"/>
      <c r="AA1229" s="28"/>
      <c r="AC1229" s="2" t="s">
        <v>1484</v>
      </c>
      <c r="AMJ1229" s="0"/>
    </row>
    <row r="1230" s="2" customFormat="true" ht="12.75" hidden="false" customHeight="true" outlineLevel="0" collapsed="false">
      <c r="A1230" s="27" t="s">
        <v>2391</v>
      </c>
      <c r="B1230" s="27" t="s">
        <v>2392</v>
      </c>
      <c r="C1230" s="28" t="s">
        <v>41</v>
      </c>
      <c r="D1230" s="27" t="s">
        <v>2132</v>
      </c>
      <c r="E1230" s="27"/>
      <c r="F1230" s="29" t="s">
        <v>2393</v>
      </c>
      <c r="G1230" s="30" t="n">
        <v>75016</v>
      </c>
      <c r="H1230" s="31" t="s">
        <v>36</v>
      </c>
      <c r="I1230" s="32" t="n">
        <v>140727201</v>
      </c>
      <c r="J1230" s="33" t="n">
        <v>247</v>
      </c>
      <c r="K1230" s="33" t="n">
        <v>1</v>
      </c>
      <c r="L1230" s="34"/>
      <c r="M1230" s="35"/>
      <c r="N1230" s="36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9"/>
      <c r="Z1230" s="39"/>
      <c r="AA1230" s="28"/>
      <c r="AMJ1230" s="0"/>
    </row>
    <row r="1231" s="2" customFormat="true" ht="12.75" hidden="false" customHeight="true" outlineLevel="0" collapsed="false">
      <c r="A1231" s="27" t="s">
        <v>2394</v>
      </c>
      <c r="B1231" s="27" t="s">
        <v>672</v>
      </c>
      <c r="C1231" s="28" t="s">
        <v>138</v>
      </c>
      <c r="D1231" s="27" t="s">
        <v>2132</v>
      </c>
      <c r="E1231" s="27"/>
      <c r="F1231" s="29" t="s">
        <v>2395</v>
      </c>
      <c r="G1231" s="30" t="n">
        <v>75016</v>
      </c>
      <c r="H1231" s="31" t="s">
        <v>36</v>
      </c>
      <c r="I1231" s="32" t="n">
        <v>140509662</v>
      </c>
      <c r="J1231" s="33" t="n">
        <v>205</v>
      </c>
      <c r="K1231" s="33" t="n">
        <v>1</v>
      </c>
      <c r="L1231" s="34"/>
      <c r="M1231" s="35"/>
      <c r="N1231" s="36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  <c r="Y1231" s="39"/>
      <c r="Z1231" s="39"/>
      <c r="AA1231" s="28"/>
      <c r="AMJ1231" s="0"/>
    </row>
    <row r="1232" s="2" customFormat="true" ht="12.75" hidden="false" customHeight="true" outlineLevel="0" collapsed="false">
      <c r="A1232" s="27" t="s">
        <v>2396</v>
      </c>
      <c r="B1232" s="27" t="s">
        <v>830</v>
      </c>
      <c r="C1232" s="28" t="s">
        <v>41</v>
      </c>
      <c r="D1232" s="27" t="s">
        <v>2132</v>
      </c>
      <c r="E1232" s="27"/>
      <c r="F1232" s="29" t="s">
        <v>2397</v>
      </c>
      <c r="G1232" s="30" t="n">
        <v>75016</v>
      </c>
      <c r="H1232" s="31" t="s">
        <v>36</v>
      </c>
      <c r="I1232" s="32" t="n">
        <v>147272733</v>
      </c>
      <c r="J1232" s="33" t="n">
        <v>277</v>
      </c>
      <c r="K1232" s="33" t="n">
        <v>1</v>
      </c>
      <c r="L1232" s="34"/>
      <c r="M1232" s="35"/>
      <c r="N1232" s="36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  <c r="Y1232" s="39"/>
      <c r="Z1232" s="39"/>
      <c r="AA1232" s="28"/>
      <c r="AMJ1232" s="0"/>
    </row>
    <row r="1233" s="2" customFormat="true" ht="12.75" hidden="false" customHeight="true" outlineLevel="0" collapsed="false">
      <c r="A1233" s="27" t="s">
        <v>564</v>
      </c>
      <c r="B1233" s="27" t="s">
        <v>2398</v>
      </c>
      <c r="C1233" s="28" t="s">
        <v>41</v>
      </c>
      <c r="D1233" s="27" t="s">
        <v>2132</v>
      </c>
      <c r="E1233" s="27"/>
      <c r="F1233" s="29" t="s">
        <v>2399</v>
      </c>
      <c r="G1233" s="30" t="n">
        <v>75016</v>
      </c>
      <c r="H1233" s="31" t="s">
        <v>36</v>
      </c>
      <c r="I1233" s="32" t="n">
        <v>145048755</v>
      </c>
      <c r="J1233" s="33" t="n">
        <v>200</v>
      </c>
      <c r="K1233" s="33" t="n">
        <v>1</v>
      </c>
      <c r="L1233" s="34"/>
      <c r="M1233" s="35"/>
      <c r="N1233" s="36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9"/>
      <c r="Z1233" s="39"/>
      <c r="AA1233" s="28"/>
      <c r="AMJ1233" s="0"/>
    </row>
    <row r="1234" s="2" customFormat="true" ht="12.75" hidden="false" customHeight="true" outlineLevel="0" collapsed="false">
      <c r="A1234" s="27" t="s">
        <v>316</v>
      </c>
      <c r="B1234" s="27" t="s">
        <v>187</v>
      </c>
      <c r="C1234" s="28" t="s">
        <v>138</v>
      </c>
      <c r="D1234" s="27" t="s">
        <v>2400</v>
      </c>
      <c r="E1234" s="27"/>
      <c r="F1234" s="29" t="s">
        <v>2401</v>
      </c>
      <c r="G1234" s="30" t="n">
        <v>75017</v>
      </c>
      <c r="H1234" s="31" t="s">
        <v>36</v>
      </c>
      <c r="I1234" s="32" t="n">
        <v>153049393</v>
      </c>
      <c r="J1234" s="33"/>
      <c r="K1234" s="33"/>
      <c r="L1234" s="34"/>
      <c r="M1234" s="44" t="s">
        <v>164</v>
      </c>
      <c r="N1234" s="36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39"/>
      <c r="Z1234" s="39"/>
      <c r="AA1234" s="28"/>
      <c r="AMJ1234" s="0"/>
    </row>
    <row r="1235" s="2" customFormat="true" ht="12.75" hidden="false" customHeight="true" outlineLevel="0" collapsed="false">
      <c r="A1235" s="27" t="s">
        <v>2402</v>
      </c>
      <c r="B1235" s="27" t="s">
        <v>1211</v>
      </c>
      <c r="C1235" s="28" t="s">
        <v>41</v>
      </c>
      <c r="D1235" s="27" t="s">
        <v>2400</v>
      </c>
      <c r="E1235" s="27"/>
      <c r="F1235" s="29" t="s">
        <v>2403</v>
      </c>
      <c r="G1235" s="30" t="n">
        <v>75017</v>
      </c>
      <c r="H1235" s="31" t="s">
        <v>36</v>
      </c>
      <c r="I1235" s="32" t="n">
        <v>153101001</v>
      </c>
      <c r="J1235" s="33" t="n">
        <v>187</v>
      </c>
      <c r="K1235" s="33" t="n">
        <v>1</v>
      </c>
      <c r="L1235" s="34"/>
      <c r="M1235" s="35"/>
      <c r="N1235" s="36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9"/>
      <c r="Z1235" s="39"/>
      <c r="AA1235" s="28"/>
      <c r="AMJ1235" s="0"/>
    </row>
    <row r="1236" s="2" customFormat="true" ht="12.75" hidden="false" customHeight="true" outlineLevel="0" collapsed="false">
      <c r="A1236" s="27" t="s">
        <v>2404</v>
      </c>
      <c r="B1236" s="27" t="s">
        <v>2405</v>
      </c>
      <c r="C1236" s="28" t="s">
        <v>138</v>
      </c>
      <c r="D1236" s="27" t="s">
        <v>2400</v>
      </c>
      <c r="E1236" s="27"/>
      <c r="F1236" s="29" t="s">
        <v>2406</v>
      </c>
      <c r="G1236" s="30" t="n">
        <v>75017</v>
      </c>
      <c r="H1236" s="31" t="s">
        <v>36</v>
      </c>
      <c r="I1236" s="32" t="n">
        <v>147667800</v>
      </c>
      <c r="J1236" s="33" t="n">
        <v>229</v>
      </c>
      <c r="K1236" s="33" t="n">
        <v>1</v>
      </c>
      <c r="L1236" s="34"/>
      <c r="M1236" s="35"/>
      <c r="N1236" s="36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9"/>
      <c r="Z1236" s="39"/>
      <c r="AA1236" s="28"/>
      <c r="AMJ1236" s="0"/>
    </row>
    <row r="1237" s="2" customFormat="true" ht="12.75" hidden="false" customHeight="true" outlineLevel="0" collapsed="false">
      <c r="A1237" s="27" t="s">
        <v>2407</v>
      </c>
      <c r="B1237" s="27" t="s">
        <v>2408</v>
      </c>
      <c r="C1237" s="28" t="s">
        <v>41</v>
      </c>
      <c r="D1237" s="27" t="s">
        <v>2400</v>
      </c>
      <c r="E1237" s="27"/>
      <c r="F1237" s="29" t="s">
        <v>2409</v>
      </c>
      <c r="G1237" s="30" t="n">
        <v>75017</v>
      </c>
      <c r="H1237" s="31" t="s">
        <v>36</v>
      </c>
      <c r="I1237" s="32" t="n">
        <v>158053550</v>
      </c>
      <c r="J1237" s="33" t="n">
        <v>20</v>
      </c>
      <c r="K1237" s="33" t="n">
        <v>1</v>
      </c>
      <c r="L1237" s="34"/>
      <c r="M1237" s="35"/>
      <c r="N1237" s="36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9"/>
      <c r="Z1237" s="39"/>
      <c r="AA1237" s="28"/>
      <c r="AMJ1237" s="0"/>
    </row>
    <row r="1238" s="2" customFormat="true" ht="12.75" hidden="false" customHeight="true" outlineLevel="0" collapsed="false">
      <c r="A1238" s="27" t="s">
        <v>2410</v>
      </c>
      <c r="B1238" s="27" t="s">
        <v>329</v>
      </c>
      <c r="C1238" s="28" t="s">
        <v>33</v>
      </c>
      <c r="D1238" s="27" t="s">
        <v>2400</v>
      </c>
      <c r="E1238" s="27"/>
      <c r="F1238" s="29" t="s">
        <v>2409</v>
      </c>
      <c r="G1238" s="30" t="n">
        <v>75017</v>
      </c>
      <c r="H1238" s="31" t="s">
        <v>36</v>
      </c>
      <c r="I1238" s="32" t="n">
        <v>158053550</v>
      </c>
      <c r="J1238" s="33" t="n">
        <v>67</v>
      </c>
      <c r="K1238" s="33" t="n">
        <v>1</v>
      </c>
      <c r="L1238" s="34"/>
      <c r="M1238" s="35"/>
      <c r="N1238" s="36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9"/>
      <c r="Z1238" s="39"/>
      <c r="AA1238" s="28"/>
      <c r="AC1238" s="2" t="s">
        <v>38</v>
      </c>
      <c r="AMJ1238" s="0"/>
    </row>
    <row r="1239" s="2" customFormat="true" ht="12.75" hidden="false" customHeight="true" outlineLevel="0" collapsed="false">
      <c r="A1239" s="27" t="s">
        <v>2411</v>
      </c>
      <c r="B1239" s="27" t="s">
        <v>735</v>
      </c>
      <c r="C1239" s="28" t="s">
        <v>178</v>
      </c>
      <c r="D1239" s="27" t="s">
        <v>2400</v>
      </c>
      <c r="E1239" s="27"/>
      <c r="F1239" s="29" t="s">
        <v>1154</v>
      </c>
      <c r="G1239" s="30" t="n">
        <v>75017</v>
      </c>
      <c r="H1239" s="31" t="s">
        <v>36</v>
      </c>
      <c r="I1239" s="32" t="n">
        <v>144010473</v>
      </c>
      <c r="J1239" s="33" t="n">
        <v>198</v>
      </c>
      <c r="K1239" s="33" t="n">
        <v>15</v>
      </c>
      <c r="L1239" s="34" t="n">
        <v>1</v>
      </c>
      <c r="M1239" s="43" t="s">
        <v>155</v>
      </c>
      <c r="N1239" s="36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39"/>
      <c r="Z1239" s="39" t="n">
        <v>45261.6041666667</v>
      </c>
      <c r="AA1239" s="28" t="n">
        <v>3</v>
      </c>
      <c r="AMJ1239" s="0"/>
    </row>
    <row r="1240" s="2" customFormat="true" ht="12.75" hidden="false" customHeight="true" outlineLevel="0" collapsed="false">
      <c r="A1240" s="27" t="s">
        <v>2412</v>
      </c>
      <c r="B1240" s="27" t="s">
        <v>1211</v>
      </c>
      <c r="C1240" s="28" t="s">
        <v>178</v>
      </c>
      <c r="D1240" s="27" t="s">
        <v>2400</v>
      </c>
      <c r="E1240" s="27"/>
      <c r="F1240" s="29" t="s">
        <v>1154</v>
      </c>
      <c r="G1240" s="30" t="n">
        <v>75017</v>
      </c>
      <c r="H1240" s="31" t="s">
        <v>36</v>
      </c>
      <c r="I1240" s="32"/>
      <c r="J1240" s="33" t="n">
        <v>76</v>
      </c>
      <c r="K1240" s="33" t="n">
        <v>9</v>
      </c>
      <c r="L1240" s="34" t="n">
        <v>1</v>
      </c>
      <c r="M1240" s="43" t="s">
        <v>155</v>
      </c>
      <c r="N1240" s="36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39"/>
      <c r="Z1240" s="39" t="n">
        <v>45278.5729166667</v>
      </c>
      <c r="AA1240" s="28"/>
      <c r="AMJ1240" s="0"/>
    </row>
    <row r="1241" s="2" customFormat="true" ht="12.75" hidden="false" customHeight="true" outlineLevel="0" collapsed="false">
      <c r="A1241" s="27" t="s">
        <v>2413</v>
      </c>
      <c r="B1241" s="27" t="s">
        <v>151</v>
      </c>
      <c r="C1241" s="28" t="s">
        <v>138</v>
      </c>
      <c r="D1241" s="27" t="s">
        <v>2400</v>
      </c>
      <c r="E1241" s="27"/>
      <c r="F1241" s="29" t="s">
        <v>1154</v>
      </c>
      <c r="G1241" s="30" t="n">
        <v>75017</v>
      </c>
      <c r="H1241" s="31" t="s">
        <v>36</v>
      </c>
      <c r="I1241" s="32" t="n">
        <v>158413550</v>
      </c>
      <c r="J1241" s="33" t="n">
        <v>310</v>
      </c>
      <c r="K1241" s="33" t="n">
        <v>9</v>
      </c>
      <c r="L1241" s="34" t="n">
        <v>2</v>
      </c>
      <c r="M1241" s="35" t="s">
        <v>700</v>
      </c>
      <c r="N1241" s="36" t="s">
        <v>2414</v>
      </c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39"/>
      <c r="Z1241" s="39"/>
      <c r="AA1241" s="28" t="n">
        <v>3</v>
      </c>
      <c r="AMJ1241" s="0"/>
    </row>
    <row r="1242" s="2" customFormat="true" ht="12.75" hidden="false" customHeight="true" outlineLevel="0" collapsed="false">
      <c r="A1242" s="27" t="s">
        <v>2415</v>
      </c>
      <c r="B1242" s="27" t="s">
        <v>2416</v>
      </c>
      <c r="C1242" s="28" t="s">
        <v>138</v>
      </c>
      <c r="D1242" s="27" t="s">
        <v>2400</v>
      </c>
      <c r="E1242" s="27"/>
      <c r="F1242" s="29" t="s">
        <v>1154</v>
      </c>
      <c r="G1242" s="30" t="n">
        <v>75017</v>
      </c>
      <c r="H1242" s="31" t="s">
        <v>36</v>
      </c>
      <c r="I1242" s="32" t="n">
        <v>147662421</v>
      </c>
      <c r="J1242" s="33" t="n">
        <v>186</v>
      </c>
      <c r="K1242" s="33" t="n">
        <v>8</v>
      </c>
      <c r="L1242" s="34" t="n">
        <v>2</v>
      </c>
      <c r="M1242" s="35" t="s">
        <v>700</v>
      </c>
      <c r="N1242" s="74" t="s">
        <v>2417</v>
      </c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9"/>
      <c r="Z1242" s="49"/>
      <c r="AA1242" s="28" t="n">
        <v>3</v>
      </c>
      <c r="AMJ1242" s="0"/>
    </row>
    <row r="1243" s="2" customFormat="true" ht="12.75" hidden="false" customHeight="true" outlineLevel="0" collapsed="false">
      <c r="A1243" s="27" t="s">
        <v>2418</v>
      </c>
      <c r="B1243" s="27" t="s">
        <v>234</v>
      </c>
      <c r="C1243" s="28" t="s">
        <v>41</v>
      </c>
      <c r="D1243" s="27" t="s">
        <v>2400</v>
      </c>
      <c r="E1243" s="27"/>
      <c r="F1243" s="29" t="s">
        <v>2419</v>
      </c>
      <c r="G1243" s="30" t="n">
        <v>75017</v>
      </c>
      <c r="H1243" s="31" t="s">
        <v>36</v>
      </c>
      <c r="I1243" s="32"/>
      <c r="J1243" s="33" t="n">
        <v>172</v>
      </c>
      <c r="K1243" s="33" t="n">
        <v>0</v>
      </c>
      <c r="L1243" s="34"/>
      <c r="M1243" s="35"/>
      <c r="N1243" s="36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9"/>
      <c r="Z1243" s="39"/>
      <c r="AA1243" s="28"/>
      <c r="AMJ1243" s="0"/>
    </row>
    <row r="1244" s="2" customFormat="true" ht="12.75" hidden="false" customHeight="true" outlineLevel="0" collapsed="false">
      <c r="A1244" s="27" t="s">
        <v>2420</v>
      </c>
      <c r="B1244" s="27" t="s">
        <v>718</v>
      </c>
      <c r="C1244" s="28" t="s">
        <v>41</v>
      </c>
      <c r="D1244" s="27" t="s">
        <v>2400</v>
      </c>
      <c r="E1244" s="27"/>
      <c r="F1244" s="29" t="s">
        <v>2421</v>
      </c>
      <c r="G1244" s="30" t="n">
        <v>75017</v>
      </c>
      <c r="H1244" s="31" t="s">
        <v>36</v>
      </c>
      <c r="I1244" s="32" t="n">
        <v>967178647</v>
      </c>
      <c r="J1244" s="33" t="n">
        <v>261</v>
      </c>
      <c r="K1244" s="33" t="n">
        <v>1</v>
      </c>
      <c r="L1244" s="34"/>
      <c r="M1244" s="35"/>
      <c r="N1244" s="36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9"/>
      <c r="Z1244" s="39"/>
      <c r="AA1244" s="28"/>
      <c r="AMJ1244" s="0"/>
    </row>
    <row r="1245" s="2" customFormat="true" ht="12.75" hidden="false" customHeight="true" outlineLevel="0" collapsed="false">
      <c r="A1245" s="27" t="s">
        <v>2422</v>
      </c>
      <c r="B1245" s="27" t="s">
        <v>151</v>
      </c>
      <c r="C1245" s="28" t="s">
        <v>33</v>
      </c>
      <c r="D1245" s="27" t="s">
        <v>2400</v>
      </c>
      <c r="E1245" s="27"/>
      <c r="F1245" s="29" t="s">
        <v>2421</v>
      </c>
      <c r="G1245" s="30" t="n">
        <v>75017</v>
      </c>
      <c r="H1245" s="31" t="s">
        <v>36</v>
      </c>
      <c r="I1245" s="32" t="n">
        <v>142676957</v>
      </c>
      <c r="J1245" s="33" t="n">
        <v>51</v>
      </c>
      <c r="K1245" s="33" t="n">
        <v>1</v>
      </c>
      <c r="L1245" s="34"/>
      <c r="M1245" s="35"/>
      <c r="N1245" s="36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9"/>
      <c r="Z1245" s="39"/>
      <c r="AA1245" s="28"/>
      <c r="AC1245" s="2" t="s">
        <v>38</v>
      </c>
      <c r="AMJ1245" s="0"/>
    </row>
    <row r="1246" s="2" customFormat="true" ht="12.75" hidden="false" customHeight="true" outlineLevel="0" collapsed="false">
      <c r="A1246" s="27" t="s">
        <v>2423</v>
      </c>
      <c r="B1246" s="27" t="s">
        <v>55</v>
      </c>
      <c r="C1246" s="28" t="s">
        <v>41</v>
      </c>
      <c r="D1246" s="27" t="s">
        <v>2400</v>
      </c>
      <c r="E1246" s="27"/>
      <c r="F1246" s="29" t="s">
        <v>2424</v>
      </c>
      <c r="G1246" s="30" t="n">
        <v>75017</v>
      </c>
      <c r="H1246" s="31" t="s">
        <v>36</v>
      </c>
      <c r="I1246" s="32"/>
      <c r="J1246" s="33" t="n">
        <v>287</v>
      </c>
      <c r="K1246" s="33" t="n">
        <v>1</v>
      </c>
      <c r="L1246" s="34"/>
      <c r="M1246" s="35"/>
      <c r="N1246" s="36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9"/>
      <c r="Z1246" s="39"/>
      <c r="AA1246" s="28"/>
      <c r="AMJ1246" s="0"/>
    </row>
    <row r="1247" s="2" customFormat="true" ht="12.75" hidden="false" customHeight="true" outlineLevel="0" collapsed="false">
      <c r="A1247" s="27" t="s">
        <v>2425</v>
      </c>
      <c r="B1247" s="27" t="s">
        <v>250</v>
      </c>
      <c r="C1247" s="28" t="s">
        <v>138</v>
      </c>
      <c r="D1247" s="27" t="s">
        <v>2400</v>
      </c>
      <c r="E1247" s="27"/>
      <c r="F1247" s="29" t="s">
        <v>2426</v>
      </c>
      <c r="G1247" s="30" t="n">
        <v>75017</v>
      </c>
      <c r="H1247" s="31" t="s">
        <v>36</v>
      </c>
      <c r="I1247" s="32"/>
      <c r="J1247" s="33" t="n">
        <v>311</v>
      </c>
      <c r="K1247" s="33" t="n">
        <v>9</v>
      </c>
      <c r="L1247" s="34" t="n">
        <v>2</v>
      </c>
      <c r="M1247" s="35" t="s">
        <v>164</v>
      </c>
      <c r="N1247" s="36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39"/>
      <c r="Z1247" s="39"/>
      <c r="AA1247" s="28" t="n">
        <v>3</v>
      </c>
      <c r="AMJ1247" s="0"/>
    </row>
    <row r="1248" s="2" customFormat="true" ht="12.75" hidden="false" customHeight="true" outlineLevel="0" collapsed="false">
      <c r="A1248" s="27" t="s">
        <v>2427</v>
      </c>
      <c r="B1248" s="27" t="s">
        <v>103</v>
      </c>
      <c r="C1248" s="28" t="s">
        <v>33</v>
      </c>
      <c r="D1248" s="27" t="s">
        <v>2400</v>
      </c>
      <c r="E1248" s="27"/>
      <c r="F1248" s="29" t="s">
        <v>2428</v>
      </c>
      <c r="G1248" s="30" t="n">
        <v>75017</v>
      </c>
      <c r="H1248" s="31" t="s">
        <v>36</v>
      </c>
      <c r="I1248" s="32" t="n">
        <v>142279767</v>
      </c>
      <c r="J1248" s="33" t="n">
        <v>51</v>
      </c>
      <c r="K1248" s="33" t="n">
        <v>1</v>
      </c>
      <c r="L1248" s="34"/>
      <c r="M1248" s="35"/>
      <c r="N1248" s="36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9"/>
      <c r="Z1248" s="39"/>
      <c r="AA1248" s="28"/>
      <c r="AC1248" s="2" t="s">
        <v>38</v>
      </c>
      <c r="AMJ1248" s="0"/>
    </row>
    <row r="1249" s="2" customFormat="true" ht="12.75" hidden="false" customHeight="true" outlineLevel="0" collapsed="false">
      <c r="A1249" s="27" t="s">
        <v>2429</v>
      </c>
      <c r="B1249" s="27" t="s">
        <v>1745</v>
      </c>
      <c r="C1249" s="28" t="s">
        <v>138</v>
      </c>
      <c r="D1249" s="27" t="s">
        <v>2400</v>
      </c>
      <c r="E1249" s="27"/>
      <c r="F1249" s="29" t="s">
        <v>2430</v>
      </c>
      <c r="G1249" s="30" t="n">
        <v>75017</v>
      </c>
      <c r="H1249" s="31" t="s">
        <v>36</v>
      </c>
      <c r="I1249" s="32" t="n">
        <v>147638720</v>
      </c>
      <c r="J1249" s="33" t="n">
        <v>88</v>
      </c>
      <c r="K1249" s="33" t="n">
        <v>1</v>
      </c>
      <c r="L1249" s="34"/>
      <c r="M1249" s="35"/>
      <c r="N1249" s="36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9"/>
      <c r="Z1249" s="39"/>
      <c r="AA1249" s="28"/>
      <c r="AMJ1249" s="0"/>
    </row>
    <row r="1250" s="2" customFormat="true" ht="12.75" hidden="false" customHeight="true" outlineLevel="0" collapsed="false">
      <c r="A1250" s="27" t="s">
        <v>331</v>
      </c>
      <c r="B1250" s="27" t="s">
        <v>973</v>
      </c>
      <c r="C1250" s="28" t="s">
        <v>121</v>
      </c>
      <c r="D1250" s="27" t="s">
        <v>2400</v>
      </c>
      <c r="E1250" s="27"/>
      <c r="F1250" s="29" t="s">
        <v>2431</v>
      </c>
      <c r="G1250" s="30" t="n">
        <v>75017</v>
      </c>
      <c r="H1250" s="31" t="s">
        <v>36</v>
      </c>
      <c r="I1250" s="32" t="n">
        <v>144297428</v>
      </c>
      <c r="J1250" s="33" t="n">
        <v>199</v>
      </c>
      <c r="K1250" s="33" t="n">
        <v>9</v>
      </c>
      <c r="L1250" s="34" t="n">
        <v>2</v>
      </c>
      <c r="M1250" s="35" t="s">
        <v>164</v>
      </c>
      <c r="N1250" s="36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39"/>
      <c r="Z1250" s="39"/>
      <c r="AA1250" s="28" t="n">
        <v>3</v>
      </c>
      <c r="AMJ1250" s="0"/>
    </row>
    <row r="1251" s="2" customFormat="true" ht="12.75" hidden="false" customHeight="true" outlineLevel="0" collapsed="false">
      <c r="A1251" s="27" t="s">
        <v>2432</v>
      </c>
      <c r="B1251" s="27" t="s">
        <v>1054</v>
      </c>
      <c r="C1251" s="28" t="s">
        <v>138</v>
      </c>
      <c r="D1251" s="27" t="s">
        <v>2400</v>
      </c>
      <c r="E1251" s="27"/>
      <c r="F1251" s="29" t="s">
        <v>2433</v>
      </c>
      <c r="G1251" s="30" t="n">
        <v>75017</v>
      </c>
      <c r="H1251" s="31" t="s">
        <v>36</v>
      </c>
      <c r="I1251" s="32" t="n">
        <v>143148446</v>
      </c>
      <c r="J1251" s="33" t="n">
        <v>285</v>
      </c>
      <c r="K1251" s="33" t="n">
        <v>1</v>
      </c>
      <c r="L1251" s="34"/>
      <c r="M1251" s="35" t="s">
        <v>164</v>
      </c>
      <c r="N1251" s="36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  <c r="Y1251" s="39"/>
      <c r="Z1251" s="39"/>
      <c r="AA1251" s="28"/>
      <c r="AMJ1251" s="0"/>
    </row>
    <row r="1252" s="2" customFormat="true" ht="12.75" hidden="false" customHeight="true" outlineLevel="0" collapsed="false">
      <c r="A1252" s="27" t="s">
        <v>2434</v>
      </c>
      <c r="B1252" s="27" t="s">
        <v>217</v>
      </c>
      <c r="C1252" s="28" t="s">
        <v>138</v>
      </c>
      <c r="D1252" s="27" t="s">
        <v>2400</v>
      </c>
      <c r="E1252" s="27"/>
      <c r="F1252" s="29" t="s">
        <v>2433</v>
      </c>
      <c r="G1252" s="30" t="n">
        <v>75017</v>
      </c>
      <c r="H1252" s="31" t="s">
        <v>36</v>
      </c>
      <c r="I1252" s="32" t="n">
        <v>146220118</v>
      </c>
      <c r="J1252" s="33" t="n">
        <v>250</v>
      </c>
      <c r="K1252" s="33" t="n">
        <v>1</v>
      </c>
      <c r="L1252" s="34" t="n">
        <v>2</v>
      </c>
      <c r="M1252" s="35" t="s">
        <v>164</v>
      </c>
      <c r="N1252" s="36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39"/>
      <c r="Z1252" s="39"/>
      <c r="AA1252" s="28" t="n">
        <v>2</v>
      </c>
      <c r="AMJ1252" s="0"/>
    </row>
    <row r="1253" s="2" customFormat="true" ht="12.75" hidden="false" customHeight="true" outlineLevel="0" collapsed="false">
      <c r="A1253" s="27" t="s">
        <v>434</v>
      </c>
      <c r="B1253" s="27" t="s">
        <v>130</v>
      </c>
      <c r="C1253" s="28" t="s">
        <v>33</v>
      </c>
      <c r="D1253" s="27" t="s">
        <v>2400</v>
      </c>
      <c r="E1253" s="27"/>
      <c r="F1253" s="29" t="s">
        <v>2433</v>
      </c>
      <c r="G1253" s="30" t="n">
        <v>75017</v>
      </c>
      <c r="H1253" s="31" t="s">
        <v>36</v>
      </c>
      <c r="I1253" s="32" t="n">
        <v>146227880</v>
      </c>
      <c r="J1253" s="33" t="n">
        <v>57</v>
      </c>
      <c r="K1253" s="33" t="n">
        <v>0</v>
      </c>
      <c r="L1253" s="34"/>
      <c r="M1253" s="35"/>
      <c r="N1253" s="36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  <c r="Y1253" s="39"/>
      <c r="Z1253" s="39"/>
      <c r="AA1253" s="28"/>
      <c r="AC1253" s="2" t="s">
        <v>38</v>
      </c>
      <c r="AMJ1253" s="0"/>
    </row>
    <row r="1254" s="2" customFormat="true" ht="12.75" hidden="false" customHeight="true" outlineLevel="0" collapsed="false">
      <c r="A1254" s="27" t="s">
        <v>2435</v>
      </c>
      <c r="B1254" s="27" t="s">
        <v>1258</v>
      </c>
      <c r="C1254" s="28" t="s">
        <v>138</v>
      </c>
      <c r="D1254" s="27" t="s">
        <v>2400</v>
      </c>
      <c r="E1254" s="27"/>
      <c r="F1254" s="29" t="s">
        <v>2436</v>
      </c>
      <c r="G1254" s="30" t="n">
        <v>75017</v>
      </c>
      <c r="H1254" s="31" t="s">
        <v>36</v>
      </c>
      <c r="I1254" s="32" t="n">
        <v>142650692</v>
      </c>
      <c r="J1254" s="33" t="n">
        <v>274</v>
      </c>
      <c r="K1254" s="33" t="n">
        <v>1</v>
      </c>
      <c r="L1254" s="34"/>
      <c r="M1254" s="35"/>
      <c r="N1254" s="36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9"/>
      <c r="Z1254" s="39"/>
      <c r="AA1254" s="28"/>
      <c r="AMJ1254" s="0"/>
    </row>
    <row r="1255" s="2" customFormat="true" ht="12.75" hidden="false" customHeight="true" outlineLevel="0" collapsed="false">
      <c r="A1255" s="27" t="s">
        <v>2285</v>
      </c>
      <c r="B1255" s="27" t="s">
        <v>517</v>
      </c>
      <c r="C1255" s="28" t="s">
        <v>41</v>
      </c>
      <c r="D1255" s="27" t="s">
        <v>2400</v>
      </c>
      <c r="E1255" s="27"/>
      <c r="F1255" s="29" t="s">
        <v>2436</v>
      </c>
      <c r="G1255" s="30" t="n">
        <v>75017</v>
      </c>
      <c r="H1255" s="31" t="s">
        <v>36</v>
      </c>
      <c r="I1255" s="32" t="n">
        <v>953814828</v>
      </c>
      <c r="J1255" s="33" t="n">
        <v>227</v>
      </c>
      <c r="K1255" s="33" t="n">
        <v>1</v>
      </c>
      <c r="L1255" s="34"/>
      <c r="M1255" s="35"/>
      <c r="N1255" s="36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9"/>
      <c r="Z1255" s="39"/>
      <c r="AA1255" s="28"/>
      <c r="AMJ1255" s="0"/>
    </row>
    <row r="1256" s="2" customFormat="true" ht="12.75" hidden="false" customHeight="true" outlineLevel="0" collapsed="false">
      <c r="A1256" s="27" t="s">
        <v>649</v>
      </c>
      <c r="B1256" s="27" t="s">
        <v>106</v>
      </c>
      <c r="C1256" s="28" t="s">
        <v>41</v>
      </c>
      <c r="D1256" s="27" t="s">
        <v>2400</v>
      </c>
      <c r="E1256" s="27"/>
      <c r="F1256" s="29" t="s">
        <v>2437</v>
      </c>
      <c r="G1256" s="30" t="n">
        <v>75017</v>
      </c>
      <c r="H1256" s="31" t="s">
        <v>36</v>
      </c>
      <c r="I1256" s="32" t="n">
        <v>143875794</v>
      </c>
      <c r="J1256" s="33" t="n">
        <v>314</v>
      </c>
      <c r="K1256" s="33" t="n">
        <v>21</v>
      </c>
      <c r="L1256" s="34"/>
      <c r="M1256" s="44" t="s">
        <v>716</v>
      </c>
      <c r="N1256" s="36"/>
      <c r="O1256" s="37"/>
      <c r="P1256" s="37" t="s">
        <v>2438</v>
      </c>
      <c r="Q1256" s="37"/>
      <c r="R1256" s="37" t="s">
        <v>2438</v>
      </c>
      <c r="S1256" s="37"/>
      <c r="T1256" s="37" t="s">
        <v>2438</v>
      </c>
      <c r="U1256" s="37"/>
      <c r="V1256" s="37" t="s">
        <v>2438</v>
      </c>
      <c r="W1256" s="37"/>
      <c r="X1256" s="37" t="s">
        <v>2438</v>
      </c>
      <c r="Y1256" s="39"/>
      <c r="Z1256" s="39"/>
      <c r="AA1256" s="28"/>
      <c r="AMJ1256" s="0"/>
    </row>
    <row r="1257" s="2" customFormat="true" ht="12.75" hidden="false" customHeight="true" outlineLevel="0" collapsed="false">
      <c r="A1257" s="27" t="s">
        <v>2439</v>
      </c>
      <c r="B1257" s="27" t="s">
        <v>177</v>
      </c>
      <c r="C1257" s="28" t="s">
        <v>138</v>
      </c>
      <c r="D1257" s="27" t="s">
        <v>2400</v>
      </c>
      <c r="E1257" s="27"/>
      <c r="F1257" s="29" t="s">
        <v>2440</v>
      </c>
      <c r="G1257" s="30" t="n">
        <v>75017</v>
      </c>
      <c r="H1257" s="31" t="s">
        <v>36</v>
      </c>
      <c r="I1257" s="32"/>
      <c r="J1257" s="33" t="n">
        <v>63</v>
      </c>
      <c r="K1257" s="33" t="n">
        <v>1</v>
      </c>
      <c r="L1257" s="34"/>
      <c r="M1257" s="35"/>
      <c r="N1257" s="36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9"/>
      <c r="Z1257" s="39"/>
      <c r="AA1257" s="28"/>
      <c r="AMJ1257" s="0"/>
    </row>
    <row r="1258" s="2" customFormat="true" ht="12.75" hidden="false" customHeight="true" outlineLevel="0" collapsed="false">
      <c r="A1258" s="27" t="s">
        <v>2441</v>
      </c>
      <c r="B1258" s="27" t="s">
        <v>490</v>
      </c>
      <c r="C1258" s="28" t="s">
        <v>121</v>
      </c>
      <c r="D1258" s="27" t="s">
        <v>2400</v>
      </c>
      <c r="E1258" s="27"/>
      <c r="F1258" s="29" t="s">
        <v>2442</v>
      </c>
      <c r="G1258" s="30" t="n">
        <v>75017</v>
      </c>
      <c r="H1258" s="31" t="s">
        <v>36</v>
      </c>
      <c r="I1258" s="32" t="n">
        <v>147639515</v>
      </c>
      <c r="J1258" s="33" t="n">
        <v>163</v>
      </c>
      <c r="K1258" s="33" t="n">
        <v>7</v>
      </c>
      <c r="L1258" s="34" t="n">
        <v>1</v>
      </c>
      <c r="M1258" s="35" t="s">
        <v>164</v>
      </c>
      <c r="N1258" s="36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39"/>
      <c r="Z1258" s="39"/>
      <c r="AA1258" s="28" t="n">
        <v>3</v>
      </c>
      <c r="AMJ1258" s="0"/>
    </row>
    <row r="1259" s="2" customFormat="true" ht="12.75" hidden="false" customHeight="true" outlineLevel="0" collapsed="false">
      <c r="A1259" s="27" t="s">
        <v>2443</v>
      </c>
      <c r="B1259" s="27" t="s">
        <v>865</v>
      </c>
      <c r="C1259" s="28" t="s">
        <v>121</v>
      </c>
      <c r="D1259" s="27" t="s">
        <v>2400</v>
      </c>
      <c r="E1259" s="27"/>
      <c r="F1259" s="29" t="s">
        <v>2442</v>
      </c>
      <c r="G1259" s="30" t="n">
        <v>75017</v>
      </c>
      <c r="H1259" s="31" t="s">
        <v>36</v>
      </c>
      <c r="I1259" s="32" t="n">
        <v>147639515</v>
      </c>
      <c r="J1259" s="33" t="n">
        <v>136</v>
      </c>
      <c r="K1259" s="33" t="n">
        <v>2</v>
      </c>
      <c r="L1259" s="34"/>
      <c r="M1259" s="35"/>
      <c r="N1259" s="36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9"/>
      <c r="Z1259" s="39"/>
      <c r="AA1259" s="28"/>
      <c r="AMJ1259" s="0"/>
    </row>
    <row r="1260" s="2" customFormat="true" ht="12.75" hidden="false" customHeight="true" outlineLevel="0" collapsed="false">
      <c r="A1260" s="27" t="s">
        <v>2444</v>
      </c>
      <c r="B1260" s="27" t="s">
        <v>2445</v>
      </c>
      <c r="C1260" s="28" t="s">
        <v>121</v>
      </c>
      <c r="D1260" s="27" t="s">
        <v>2400</v>
      </c>
      <c r="E1260" s="27"/>
      <c r="F1260" s="29" t="s">
        <v>2442</v>
      </c>
      <c r="G1260" s="30" t="n">
        <v>75017</v>
      </c>
      <c r="H1260" s="31" t="s">
        <v>36</v>
      </c>
      <c r="I1260" s="32" t="n">
        <v>147639515</v>
      </c>
      <c r="J1260" s="33" t="n">
        <v>122</v>
      </c>
      <c r="K1260" s="33" t="n">
        <v>2</v>
      </c>
      <c r="L1260" s="34"/>
      <c r="M1260" s="35"/>
      <c r="N1260" s="36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9"/>
      <c r="Z1260" s="39"/>
      <c r="AA1260" s="28"/>
      <c r="AMJ1260" s="0"/>
    </row>
    <row r="1261" s="2" customFormat="true" ht="12.75" hidden="false" customHeight="true" outlineLevel="0" collapsed="false">
      <c r="A1261" s="27" t="s">
        <v>2446</v>
      </c>
      <c r="B1261" s="27" t="s">
        <v>210</v>
      </c>
      <c r="C1261" s="28" t="s">
        <v>208</v>
      </c>
      <c r="D1261" s="27" t="s">
        <v>2400</v>
      </c>
      <c r="E1261" s="27"/>
      <c r="F1261" s="29" t="s">
        <v>2447</v>
      </c>
      <c r="G1261" s="30" t="n">
        <v>75017</v>
      </c>
      <c r="H1261" s="31" t="s">
        <v>36</v>
      </c>
      <c r="I1261" s="32" t="n">
        <v>143148430</v>
      </c>
      <c r="J1261" s="33" t="n">
        <v>268</v>
      </c>
      <c r="K1261" s="33" t="n">
        <v>19</v>
      </c>
      <c r="L1261" s="34" t="n">
        <v>2</v>
      </c>
      <c r="M1261" s="43" t="s">
        <v>155</v>
      </c>
      <c r="N1261" s="36"/>
      <c r="O1261" s="41"/>
      <c r="P1261" s="41"/>
      <c r="Q1261" s="41"/>
      <c r="R1261" s="41"/>
      <c r="S1261" s="41"/>
      <c r="T1261" s="41"/>
      <c r="U1261" s="41"/>
      <c r="V1261" s="41"/>
      <c r="W1261" s="41"/>
      <c r="X1261" s="41"/>
      <c r="Y1261" s="39" t="n">
        <v>45111.5833333333</v>
      </c>
      <c r="Z1261" s="39" t="n">
        <v>45209.5</v>
      </c>
      <c r="AA1261" s="28" t="n">
        <v>4</v>
      </c>
      <c r="AMJ1261" s="0"/>
    </row>
    <row r="1262" s="2" customFormat="true" ht="12.75" hidden="false" customHeight="true" outlineLevel="0" collapsed="false">
      <c r="A1262" s="27" t="s">
        <v>2448</v>
      </c>
      <c r="B1262" s="27" t="s">
        <v>157</v>
      </c>
      <c r="C1262" s="28" t="s">
        <v>121</v>
      </c>
      <c r="D1262" s="27" t="s">
        <v>2400</v>
      </c>
      <c r="E1262" s="27"/>
      <c r="F1262" s="29" t="s">
        <v>2449</v>
      </c>
      <c r="G1262" s="30" t="n">
        <v>75017</v>
      </c>
      <c r="H1262" s="31" t="s">
        <v>36</v>
      </c>
      <c r="I1262" s="32" t="n">
        <v>142279200</v>
      </c>
      <c r="J1262" s="33" t="n">
        <v>188</v>
      </c>
      <c r="K1262" s="33" t="n">
        <v>9</v>
      </c>
      <c r="L1262" s="34" t="n">
        <v>2</v>
      </c>
      <c r="M1262" s="35" t="s">
        <v>164</v>
      </c>
      <c r="N1262" s="36"/>
      <c r="O1262" s="41"/>
      <c r="P1262" s="41"/>
      <c r="Q1262" s="41"/>
      <c r="R1262" s="41"/>
      <c r="S1262" s="41"/>
      <c r="T1262" s="41"/>
      <c r="U1262" s="41"/>
      <c r="V1262" s="41"/>
      <c r="W1262" s="41"/>
      <c r="X1262" s="41"/>
      <c r="Y1262" s="39"/>
      <c r="Z1262" s="39"/>
      <c r="AA1262" s="28" t="n">
        <v>3</v>
      </c>
      <c r="AMJ1262" s="0"/>
    </row>
    <row r="1263" s="2" customFormat="true" ht="12.75" hidden="false" customHeight="true" outlineLevel="0" collapsed="false">
      <c r="A1263" s="27" t="s">
        <v>2450</v>
      </c>
      <c r="B1263" s="27" t="s">
        <v>2451</v>
      </c>
      <c r="C1263" s="28" t="s">
        <v>121</v>
      </c>
      <c r="D1263" s="27" t="s">
        <v>2400</v>
      </c>
      <c r="E1263" s="27"/>
      <c r="F1263" s="29" t="s">
        <v>2449</v>
      </c>
      <c r="G1263" s="30" t="n">
        <v>75017</v>
      </c>
      <c r="H1263" s="31" t="s">
        <v>36</v>
      </c>
      <c r="I1263" s="32" t="n">
        <v>142279200</v>
      </c>
      <c r="J1263" s="33" t="n">
        <v>159</v>
      </c>
      <c r="K1263" s="33" t="n">
        <v>5</v>
      </c>
      <c r="L1263" s="34" t="n">
        <v>1</v>
      </c>
      <c r="M1263" s="35" t="s">
        <v>164</v>
      </c>
      <c r="N1263" s="36"/>
      <c r="O1263" s="41"/>
      <c r="P1263" s="41"/>
      <c r="Q1263" s="41"/>
      <c r="R1263" s="41"/>
      <c r="S1263" s="41"/>
      <c r="T1263" s="41"/>
      <c r="U1263" s="41"/>
      <c r="V1263" s="41"/>
      <c r="W1263" s="41"/>
      <c r="X1263" s="41"/>
      <c r="Y1263" s="39"/>
      <c r="Z1263" s="39"/>
      <c r="AA1263" s="28" t="n">
        <v>3</v>
      </c>
      <c r="AMJ1263" s="0"/>
    </row>
    <row r="1264" s="2" customFormat="true" ht="12.75" hidden="false" customHeight="true" outlineLevel="0" collapsed="false">
      <c r="A1264" s="27" t="s">
        <v>2452</v>
      </c>
      <c r="B1264" s="27" t="s">
        <v>157</v>
      </c>
      <c r="C1264" s="28" t="s">
        <v>121</v>
      </c>
      <c r="D1264" s="27" t="s">
        <v>2400</v>
      </c>
      <c r="E1264" s="27"/>
      <c r="F1264" s="29" t="s">
        <v>2449</v>
      </c>
      <c r="G1264" s="30" t="n">
        <v>75017</v>
      </c>
      <c r="H1264" s="31" t="s">
        <v>36</v>
      </c>
      <c r="I1264" s="32" t="n">
        <v>142279200</v>
      </c>
      <c r="J1264" s="33" t="n">
        <v>139</v>
      </c>
      <c r="K1264" s="33" t="n">
        <v>19</v>
      </c>
      <c r="L1264" s="34" t="n">
        <v>2</v>
      </c>
      <c r="M1264" s="43" t="s">
        <v>155</v>
      </c>
      <c r="N1264" s="36"/>
      <c r="O1264" s="41"/>
      <c r="P1264" s="41"/>
      <c r="Q1264" s="41"/>
      <c r="R1264" s="41"/>
      <c r="S1264" s="41"/>
      <c r="T1264" s="41"/>
      <c r="U1264" s="41"/>
      <c r="V1264" s="41"/>
      <c r="W1264" s="41"/>
      <c r="X1264" s="41"/>
      <c r="Y1264" s="39"/>
      <c r="Z1264" s="39" t="n">
        <v>45215.5729166667</v>
      </c>
      <c r="AA1264" s="28" t="n">
        <v>3</v>
      </c>
      <c r="AMJ1264" s="0"/>
    </row>
    <row r="1265" s="2" customFormat="true" ht="12.75" hidden="false" customHeight="true" outlineLevel="0" collapsed="false">
      <c r="A1265" s="27" t="s">
        <v>2453</v>
      </c>
      <c r="B1265" s="27" t="s">
        <v>2454</v>
      </c>
      <c r="C1265" s="28" t="s">
        <v>121</v>
      </c>
      <c r="D1265" s="27" t="s">
        <v>2400</v>
      </c>
      <c r="E1265" s="27"/>
      <c r="F1265" s="29" t="s">
        <v>2449</v>
      </c>
      <c r="G1265" s="30" t="n">
        <v>75017</v>
      </c>
      <c r="H1265" s="31" t="s">
        <v>36</v>
      </c>
      <c r="I1265" s="32" t="n">
        <v>146412767</v>
      </c>
      <c r="J1265" s="33" t="n">
        <v>47</v>
      </c>
      <c r="K1265" s="33" t="n">
        <v>2</v>
      </c>
      <c r="L1265" s="34"/>
      <c r="M1265" s="35"/>
      <c r="N1265" s="36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9"/>
      <c r="Z1265" s="39"/>
      <c r="AA1265" s="28"/>
      <c r="AMJ1265" s="0"/>
    </row>
    <row r="1266" s="2" customFormat="true" ht="12.75" hidden="false" customHeight="true" outlineLevel="0" collapsed="false">
      <c r="A1266" s="27" t="s">
        <v>564</v>
      </c>
      <c r="B1266" s="27" t="s">
        <v>2455</v>
      </c>
      <c r="C1266" s="28" t="s">
        <v>41</v>
      </c>
      <c r="D1266" s="27" t="s">
        <v>2400</v>
      </c>
      <c r="E1266" s="27"/>
      <c r="F1266" s="29" t="s">
        <v>2456</v>
      </c>
      <c r="G1266" s="30" t="n">
        <v>75017</v>
      </c>
      <c r="H1266" s="31" t="s">
        <v>36</v>
      </c>
      <c r="I1266" s="32" t="n">
        <v>147637467</v>
      </c>
      <c r="J1266" s="33" t="n">
        <v>224</v>
      </c>
      <c r="K1266" s="33" t="n">
        <v>6</v>
      </c>
      <c r="L1266" s="34"/>
      <c r="M1266" s="35"/>
      <c r="N1266" s="36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9"/>
      <c r="Z1266" s="39"/>
      <c r="AA1266" s="28"/>
      <c r="AMJ1266" s="0"/>
    </row>
    <row r="1267" s="2" customFormat="true" ht="12.75" hidden="false" customHeight="true" outlineLevel="0" collapsed="false">
      <c r="A1267" s="27" t="s">
        <v>2457</v>
      </c>
      <c r="B1267" s="27" t="s">
        <v>55</v>
      </c>
      <c r="C1267" s="28" t="s">
        <v>33</v>
      </c>
      <c r="D1267" s="27" t="s">
        <v>2400</v>
      </c>
      <c r="E1267" s="27"/>
      <c r="F1267" s="29" t="s">
        <v>2458</v>
      </c>
      <c r="G1267" s="30" t="n">
        <v>75017</v>
      </c>
      <c r="H1267" s="31" t="s">
        <v>36</v>
      </c>
      <c r="I1267" s="32" t="n">
        <v>953605393</v>
      </c>
      <c r="J1267" s="33" t="n">
        <v>63</v>
      </c>
      <c r="K1267" s="33" t="n">
        <v>0</v>
      </c>
      <c r="L1267" s="34"/>
      <c r="M1267" s="35"/>
      <c r="N1267" s="36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9"/>
      <c r="Z1267" s="39"/>
      <c r="AA1267" s="28"/>
      <c r="AC1267" s="2" t="s">
        <v>413</v>
      </c>
      <c r="AMJ1267" s="0"/>
    </row>
    <row r="1268" s="2" customFormat="true" ht="12.75" hidden="false" customHeight="true" outlineLevel="0" collapsed="false">
      <c r="A1268" s="27" t="s">
        <v>2459</v>
      </c>
      <c r="B1268" s="27" t="s">
        <v>769</v>
      </c>
      <c r="C1268" s="28" t="s">
        <v>33</v>
      </c>
      <c r="D1268" s="27" t="s">
        <v>2400</v>
      </c>
      <c r="E1268" s="27"/>
      <c r="F1268" s="29" t="s">
        <v>2460</v>
      </c>
      <c r="G1268" s="30" t="n">
        <v>75017</v>
      </c>
      <c r="H1268" s="31" t="s">
        <v>36</v>
      </c>
      <c r="I1268" s="32" t="n">
        <v>143804889</v>
      </c>
      <c r="J1268" s="33" t="n">
        <v>54</v>
      </c>
      <c r="K1268" s="33" t="n">
        <v>0</v>
      </c>
      <c r="L1268" s="34"/>
      <c r="M1268" s="35"/>
      <c r="N1268" s="36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9"/>
      <c r="Z1268" s="39"/>
      <c r="AA1268" s="28"/>
      <c r="AC1268" s="2" t="s">
        <v>38</v>
      </c>
      <c r="AMJ1268" s="0"/>
    </row>
    <row r="1269" s="2" customFormat="true" ht="12.75" hidden="false" customHeight="true" outlineLevel="0" collapsed="false">
      <c r="A1269" s="27" t="s">
        <v>2461</v>
      </c>
      <c r="B1269" s="27" t="s">
        <v>205</v>
      </c>
      <c r="C1269" s="28" t="s">
        <v>33</v>
      </c>
      <c r="D1269" s="27" t="s">
        <v>2400</v>
      </c>
      <c r="E1269" s="27"/>
      <c r="F1269" s="29" t="s">
        <v>2462</v>
      </c>
      <c r="G1269" s="30" t="n">
        <v>75017</v>
      </c>
      <c r="H1269" s="31" t="s">
        <v>36</v>
      </c>
      <c r="I1269" s="32" t="n">
        <v>147640608</v>
      </c>
      <c r="J1269" s="33" t="n">
        <v>65</v>
      </c>
      <c r="K1269" s="33" t="n">
        <v>1</v>
      </c>
      <c r="L1269" s="34"/>
      <c r="M1269" s="35"/>
      <c r="N1269" s="36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9"/>
      <c r="Z1269" s="39"/>
      <c r="AA1269" s="28"/>
      <c r="AMJ1269" s="0"/>
    </row>
    <row r="1270" s="2" customFormat="true" ht="12.75" hidden="false" customHeight="true" outlineLevel="0" collapsed="false">
      <c r="A1270" s="27" t="s">
        <v>2463</v>
      </c>
      <c r="B1270" s="27" t="s">
        <v>1160</v>
      </c>
      <c r="C1270" s="28" t="s">
        <v>41</v>
      </c>
      <c r="D1270" s="27" t="s">
        <v>2400</v>
      </c>
      <c r="E1270" s="27"/>
      <c r="F1270" s="29" t="s">
        <v>2464</v>
      </c>
      <c r="G1270" s="30" t="n">
        <v>75017</v>
      </c>
      <c r="H1270" s="31" t="s">
        <v>36</v>
      </c>
      <c r="I1270" s="32" t="n">
        <v>142274459</v>
      </c>
      <c r="J1270" s="33" t="n">
        <v>272</v>
      </c>
      <c r="K1270" s="33" t="n">
        <v>3</v>
      </c>
      <c r="L1270" s="34"/>
      <c r="M1270" s="35"/>
      <c r="N1270" s="36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9"/>
      <c r="Z1270" s="39"/>
      <c r="AA1270" s="28"/>
      <c r="AMJ1270" s="0"/>
    </row>
    <row r="1271" s="2" customFormat="true" ht="12.75" hidden="false" customHeight="true" outlineLevel="0" collapsed="false">
      <c r="A1271" s="27" t="s">
        <v>1953</v>
      </c>
      <c r="B1271" s="27" t="s">
        <v>88</v>
      </c>
      <c r="C1271" s="28" t="s">
        <v>33</v>
      </c>
      <c r="D1271" s="27" t="s">
        <v>2400</v>
      </c>
      <c r="E1271" s="27"/>
      <c r="F1271" s="29" t="s">
        <v>2465</v>
      </c>
      <c r="G1271" s="30" t="n">
        <v>75017</v>
      </c>
      <c r="H1271" s="31" t="s">
        <v>36</v>
      </c>
      <c r="I1271" s="32" t="n">
        <v>142270808</v>
      </c>
      <c r="J1271" s="33" t="n">
        <v>66</v>
      </c>
      <c r="K1271" s="33" t="n">
        <v>1</v>
      </c>
      <c r="L1271" s="34"/>
      <c r="M1271" s="35"/>
      <c r="N1271" s="36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  <c r="Y1271" s="39"/>
      <c r="Z1271" s="39"/>
      <c r="AA1271" s="28"/>
      <c r="AC1271" s="2" t="s">
        <v>38</v>
      </c>
      <c r="AMJ1271" s="0"/>
    </row>
    <row r="1272" s="2" customFormat="true" ht="12.75" hidden="false" customHeight="true" outlineLevel="0" collapsed="false">
      <c r="A1272" s="27" t="s">
        <v>2466</v>
      </c>
      <c r="B1272" s="27" t="s">
        <v>850</v>
      </c>
      <c r="C1272" s="28" t="s">
        <v>121</v>
      </c>
      <c r="D1272" s="27" t="s">
        <v>2400</v>
      </c>
      <c r="E1272" s="27"/>
      <c r="F1272" s="29" t="s">
        <v>2467</v>
      </c>
      <c r="G1272" s="30" t="n">
        <v>75017</v>
      </c>
      <c r="H1272" s="31" t="s">
        <v>36</v>
      </c>
      <c r="I1272" s="32" t="n">
        <v>142676767</v>
      </c>
      <c r="J1272" s="33" t="n">
        <v>223</v>
      </c>
      <c r="K1272" s="33" t="n">
        <v>8</v>
      </c>
      <c r="L1272" s="34"/>
      <c r="M1272" s="35"/>
      <c r="N1272" s="36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9"/>
      <c r="Z1272" s="39"/>
      <c r="AA1272" s="28"/>
      <c r="AMJ1272" s="0"/>
    </row>
    <row r="1273" s="2" customFormat="true" ht="12.75" hidden="false" customHeight="true" outlineLevel="0" collapsed="false">
      <c r="A1273" s="27" t="s">
        <v>2468</v>
      </c>
      <c r="B1273" s="27" t="s">
        <v>61</v>
      </c>
      <c r="C1273" s="28" t="s">
        <v>138</v>
      </c>
      <c r="D1273" s="27" t="s">
        <v>2400</v>
      </c>
      <c r="E1273" s="27"/>
      <c r="F1273" s="29" t="s">
        <v>2469</v>
      </c>
      <c r="G1273" s="30" t="n">
        <v>75017</v>
      </c>
      <c r="H1273" s="31" t="s">
        <v>36</v>
      </c>
      <c r="I1273" s="32" t="n">
        <v>146222495</v>
      </c>
      <c r="J1273" s="33" t="n">
        <v>305</v>
      </c>
      <c r="K1273" s="33" t="n">
        <v>3</v>
      </c>
      <c r="L1273" s="34" t="n">
        <v>3</v>
      </c>
      <c r="M1273" s="43" t="s">
        <v>155</v>
      </c>
      <c r="N1273" s="36"/>
      <c r="O1273" s="41"/>
      <c r="P1273" s="41"/>
      <c r="Q1273" s="41"/>
      <c r="R1273" s="41"/>
      <c r="S1273" s="41"/>
      <c r="T1273" s="41"/>
      <c r="U1273" s="41"/>
      <c r="V1273" s="41"/>
      <c r="W1273" s="41"/>
      <c r="X1273" s="41"/>
      <c r="Y1273" s="39" t="n">
        <v>45189.5</v>
      </c>
      <c r="Z1273" s="0"/>
      <c r="AA1273" s="28" t="n">
        <v>3</v>
      </c>
      <c r="AMJ1273" s="0"/>
    </row>
    <row r="1274" s="2" customFormat="true" ht="12.75" hidden="false" customHeight="true" outlineLevel="0" collapsed="false">
      <c r="A1274" s="27" t="s">
        <v>2470</v>
      </c>
      <c r="B1274" s="27" t="s">
        <v>639</v>
      </c>
      <c r="C1274" s="28" t="s">
        <v>41</v>
      </c>
      <c r="D1274" s="27" t="s">
        <v>2400</v>
      </c>
      <c r="E1274" s="27"/>
      <c r="F1274" s="29" t="s">
        <v>2469</v>
      </c>
      <c r="G1274" s="30" t="n">
        <v>75017</v>
      </c>
      <c r="H1274" s="31" t="s">
        <v>36</v>
      </c>
      <c r="I1274" s="32" t="n">
        <v>142275722</v>
      </c>
      <c r="J1274" s="33" t="n">
        <v>305</v>
      </c>
      <c r="K1274" s="33" t="n">
        <v>3</v>
      </c>
      <c r="L1274" s="34"/>
      <c r="M1274" s="35"/>
      <c r="N1274" s="36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9"/>
      <c r="Z1274" s="39"/>
      <c r="AA1274" s="28"/>
      <c r="AMJ1274" s="0"/>
    </row>
    <row r="1275" s="2" customFormat="true" ht="12.75" hidden="false" customHeight="true" outlineLevel="0" collapsed="false">
      <c r="A1275" s="27" t="s">
        <v>2471</v>
      </c>
      <c r="B1275" s="27" t="s">
        <v>234</v>
      </c>
      <c r="C1275" s="28" t="s">
        <v>41</v>
      </c>
      <c r="D1275" s="27" t="s">
        <v>2400</v>
      </c>
      <c r="E1275" s="27"/>
      <c r="F1275" s="29" t="s">
        <v>2472</v>
      </c>
      <c r="G1275" s="30" t="n">
        <v>75017</v>
      </c>
      <c r="H1275" s="31" t="s">
        <v>36</v>
      </c>
      <c r="I1275" s="32" t="n">
        <v>147669002</v>
      </c>
      <c r="J1275" s="33" t="n">
        <v>290</v>
      </c>
      <c r="K1275" s="33" t="n">
        <v>9</v>
      </c>
      <c r="L1275" s="34" t="n">
        <v>2</v>
      </c>
      <c r="M1275" s="35" t="s">
        <v>164</v>
      </c>
      <c r="N1275" s="36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39" t="n">
        <v>45170.40625</v>
      </c>
      <c r="Z1275" s="39"/>
      <c r="AA1275" s="28" t="n">
        <v>2</v>
      </c>
      <c r="AMJ1275" s="0"/>
    </row>
    <row r="1276" s="2" customFormat="true" ht="12.75" hidden="false" customHeight="true" outlineLevel="0" collapsed="false">
      <c r="A1276" s="40" t="s">
        <v>2473</v>
      </c>
      <c r="B1276" s="27"/>
      <c r="C1276" s="3"/>
      <c r="D1276" s="4" t="s">
        <v>2400</v>
      </c>
      <c r="E1276" s="0"/>
      <c r="F1276" s="4" t="s">
        <v>2474</v>
      </c>
      <c r="G1276" s="5" t="n">
        <v>75017</v>
      </c>
      <c r="H1276" s="5" t="s">
        <v>36</v>
      </c>
      <c r="I1276" s="7"/>
      <c r="J1276" s="8"/>
      <c r="K1276" s="8"/>
      <c r="L1276" s="9"/>
      <c r="M1276" s="10"/>
      <c r="N1276" s="11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3" t="n">
        <v>45189.6145833333</v>
      </c>
      <c r="Z1276" s="13"/>
      <c r="AA1276" s="14"/>
      <c r="AMJ1276" s="0"/>
    </row>
    <row r="1277" s="2" customFormat="true" ht="12.75" hidden="false" customHeight="true" outlineLevel="0" collapsed="false">
      <c r="A1277" s="27" t="s">
        <v>331</v>
      </c>
      <c r="B1277" s="27" t="s">
        <v>1685</v>
      </c>
      <c r="C1277" s="28" t="s">
        <v>178</v>
      </c>
      <c r="D1277" s="27" t="s">
        <v>2400</v>
      </c>
      <c r="E1277" s="27"/>
      <c r="F1277" s="29" t="s">
        <v>2475</v>
      </c>
      <c r="G1277" s="30" t="n">
        <v>75017</v>
      </c>
      <c r="H1277" s="31" t="s">
        <v>36</v>
      </c>
      <c r="I1277" s="32" t="n">
        <v>173709777</v>
      </c>
      <c r="J1277" s="33" t="n">
        <v>282</v>
      </c>
      <c r="K1277" s="33" t="n">
        <v>12</v>
      </c>
      <c r="L1277" s="34"/>
      <c r="M1277" s="35" t="s">
        <v>164</v>
      </c>
      <c r="N1277" s="36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9"/>
      <c r="Z1277" s="39"/>
      <c r="AA1277" s="28" t="n">
        <v>3</v>
      </c>
      <c r="AMJ1277" s="0"/>
    </row>
    <row r="1278" s="2" customFormat="true" ht="12.75" hidden="false" customHeight="true" outlineLevel="0" collapsed="false">
      <c r="A1278" s="27" t="s">
        <v>2476</v>
      </c>
      <c r="B1278" s="27" t="s">
        <v>187</v>
      </c>
      <c r="C1278" s="28" t="s">
        <v>138</v>
      </c>
      <c r="D1278" s="27" t="s">
        <v>2400</v>
      </c>
      <c r="E1278" s="27"/>
      <c r="F1278" s="29" t="s">
        <v>2475</v>
      </c>
      <c r="G1278" s="30" t="n">
        <v>75017</v>
      </c>
      <c r="H1278" s="31" t="s">
        <v>36</v>
      </c>
      <c r="I1278" s="32" t="n">
        <v>148975005</v>
      </c>
      <c r="J1278" s="33" t="n">
        <v>199</v>
      </c>
      <c r="K1278" s="33" t="n">
        <v>6</v>
      </c>
      <c r="L1278" s="34" t="n">
        <v>3</v>
      </c>
      <c r="M1278" s="35" t="s">
        <v>164</v>
      </c>
      <c r="N1278" s="36"/>
      <c r="O1278" s="41"/>
      <c r="P1278" s="41"/>
      <c r="Q1278" s="41"/>
      <c r="R1278" s="41"/>
      <c r="S1278" s="41"/>
      <c r="T1278" s="41"/>
      <c r="U1278" s="41"/>
      <c r="V1278" s="41"/>
      <c r="W1278" s="41"/>
      <c r="X1278" s="41"/>
      <c r="Y1278" s="39"/>
      <c r="Z1278" s="39"/>
      <c r="AA1278" s="28" t="n">
        <v>3</v>
      </c>
      <c r="AMJ1278" s="0"/>
    </row>
    <row r="1279" s="2" customFormat="true" ht="12.75" hidden="false" customHeight="true" outlineLevel="0" collapsed="false">
      <c r="A1279" s="27" t="s">
        <v>2477</v>
      </c>
      <c r="B1279" s="27" t="s">
        <v>149</v>
      </c>
      <c r="C1279" s="28" t="s">
        <v>33</v>
      </c>
      <c r="D1279" s="27" t="s">
        <v>2400</v>
      </c>
      <c r="E1279" s="27"/>
      <c r="F1279" s="29" t="s">
        <v>2478</v>
      </c>
      <c r="G1279" s="30" t="n">
        <v>75017</v>
      </c>
      <c r="H1279" s="31" t="s">
        <v>36</v>
      </c>
      <c r="I1279" s="32" t="n">
        <v>140090693</v>
      </c>
      <c r="J1279" s="33" t="n">
        <v>53</v>
      </c>
      <c r="K1279" s="33" t="n">
        <v>1</v>
      </c>
      <c r="L1279" s="34"/>
      <c r="M1279" s="35"/>
      <c r="N1279" s="36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9"/>
      <c r="Z1279" s="39"/>
      <c r="AA1279" s="28"/>
      <c r="AC1279" s="2" t="s">
        <v>38</v>
      </c>
      <c r="AMJ1279" s="0"/>
    </row>
    <row r="1280" s="2" customFormat="true" ht="12.75" hidden="false" customHeight="true" outlineLevel="0" collapsed="false">
      <c r="A1280" s="27" t="s">
        <v>2479</v>
      </c>
      <c r="B1280" s="27" t="s">
        <v>2480</v>
      </c>
      <c r="C1280" s="28" t="s">
        <v>138</v>
      </c>
      <c r="D1280" s="27" t="s">
        <v>2400</v>
      </c>
      <c r="E1280" s="27"/>
      <c r="F1280" s="29" t="s">
        <v>2481</v>
      </c>
      <c r="G1280" s="30" t="n">
        <v>75017</v>
      </c>
      <c r="H1280" s="31" t="s">
        <v>36</v>
      </c>
      <c r="I1280" s="32" t="n">
        <v>146226402</v>
      </c>
      <c r="J1280" s="33" t="n">
        <v>304</v>
      </c>
      <c r="K1280" s="33" t="n">
        <v>6</v>
      </c>
      <c r="L1280" s="34"/>
      <c r="M1280" s="35"/>
      <c r="N1280" s="36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9"/>
      <c r="Z1280" s="39"/>
      <c r="AA1280" s="28"/>
      <c r="AMJ1280" s="0"/>
    </row>
    <row r="1281" s="2" customFormat="true" ht="12.75" hidden="false" customHeight="true" outlineLevel="0" collapsed="false">
      <c r="A1281" s="27" t="s">
        <v>2482</v>
      </c>
      <c r="B1281" s="27" t="s">
        <v>374</v>
      </c>
      <c r="C1281" s="28" t="s">
        <v>33</v>
      </c>
      <c r="D1281" s="27" t="s">
        <v>2400</v>
      </c>
      <c r="E1281" s="27"/>
      <c r="F1281" s="29" t="s">
        <v>2483</v>
      </c>
      <c r="G1281" s="30" t="n">
        <v>75017</v>
      </c>
      <c r="H1281" s="31" t="s">
        <v>36</v>
      </c>
      <c r="I1281" s="32" t="n">
        <v>140687773</v>
      </c>
      <c r="J1281" s="33" t="n">
        <v>51</v>
      </c>
      <c r="K1281" s="33" t="n">
        <v>2</v>
      </c>
      <c r="L1281" s="34"/>
      <c r="M1281" s="35"/>
      <c r="N1281" s="36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9"/>
      <c r="Z1281" s="39"/>
      <c r="AA1281" s="28"/>
      <c r="AC1281" s="2" t="s">
        <v>1478</v>
      </c>
      <c r="AMJ1281" s="0"/>
    </row>
    <row r="1282" s="2" customFormat="true" ht="12.75" hidden="false" customHeight="true" outlineLevel="0" collapsed="false">
      <c r="A1282" s="27" t="s">
        <v>2484</v>
      </c>
      <c r="B1282" s="27" t="s">
        <v>973</v>
      </c>
      <c r="C1282" s="28" t="s">
        <v>138</v>
      </c>
      <c r="D1282" s="27" t="s">
        <v>2400</v>
      </c>
      <c r="E1282" s="27"/>
      <c r="F1282" s="29" t="s">
        <v>2485</v>
      </c>
      <c r="G1282" s="30" t="n">
        <v>75017</v>
      </c>
      <c r="H1282" s="31" t="s">
        <v>36</v>
      </c>
      <c r="I1282" s="32" t="n">
        <v>147660529</v>
      </c>
      <c r="J1282" s="33" t="n">
        <v>255</v>
      </c>
      <c r="K1282" s="33" t="n">
        <v>2</v>
      </c>
      <c r="L1282" s="34"/>
      <c r="M1282" s="35"/>
      <c r="N1282" s="36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9"/>
      <c r="Z1282" s="39"/>
      <c r="AA1282" s="28"/>
      <c r="AMJ1282" s="0"/>
    </row>
    <row r="1283" s="2" customFormat="true" ht="12.75" hidden="false" customHeight="true" outlineLevel="0" collapsed="false">
      <c r="A1283" s="27" t="s">
        <v>2486</v>
      </c>
      <c r="B1283" s="27" t="s">
        <v>2487</v>
      </c>
      <c r="C1283" s="28" t="s">
        <v>41</v>
      </c>
      <c r="D1283" s="27" t="s">
        <v>2400</v>
      </c>
      <c r="E1283" s="27"/>
      <c r="F1283" s="29" t="s">
        <v>2485</v>
      </c>
      <c r="G1283" s="30" t="n">
        <v>75017</v>
      </c>
      <c r="H1283" s="31" t="s">
        <v>36</v>
      </c>
      <c r="I1283" s="32" t="n">
        <v>145747515</v>
      </c>
      <c r="J1283" s="33" t="n">
        <v>0</v>
      </c>
      <c r="K1283" s="33" t="n">
        <v>1</v>
      </c>
      <c r="L1283" s="34"/>
      <c r="M1283" s="35"/>
      <c r="N1283" s="36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9"/>
      <c r="Z1283" s="39"/>
      <c r="AA1283" s="28"/>
      <c r="AMJ1283" s="0"/>
    </row>
    <row r="1284" s="2" customFormat="true" ht="12.75" hidden="false" customHeight="true" outlineLevel="0" collapsed="false">
      <c r="A1284" s="27" t="s">
        <v>2488</v>
      </c>
      <c r="B1284" s="27" t="s">
        <v>61</v>
      </c>
      <c r="C1284" s="28" t="s">
        <v>121</v>
      </c>
      <c r="D1284" s="27" t="s">
        <v>2400</v>
      </c>
      <c r="E1284" s="27"/>
      <c r="F1284" s="29" t="s">
        <v>2489</v>
      </c>
      <c r="G1284" s="30" t="n">
        <v>75017</v>
      </c>
      <c r="H1284" s="31" t="s">
        <v>36</v>
      </c>
      <c r="I1284" s="32" t="n">
        <v>143809263</v>
      </c>
      <c r="J1284" s="33" t="n">
        <v>152</v>
      </c>
      <c r="K1284" s="33" t="n">
        <v>4</v>
      </c>
      <c r="L1284" s="34"/>
      <c r="M1284" s="35"/>
      <c r="N1284" s="36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9"/>
      <c r="Z1284" s="39"/>
      <c r="AA1284" s="28"/>
      <c r="AMJ1284" s="0"/>
    </row>
    <row r="1285" s="2" customFormat="true" ht="12.75" hidden="false" customHeight="true" outlineLevel="0" collapsed="false">
      <c r="A1285" s="27" t="s">
        <v>2490</v>
      </c>
      <c r="B1285" s="27" t="s">
        <v>1851</v>
      </c>
      <c r="C1285" s="28" t="s">
        <v>41</v>
      </c>
      <c r="D1285" s="27" t="s">
        <v>2400</v>
      </c>
      <c r="E1285" s="27"/>
      <c r="F1285" s="29" t="s">
        <v>2491</v>
      </c>
      <c r="G1285" s="30" t="n">
        <v>75017</v>
      </c>
      <c r="H1285" s="31" t="s">
        <v>36</v>
      </c>
      <c r="I1285" s="32"/>
      <c r="J1285" s="33" t="n">
        <v>478</v>
      </c>
      <c r="K1285" s="33" t="n">
        <v>1</v>
      </c>
      <c r="L1285" s="34"/>
      <c r="M1285" s="35"/>
      <c r="N1285" s="36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9"/>
      <c r="Z1285" s="39"/>
      <c r="AA1285" s="28"/>
      <c r="AMJ1285" s="0"/>
    </row>
    <row r="1286" s="2" customFormat="true" ht="12.75" hidden="false" customHeight="true" outlineLevel="0" collapsed="false">
      <c r="A1286" s="27" t="s">
        <v>2492</v>
      </c>
      <c r="B1286" s="27" t="s">
        <v>160</v>
      </c>
      <c r="C1286" s="28" t="s">
        <v>121</v>
      </c>
      <c r="D1286" s="27" t="s">
        <v>2400</v>
      </c>
      <c r="E1286" s="27"/>
      <c r="F1286" s="29" t="s">
        <v>2491</v>
      </c>
      <c r="G1286" s="30" t="n">
        <v>75017</v>
      </c>
      <c r="H1286" s="31" t="s">
        <v>36</v>
      </c>
      <c r="I1286" s="32"/>
      <c r="J1286" s="33" t="n">
        <v>109</v>
      </c>
      <c r="K1286" s="33" t="n">
        <v>3</v>
      </c>
      <c r="L1286" s="34"/>
      <c r="M1286" s="35"/>
      <c r="N1286" s="36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9"/>
      <c r="Z1286" s="39"/>
      <c r="AA1286" s="28"/>
      <c r="AMJ1286" s="0"/>
    </row>
    <row r="1287" s="2" customFormat="true" ht="12.75" hidden="false" customHeight="true" outlineLevel="0" collapsed="false">
      <c r="A1287" s="27" t="s">
        <v>1656</v>
      </c>
      <c r="B1287" s="27" t="s">
        <v>2493</v>
      </c>
      <c r="C1287" s="28" t="s">
        <v>41</v>
      </c>
      <c r="D1287" s="27" t="s">
        <v>2400</v>
      </c>
      <c r="E1287" s="27"/>
      <c r="F1287" s="29" t="s">
        <v>2494</v>
      </c>
      <c r="G1287" s="30" t="n">
        <v>75017</v>
      </c>
      <c r="H1287" s="31" t="s">
        <v>36</v>
      </c>
      <c r="I1287" s="32"/>
      <c r="J1287" s="33" t="n">
        <v>240</v>
      </c>
      <c r="K1287" s="33" t="n">
        <v>1</v>
      </c>
      <c r="L1287" s="34"/>
      <c r="M1287" s="35"/>
      <c r="N1287" s="36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9"/>
      <c r="Z1287" s="39"/>
      <c r="AA1287" s="28"/>
      <c r="AMJ1287" s="0"/>
    </row>
    <row r="1288" s="2" customFormat="true" ht="12.75" hidden="false" customHeight="true" outlineLevel="0" collapsed="false">
      <c r="A1288" s="27" t="s">
        <v>2495</v>
      </c>
      <c r="B1288" s="27" t="s">
        <v>2496</v>
      </c>
      <c r="C1288" s="28" t="s">
        <v>138</v>
      </c>
      <c r="D1288" s="27" t="s">
        <v>2400</v>
      </c>
      <c r="E1288" s="27"/>
      <c r="F1288" s="29" t="s">
        <v>2497</v>
      </c>
      <c r="G1288" s="30" t="n">
        <v>75017</v>
      </c>
      <c r="H1288" s="31" t="s">
        <v>36</v>
      </c>
      <c r="I1288" s="32" t="n">
        <v>142274219</v>
      </c>
      <c r="J1288" s="33" t="n">
        <v>85</v>
      </c>
      <c r="K1288" s="33" t="n">
        <v>2</v>
      </c>
      <c r="L1288" s="34"/>
      <c r="M1288" s="35"/>
      <c r="N1288" s="36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  <c r="Y1288" s="39"/>
      <c r="Z1288" s="39"/>
      <c r="AA1288" s="28"/>
      <c r="AMJ1288" s="0"/>
    </row>
    <row r="1289" s="2" customFormat="true" ht="12.75" hidden="false" customHeight="true" outlineLevel="0" collapsed="false">
      <c r="A1289" s="27" t="s">
        <v>2498</v>
      </c>
      <c r="B1289" s="27" t="s">
        <v>177</v>
      </c>
      <c r="C1289" s="28" t="s">
        <v>138</v>
      </c>
      <c r="D1289" s="27" t="s">
        <v>2400</v>
      </c>
      <c r="E1289" s="27"/>
      <c r="F1289" s="29" t="s">
        <v>2497</v>
      </c>
      <c r="G1289" s="30" t="n">
        <v>75017</v>
      </c>
      <c r="H1289" s="31" t="s">
        <v>36</v>
      </c>
      <c r="I1289" s="32" t="n">
        <v>142274219</v>
      </c>
      <c r="J1289" s="33" t="n">
        <v>28</v>
      </c>
      <c r="K1289" s="33" t="n">
        <v>1</v>
      </c>
      <c r="L1289" s="34"/>
      <c r="M1289" s="35"/>
      <c r="N1289" s="36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9"/>
      <c r="Z1289" s="39"/>
      <c r="AA1289" s="28"/>
      <c r="AMJ1289" s="0"/>
    </row>
    <row r="1290" s="2" customFormat="true" ht="12.75" hidden="false" customHeight="true" outlineLevel="0" collapsed="false">
      <c r="A1290" s="27" t="s">
        <v>2499</v>
      </c>
      <c r="B1290" s="27" t="s">
        <v>516</v>
      </c>
      <c r="C1290" s="28" t="s">
        <v>138</v>
      </c>
      <c r="D1290" s="27" t="s">
        <v>2400</v>
      </c>
      <c r="E1290" s="27"/>
      <c r="F1290" s="29" t="s">
        <v>2500</v>
      </c>
      <c r="G1290" s="30" t="n">
        <v>75017</v>
      </c>
      <c r="H1290" s="31" t="s">
        <v>36</v>
      </c>
      <c r="I1290" s="32"/>
      <c r="J1290" s="33" t="n">
        <v>95</v>
      </c>
      <c r="K1290" s="33" t="n">
        <v>1</v>
      </c>
      <c r="L1290" s="34"/>
      <c r="M1290" s="35"/>
      <c r="N1290" s="36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  <c r="Y1290" s="39"/>
      <c r="Z1290" s="39"/>
      <c r="AA1290" s="28"/>
      <c r="AMJ1290" s="0"/>
    </row>
    <row r="1291" s="2" customFormat="true" ht="12.75" hidden="false" customHeight="true" outlineLevel="0" collapsed="false">
      <c r="A1291" s="27" t="s">
        <v>2501</v>
      </c>
      <c r="B1291" s="27" t="s">
        <v>151</v>
      </c>
      <c r="C1291" s="28" t="s">
        <v>41</v>
      </c>
      <c r="D1291" s="27" t="s">
        <v>2400</v>
      </c>
      <c r="E1291" s="27"/>
      <c r="F1291" s="29" t="s">
        <v>2502</v>
      </c>
      <c r="G1291" s="30" t="n">
        <v>75017</v>
      </c>
      <c r="H1291" s="31" t="s">
        <v>36</v>
      </c>
      <c r="I1291" s="32" t="n">
        <v>140549271</v>
      </c>
      <c r="J1291" s="33" t="n">
        <v>258</v>
      </c>
      <c r="K1291" s="33" t="n">
        <v>0</v>
      </c>
      <c r="L1291" s="34"/>
      <c r="M1291" s="35"/>
      <c r="N1291" s="36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9"/>
      <c r="Z1291" s="39"/>
      <c r="AA1291" s="28"/>
      <c r="AMJ1291" s="0"/>
    </row>
    <row r="1292" s="2" customFormat="true" ht="12.75" hidden="false" customHeight="true" outlineLevel="0" collapsed="false">
      <c r="A1292" s="27" t="s">
        <v>2503</v>
      </c>
      <c r="B1292" s="27" t="s">
        <v>2504</v>
      </c>
      <c r="C1292" s="28" t="s">
        <v>138</v>
      </c>
      <c r="D1292" s="27" t="s">
        <v>2400</v>
      </c>
      <c r="E1292" s="27"/>
      <c r="F1292" s="29" t="s">
        <v>2505</v>
      </c>
      <c r="G1292" s="30" t="n">
        <v>75017</v>
      </c>
      <c r="H1292" s="31" t="s">
        <v>36</v>
      </c>
      <c r="I1292" s="32" t="n">
        <v>142120267</v>
      </c>
      <c r="J1292" s="33" t="n">
        <v>310</v>
      </c>
      <c r="K1292" s="33" t="n">
        <v>3</v>
      </c>
      <c r="L1292" s="34" t="n">
        <v>2</v>
      </c>
      <c r="M1292" s="35" t="s">
        <v>164</v>
      </c>
      <c r="N1292" s="36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39"/>
      <c r="Z1292" s="39"/>
      <c r="AA1292" s="28" t="n">
        <v>3</v>
      </c>
      <c r="AMJ1292" s="0"/>
    </row>
    <row r="1293" s="2" customFormat="true" ht="12.75" hidden="false" customHeight="true" outlineLevel="0" collapsed="false">
      <c r="A1293" s="27" t="s">
        <v>2506</v>
      </c>
      <c r="B1293" s="27" t="s">
        <v>395</v>
      </c>
      <c r="C1293" s="28" t="s">
        <v>138</v>
      </c>
      <c r="D1293" s="27" t="s">
        <v>2400</v>
      </c>
      <c r="E1293" s="27"/>
      <c r="F1293" s="29" t="s">
        <v>2505</v>
      </c>
      <c r="G1293" s="30" t="n">
        <v>75017</v>
      </c>
      <c r="H1293" s="31" t="s">
        <v>36</v>
      </c>
      <c r="I1293" s="32" t="n">
        <v>142120267</v>
      </c>
      <c r="J1293" s="33" t="n">
        <v>294</v>
      </c>
      <c r="K1293" s="33" t="n">
        <v>6</v>
      </c>
      <c r="L1293" s="34" t="n">
        <v>2</v>
      </c>
      <c r="M1293" s="35" t="s">
        <v>164</v>
      </c>
      <c r="N1293" s="36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39"/>
      <c r="Z1293" s="39"/>
      <c r="AA1293" s="28" t="n">
        <v>3</v>
      </c>
      <c r="AMJ1293" s="0"/>
    </row>
    <row r="1294" s="2" customFormat="true" ht="12.75" hidden="false" customHeight="true" outlineLevel="0" collapsed="false">
      <c r="A1294" s="27" t="s">
        <v>2507</v>
      </c>
      <c r="B1294" s="27" t="s">
        <v>490</v>
      </c>
      <c r="C1294" s="28" t="s">
        <v>138</v>
      </c>
      <c r="D1294" s="27" t="s">
        <v>2400</v>
      </c>
      <c r="E1294" s="27"/>
      <c r="F1294" s="29" t="s">
        <v>2505</v>
      </c>
      <c r="G1294" s="30" t="n">
        <v>75017</v>
      </c>
      <c r="H1294" s="31" t="s">
        <v>36</v>
      </c>
      <c r="I1294" s="32" t="n">
        <v>148882660</v>
      </c>
      <c r="J1294" s="33" t="n">
        <v>265</v>
      </c>
      <c r="K1294" s="33" t="n">
        <v>6</v>
      </c>
      <c r="L1294" s="34" t="n">
        <v>2</v>
      </c>
      <c r="M1294" s="35" t="s">
        <v>164</v>
      </c>
      <c r="N1294" s="36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39"/>
      <c r="Z1294" s="39"/>
      <c r="AA1294" s="28" t="n">
        <v>3</v>
      </c>
      <c r="AMJ1294" s="0"/>
    </row>
    <row r="1295" s="2" customFormat="true" ht="12.75" hidden="false" customHeight="true" outlineLevel="0" collapsed="false">
      <c r="A1295" s="27" t="s">
        <v>2508</v>
      </c>
      <c r="B1295" s="27" t="s">
        <v>88</v>
      </c>
      <c r="C1295" s="28" t="s">
        <v>138</v>
      </c>
      <c r="D1295" s="27" t="s">
        <v>2400</v>
      </c>
      <c r="E1295" s="27"/>
      <c r="F1295" s="29" t="s">
        <v>2505</v>
      </c>
      <c r="G1295" s="30" t="n">
        <v>75017</v>
      </c>
      <c r="H1295" s="31" t="s">
        <v>36</v>
      </c>
      <c r="I1295" s="32" t="n">
        <v>142120267</v>
      </c>
      <c r="J1295" s="33" t="n">
        <v>249</v>
      </c>
      <c r="K1295" s="33" t="n">
        <v>2</v>
      </c>
      <c r="L1295" s="34"/>
      <c r="M1295" s="35"/>
      <c r="N1295" s="36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9"/>
      <c r="Z1295" s="39"/>
      <c r="AA1295" s="28"/>
      <c r="AMJ1295" s="0"/>
    </row>
    <row r="1296" s="2" customFormat="true" ht="12.75" hidden="false" customHeight="true" outlineLevel="0" collapsed="false">
      <c r="A1296" s="27" t="s">
        <v>2509</v>
      </c>
      <c r="B1296" s="27" t="s">
        <v>88</v>
      </c>
      <c r="C1296" s="28" t="s">
        <v>41</v>
      </c>
      <c r="D1296" s="27" t="s">
        <v>2400</v>
      </c>
      <c r="E1296" s="27"/>
      <c r="F1296" s="29" t="s">
        <v>2510</v>
      </c>
      <c r="G1296" s="30" t="n">
        <v>75017</v>
      </c>
      <c r="H1296" s="31" t="s">
        <v>36</v>
      </c>
      <c r="I1296" s="32" t="n">
        <v>140549919</v>
      </c>
      <c r="J1296" s="33" t="n">
        <v>259</v>
      </c>
      <c r="K1296" s="33" t="n">
        <v>1</v>
      </c>
      <c r="L1296" s="34"/>
      <c r="M1296" s="35"/>
      <c r="N1296" s="36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9"/>
      <c r="Z1296" s="39"/>
      <c r="AA1296" s="28"/>
      <c r="AMJ1296" s="0"/>
    </row>
    <row r="1297" s="2" customFormat="true" ht="12.75" hidden="false" customHeight="true" outlineLevel="0" collapsed="false">
      <c r="A1297" s="27" t="s">
        <v>2511</v>
      </c>
      <c r="B1297" s="27" t="s">
        <v>596</v>
      </c>
      <c r="C1297" s="28" t="s">
        <v>41</v>
      </c>
      <c r="D1297" s="27" t="s">
        <v>2400</v>
      </c>
      <c r="E1297" s="27"/>
      <c r="F1297" s="29" t="s">
        <v>2512</v>
      </c>
      <c r="G1297" s="30" t="n">
        <v>75017</v>
      </c>
      <c r="H1297" s="31" t="s">
        <v>36</v>
      </c>
      <c r="I1297" s="32"/>
      <c r="J1297" s="33" t="n">
        <v>279</v>
      </c>
      <c r="K1297" s="33" t="n">
        <v>1</v>
      </c>
      <c r="L1297" s="34"/>
      <c r="M1297" s="35"/>
      <c r="N1297" s="36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9"/>
      <c r="Z1297" s="39"/>
      <c r="AA1297" s="28"/>
      <c r="AMJ1297" s="0"/>
    </row>
    <row r="1298" s="2" customFormat="true" ht="12.75" hidden="false" customHeight="true" outlineLevel="0" collapsed="false">
      <c r="A1298" s="27" t="s">
        <v>2513</v>
      </c>
      <c r="B1298" s="27" t="s">
        <v>903</v>
      </c>
      <c r="C1298" s="28" t="s">
        <v>138</v>
      </c>
      <c r="D1298" s="27" t="s">
        <v>2400</v>
      </c>
      <c r="E1298" s="27"/>
      <c r="F1298" s="29" t="s">
        <v>2514</v>
      </c>
      <c r="G1298" s="30" t="n">
        <v>75017</v>
      </c>
      <c r="H1298" s="31" t="s">
        <v>36</v>
      </c>
      <c r="I1298" s="32"/>
      <c r="J1298" s="33" t="n">
        <v>213</v>
      </c>
      <c r="K1298" s="33" t="n">
        <v>1</v>
      </c>
      <c r="L1298" s="34"/>
      <c r="M1298" s="35"/>
      <c r="N1298" s="36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9"/>
      <c r="Z1298" s="39"/>
      <c r="AA1298" s="28"/>
      <c r="AMJ1298" s="0"/>
    </row>
    <row r="1299" s="2" customFormat="true" ht="12.75" hidden="false" customHeight="true" outlineLevel="0" collapsed="false">
      <c r="A1299" s="27" t="s">
        <v>2515</v>
      </c>
      <c r="B1299" s="27" t="s">
        <v>374</v>
      </c>
      <c r="C1299" s="28" t="s">
        <v>138</v>
      </c>
      <c r="D1299" s="27" t="s">
        <v>2400</v>
      </c>
      <c r="E1299" s="27"/>
      <c r="F1299" s="29" t="s">
        <v>2514</v>
      </c>
      <c r="G1299" s="30" t="n">
        <v>75017</v>
      </c>
      <c r="H1299" s="31" t="s">
        <v>36</v>
      </c>
      <c r="I1299" s="32"/>
      <c r="J1299" s="33" t="n">
        <v>95</v>
      </c>
      <c r="K1299" s="33" t="n">
        <v>1</v>
      </c>
      <c r="L1299" s="34"/>
      <c r="M1299" s="35"/>
      <c r="N1299" s="36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9"/>
      <c r="Z1299" s="39"/>
      <c r="AA1299" s="28"/>
      <c r="AMJ1299" s="0"/>
    </row>
    <row r="1300" s="2" customFormat="true" ht="12.75" hidden="false" customHeight="true" outlineLevel="0" collapsed="false">
      <c r="A1300" s="27" t="s">
        <v>2516</v>
      </c>
      <c r="B1300" s="27" t="s">
        <v>1391</v>
      </c>
      <c r="C1300" s="28" t="s">
        <v>41</v>
      </c>
      <c r="D1300" s="27" t="s">
        <v>2400</v>
      </c>
      <c r="E1300" s="27"/>
      <c r="F1300" s="29" t="s">
        <v>2514</v>
      </c>
      <c r="G1300" s="30" t="n">
        <v>75017</v>
      </c>
      <c r="H1300" s="31" t="s">
        <v>36</v>
      </c>
      <c r="I1300" s="32" t="n">
        <v>148882660</v>
      </c>
      <c r="J1300" s="33" t="n">
        <v>205</v>
      </c>
      <c r="K1300" s="33" t="n">
        <v>1</v>
      </c>
      <c r="L1300" s="34"/>
      <c r="M1300" s="35"/>
      <c r="N1300" s="36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9"/>
      <c r="Z1300" s="39"/>
      <c r="AA1300" s="28"/>
      <c r="AMJ1300" s="0"/>
    </row>
    <row r="1301" s="2" customFormat="true" ht="12.75" hidden="false" customHeight="true" outlineLevel="0" collapsed="false">
      <c r="A1301" s="27" t="s">
        <v>2517</v>
      </c>
      <c r="B1301" s="27" t="s">
        <v>618</v>
      </c>
      <c r="C1301" s="28" t="s">
        <v>41</v>
      </c>
      <c r="D1301" s="27" t="s">
        <v>2400</v>
      </c>
      <c r="E1301" s="27"/>
      <c r="F1301" s="29" t="s">
        <v>2518</v>
      </c>
      <c r="G1301" s="30" t="n">
        <v>75017</v>
      </c>
      <c r="H1301" s="31" t="s">
        <v>36</v>
      </c>
      <c r="I1301" s="32" t="n">
        <v>140549040</v>
      </c>
      <c r="J1301" s="33" t="n">
        <v>249</v>
      </c>
      <c r="K1301" s="33" t="n">
        <v>1</v>
      </c>
      <c r="L1301" s="34"/>
      <c r="M1301" s="35"/>
      <c r="N1301" s="36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9"/>
      <c r="Z1301" s="39"/>
      <c r="AA1301" s="28"/>
      <c r="AMJ1301" s="0"/>
    </row>
    <row r="1302" s="2" customFormat="true" ht="12.75" hidden="false" customHeight="true" outlineLevel="0" collapsed="false">
      <c r="A1302" s="27" t="s">
        <v>2519</v>
      </c>
      <c r="B1302" s="27" t="s">
        <v>850</v>
      </c>
      <c r="C1302" s="28" t="s">
        <v>41</v>
      </c>
      <c r="D1302" s="27" t="s">
        <v>2400</v>
      </c>
      <c r="E1302" s="27"/>
      <c r="F1302" s="29" t="s">
        <v>2520</v>
      </c>
      <c r="G1302" s="30" t="n">
        <v>75017</v>
      </c>
      <c r="H1302" s="31" t="s">
        <v>36</v>
      </c>
      <c r="I1302" s="32"/>
      <c r="J1302" s="33" t="n">
        <v>333</v>
      </c>
      <c r="K1302" s="33" t="n">
        <v>41</v>
      </c>
      <c r="L1302" s="34"/>
      <c r="M1302" s="43" t="s">
        <v>155</v>
      </c>
      <c r="N1302" s="36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9" t="n">
        <v>45131.5833333333</v>
      </c>
      <c r="Z1302" s="39" t="n">
        <v>44948.4583333333</v>
      </c>
      <c r="AA1302" s="28"/>
      <c r="AMJ1302" s="0"/>
    </row>
    <row r="1303" s="2" customFormat="true" ht="12.75" hidden="false" customHeight="true" outlineLevel="0" collapsed="false">
      <c r="A1303" s="27" t="s">
        <v>2521</v>
      </c>
      <c r="B1303" s="27" t="s">
        <v>889</v>
      </c>
      <c r="C1303" s="28" t="s">
        <v>41</v>
      </c>
      <c r="D1303" s="27" t="s">
        <v>2400</v>
      </c>
      <c r="E1303" s="27"/>
      <c r="F1303" s="29" t="s">
        <v>2522</v>
      </c>
      <c r="G1303" s="30" t="n">
        <v>75017</v>
      </c>
      <c r="H1303" s="31" t="s">
        <v>36</v>
      </c>
      <c r="I1303" s="32" t="n">
        <v>148880728</v>
      </c>
      <c r="J1303" s="33" t="n">
        <v>254</v>
      </c>
      <c r="K1303" s="33" t="n">
        <v>1</v>
      </c>
      <c r="L1303" s="34"/>
      <c r="M1303" s="35"/>
      <c r="N1303" s="36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9"/>
      <c r="Z1303" s="39"/>
      <c r="AA1303" s="28"/>
      <c r="AMJ1303" s="0"/>
    </row>
    <row r="1304" s="2" customFormat="true" ht="12.75" hidden="false" customHeight="true" outlineLevel="0" collapsed="false">
      <c r="A1304" s="27" t="s">
        <v>2523</v>
      </c>
      <c r="B1304" s="27" t="s">
        <v>1672</v>
      </c>
      <c r="C1304" s="28" t="s">
        <v>33</v>
      </c>
      <c r="D1304" s="27" t="s">
        <v>2400</v>
      </c>
      <c r="E1304" s="27"/>
      <c r="F1304" s="29" t="s">
        <v>2524</v>
      </c>
      <c r="G1304" s="30" t="n">
        <v>75017</v>
      </c>
      <c r="H1304" s="31" t="s">
        <v>36</v>
      </c>
      <c r="I1304" s="32" t="n">
        <v>143180990</v>
      </c>
      <c r="J1304" s="33" t="n">
        <v>51</v>
      </c>
      <c r="K1304" s="33" t="n">
        <v>1</v>
      </c>
      <c r="L1304" s="34"/>
      <c r="M1304" s="35"/>
      <c r="N1304" s="36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9"/>
      <c r="Z1304" s="39"/>
      <c r="AA1304" s="28"/>
      <c r="AC1304" s="2" t="s">
        <v>108</v>
      </c>
      <c r="AE1304" s="2" t="s">
        <v>2525</v>
      </c>
      <c r="AMJ1304" s="0"/>
    </row>
    <row r="1305" s="2" customFormat="true" ht="12.75" hidden="false" customHeight="true" outlineLevel="0" collapsed="false">
      <c r="A1305" s="27" t="s">
        <v>2526</v>
      </c>
      <c r="B1305" s="27" t="s">
        <v>669</v>
      </c>
      <c r="C1305" s="28" t="s">
        <v>33</v>
      </c>
      <c r="D1305" s="27" t="s">
        <v>2400</v>
      </c>
      <c r="E1305" s="27"/>
      <c r="F1305" s="29" t="s">
        <v>2524</v>
      </c>
      <c r="G1305" s="30" t="n">
        <v>75017</v>
      </c>
      <c r="H1305" s="31" t="s">
        <v>36</v>
      </c>
      <c r="I1305" s="32" t="n">
        <v>143180990</v>
      </c>
      <c r="J1305" s="33" t="n">
        <v>50</v>
      </c>
      <c r="K1305" s="33" t="n">
        <v>1</v>
      </c>
      <c r="L1305" s="34"/>
      <c r="M1305" s="35"/>
      <c r="N1305" s="36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9"/>
      <c r="Z1305" s="39"/>
      <c r="AA1305" s="28"/>
      <c r="AC1305" s="2" t="s">
        <v>38</v>
      </c>
      <c r="AMJ1305" s="0"/>
    </row>
    <row r="1306" s="2" customFormat="true" ht="12.75" hidden="false" customHeight="true" outlineLevel="0" collapsed="false">
      <c r="A1306" s="27" t="s">
        <v>2527</v>
      </c>
      <c r="B1306" s="27" t="s">
        <v>1670</v>
      </c>
      <c r="C1306" s="28" t="s">
        <v>33</v>
      </c>
      <c r="D1306" s="27" t="s">
        <v>2400</v>
      </c>
      <c r="E1306" s="27"/>
      <c r="F1306" s="29" t="s">
        <v>2524</v>
      </c>
      <c r="G1306" s="30" t="n">
        <v>75017</v>
      </c>
      <c r="H1306" s="31" t="s">
        <v>36</v>
      </c>
      <c r="I1306" s="32" t="n">
        <v>147630683</v>
      </c>
      <c r="J1306" s="33" t="n">
        <v>31</v>
      </c>
      <c r="K1306" s="33" t="n">
        <v>1</v>
      </c>
      <c r="L1306" s="34"/>
      <c r="M1306" s="35"/>
      <c r="N1306" s="36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9"/>
      <c r="Z1306" s="39"/>
      <c r="AA1306" s="28"/>
      <c r="AC1306" s="2" t="s">
        <v>38</v>
      </c>
      <c r="AMJ1306" s="0"/>
    </row>
    <row r="1307" s="2" customFormat="true" ht="12.75" hidden="false" customHeight="true" outlineLevel="0" collapsed="false">
      <c r="A1307" s="27" t="s">
        <v>2528</v>
      </c>
      <c r="B1307" s="27" t="s">
        <v>435</v>
      </c>
      <c r="C1307" s="28" t="s">
        <v>33</v>
      </c>
      <c r="D1307" s="27" t="s">
        <v>2400</v>
      </c>
      <c r="E1307" s="27"/>
      <c r="F1307" s="29" t="s">
        <v>2529</v>
      </c>
      <c r="G1307" s="30" t="n">
        <v>75017</v>
      </c>
      <c r="H1307" s="31" t="s">
        <v>36</v>
      </c>
      <c r="I1307" s="32" t="n">
        <v>144404592</v>
      </c>
      <c r="J1307" s="33" t="n">
        <v>61</v>
      </c>
      <c r="K1307" s="33" t="n">
        <v>0</v>
      </c>
      <c r="L1307" s="34"/>
      <c r="M1307" s="35"/>
      <c r="N1307" s="36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9"/>
      <c r="Z1307" s="39"/>
      <c r="AA1307" s="28"/>
      <c r="AC1307" s="2" t="s">
        <v>197</v>
      </c>
      <c r="AMJ1307" s="0"/>
    </row>
    <row r="1308" s="2" customFormat="true" ht="12.75" hidden="false" customHeight="true" outlineLevel="0" collapsed="false">
      <c r="A1308" s="27" t="s">
        <v>2530</v>
      </c>
      <c r="B1308" s="27" t="s">
        <v>363</v>
      </c>
      <c r="C1308" s="28" t="s">
        <v>33</v>
      </c>
      <c r="D1308" s="27" t="s">
        <v>2400</v>
      </c>
      <c r="E1308" s="27"/>
      <c r="F1308" s="29" t="s">
        <v>2531</v>
      </c>
      <c r="G1308" s="30" t="n">
        <v>75017</v>
      </c>
      <c r="H1308" s="31" t="s">
        <v>36</v>
      </c>
      <c r="I1308" s="32" t="n">
        <v>158413301</v>
      </c>
      <c r="J1308" s="33" t="n">
        <v>38</v>
      </c>
      <c r="K1308" s="33" t="n">
        <v>1</v>
      </c>
      <c r="L1308" s="34"/>
      <c r="M1308" s="35"/>
      <c r="N1308" s="36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9"/>
      <c r="Z1308" s="39"/>
      <c r="AA1308" s="28"/>
      <c r="AC1308" s="2" t="s">
        <v>38</v>
      </c>
      <c r="AMJ1308" s="0"/>
    </row>
    <row r="1309" s="2" customFormat="true" ht="12.75" hidden="false" customHeight="true" outlineLevel="0" collapsed="false">
      <c r="A1309" s="27" t="s">
        <v>2532</v>
      </c>
      <c r="B1309" s="27" t="s">
        <v>2533</v>
      </c>
      <c r="C1309" s="28" t="s">
        <v>77</v>
      </c>
      <c r="D1309" s="27" t="s">
        <v>2400</v>
      </c>
      <c r="E1309" s="27"/>
      <c r="F1309" s="29" t="s">
        <v>2534</v>
      </c>
      <c r="G1309" s="30" t="n">
        <v>75017</v>
      </c>
      <c r="H1309" s="31" t="s">
        <v>36</v>
      </c>
      <c r="I1309" s="32" t="n">
        <v>147630122</v>
      </c>
      <c r="J1309" s="33" t="n">
        <v>329</v>
      </c>
      <c r="K1309" s="33" t="n">
        <v>9</v>
      </c>
      <c r="L1309" s="34"/>
      <c r="M1309" s="35"/>
      <c r="N1309" s="36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9"/>
      <c r="Z1309" s="39"/>
      <c r="AA1309" s="28"/>
      <c r="AMJ1309" s="0"/>
    </row>
    <row r="1310" s="2" customFormat="true" ht="12.75" hidden="false" customHeight="true" outlineLevel="0" collapsed="false">
      <c r="A1310" s="27" t="s">
        <v>1356</v>
      </c>
      <c r="B1310" s="27" t="s">
        <v>299</v>
      </c>
      <c r="C1310" s="28" t="s">
        <v>33</v>
      </c>
      <c r="D1310" s="27" t="s">
        <v>2400</v>
      </c>
      <c r="E1310" s="27"/>
      <c r="F1310" s="29" t="s">
        <v>2534</v>
      </c>
      <c r="G1310" s="30" t="n">
        <v>75017</v>
      </c>
      <c r="H1310" s="31" t="s">
        <v>36</v>
      </c>
      <c r="I1310" s="32" t="n">
        <v>147630122</v>
      </c>
      <c r="J1310" s="33" t="n">
        <v>52</v>
      </c>
      <c r="K1310" s="33" t="n">
        <v>1</v>
      </c>
      <c r="L1310" s="34"/>
      <c r="M1310" s="35"/>
      <c r="N1310" s="36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9"/>
      <c r="Z1310" s="39"/>
      <c r="AA1310" s="28"/>
      <c r="AC1310" s="2" t="s">
        <v>197</v>
      </c>
      <c r="AMJ1310" s="0"/>
    </row>
    <row r="1311" s="2" customFormat="true" ht="12.75" hidden="false" customHeight="true" outlineLevel="0" collapsed="false">
      <c r="A1311" s="27" t="s">
        <v>2535</v>
      </c>
      <c r="B1311" s="27" t="s">
        <v>639</v>
      </c>
      <c r="C1311" s="28" t="s">
        <v>41</v>
      </c>
      <c r="D1311" s="27" t="s">
        <v>2400</v>
      </c>
      <c r="E1311" s="27"/>
      <c r="F1311" s="29" t="s">
        <v>2536</v>
      </c>
      <c r="G1311" s="30" t="n">
        <v>75017</v>
      </c>
      <c r="H1311" s="31" t="s">
        <v>36</v>
      </c>
      <c r="I1311" s="32" t="n">
        <v>140548535</v>
      </c>
      <c r="J1311" s="33" t="n">
        <v>343</v>
      </c>
      <c r="K1311" s="33" t="n">
        <v>1</v>
      </c>
      <c r="L1311" s="34"/>
      <c r="M1311" s="35"/>
      <c r="N1311" s="36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9"/>
      <c r="Z1311" s="39"/>
      <c r="AA1311" s="28"/>
      <c r="AMJ1311" s="0"/>
    </row>
    <row r="1312" s="2" customFormat="true" ht="12.75" hidden="false" customHeight="true" outlineLevel="0" collapsed="false">
      <c r="A1312" s="27" t="s">
        <v>2537</v>
      </c>
      <c r="B1312" s="27" t="s">
        <v>2538</v>
      </c>
      <c r="C1312" s="28" t="s">
        <v>41</v>
      </c>
      <c r="D1312" s="27" t="s">
        <v>2400</v>
      </c>
      <c r="E1312" s="27"/>
      <c r="F1312" s="29" t="s">
        <v>2536</v>
      </c>
      <c r="G1312" s="30" t="n">
        <v>75017</v>
      </c>
      <c r="H1312" s="31" t="s">
        <v>36</v>
      </c>
      <c r="I1312" s="32" t="n">
        <v>144178020</v>
      </c>
      <c r="J1312" s="33" t="n">
        <v>69</v>
      </c>
      <c r="K1312" s="33" t="n">
        <v>1</v>
      </c>
      <c r="L1312" s="34"/>
      <c r="M1312" s="35"/>
      <c r="N1312" s="36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9"/>
      <c r="Z1312" s="39"/>
      <c r="AA1312" s="28"/>
      <c r="AMJ1312" s="0"/>
    </row>
    <row r="1313" s="2" customFormat="true" ht="12.75" hidden="false" customHeight="true" outlineLevel="0" collapsed="false">
      <c r="A1313" s="27" t="s">
        <v>2539</v>
      </c>
      <c r="B1313" s="27" t="s">
        <v>2540</v>
      </c>
      <c r="C1313" s="28" t="s">
        <v>41</v>
      </c>
      <c r="D1313" s="27" t="s">
        <v>2400</v>
      </c>
      <c r="E1313" s="27"/>
      <c r="F1313" s="29" t="s">
        <v>2541</v>
      </c>
      <c r="G1313" s="30" t="n">
        <v>75017</v>
      </c>
      <c r="H1313" s="31" t="s">
        <v>36</v>
      </c>
      <c r="I1313" s="32" t="n">
        <v>143875025</v>
      </c>
      <c r="J1313" s="33" t="n">
        <v>221</v>
      </c>
      <c r="K1313" s="33" t="n">
        <v>2</v>
      </c>
      <c r="L1313" s="34"/>
      <c r="M1313" s="35"/>
      <c r="N1313" s="36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9"/>
      <c r="Z1313" s="39"/>
      <c r="AA1313" s="28"/>
      <c r="AMJ1313" s="0"/>
    </row>
    <row r="1314" s="2" customFormat="true" ht="12.75" hidden="false" customHeight="true" outlineLevel="0" collapsed="false">
      <c r="A1314" s="27" t="s">
        <v>2542</v>
      </c>
      <c r="B1314" s="27" t="s">
        <v>1160</v>
      </c>
      <c r="C1314" s="28" t="s">
        <v>41</v>
      </c>
      <c r="D1314" s="27" t="s">
        <v>2400</v>
      </c>
      <c r="E1314" s="27"/>
      <c r="F1314" s="29" t="s">
        <v>2543</v>
      </c>
      <c r="G1314" s="30" t="n">
        <v>75017</v>
      </c>
      <c r="H1314" s="31" t="s">
        <v>36</v>
      </c>
      <c r="I1314" s="32" t="n">
        <v>142671658</v>
      </c>
      <c r="J1314" s="33" t="n">
        <v>255</v>
      </c>
      <c r="K1314" s="33" t="n">
        <v>1</v>
      </c>
      <c r="L1314" s="34"/>
      <c r="M1314" s="35"/>
      <c r="N1314" s="36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9"/>
      <c r="Z1314" s="39"/>
      <c r="AA1314" s="28"/>
      <c r="AMJ1314" s="0"/>
    </row>
    <row r="1315" s="2" customFormat="true" ht="12.75" hidden="false" customHeight="true" outlineLevel="0" collapsed="false">
      <c r="A1315" s="27" t="s">
        <v>2544</v>
      </c>
      <c r="B1315" s="27" t="s">
        <v>2545</v>
      </c>
      <c r="C1315" s="28" t="s">
        <v>41</v>
      </c>
      <c r="D1315" s="27" t="s">
        <v>2400</v>
      </c>
      <c r="E1315" s="27"/>
      <c r="F1315" s="29" t="s">
        <v>2546</v>
      </c>
      <c r="G1315" s="30" t="n">
        <v>75017</v>
      </c>
      <c r="H1315" s="31" t="s">
        <v>36</v>
      </c>
      <c r="I1315" s="32" t="n">
        <v>142276933</v>
      </c>
      <c r="J1315" s="33" t="n">
        <v>237</v>
      </c>
      <c r="K1315" s="33" t="n">
        <v>0</v>
      </c>
      <c r="L1315" s="34"/>
      <c r="M1315" s="35"/>
      <c r="N1315" s="36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9"/>
      <c r="Z1315" s="39"/>
      <c r="AA1315" s="28"/>
      <c r="AMJ1315" s="0"/>
    </row>
    <row r="1316" s="2" customFormat="true" ht="12.75" hidden="false" customHeight="true" outlineLevel="0" collapsed="false">
      <c r="A1316" s="27" t="s">
        <v>2547</v>
      </c>
      <c r="B1316" s="27" t="s">
        <v>527</v>
      </c>
      <c r="C1316" s="28" t="s">
        <v>41</v>
      </c>
      <c r="D1316" s="27" t="s">
        <v>2400</v>
      </c>
      <c r="E1316" s="27"/>
      <c r="F1316" s="29" t="s">
        <v>2548</v>
      </c>
      <c r="G1316" s="30" t="n">
        <v>75017</v>
      </c>
      <c r="H1316" s="31" t="s">
        <v>36</v>
      </c>
      <c r="I1316" s="32"/>
      <c r="J1316" s="33" t="n">
        <v>338</v>
      </c>
      <c r="K1316" s="33" t="n">
        <v>2</v>
      </c>
      <c r="L1316" s="34"/>
      <c r="M1316" s="35"/>
      <c r="N1316" s="36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9"/>
      <c r="Z1316" s="39"/>
      <c r="AA1316" s="28"/>
      <c r="AMJ1316" s="0"/>
    </row>
    <row r="1317" s="2" customFormat="true" ht="12.75" hidden="false" customHeight="true" outlineLevel="0" collapsed="false">
      <c r="A1317" s="27" t="s">
        <v>2549</v>
      </c>
      <c r="B1317" s="27" t="s">
        <v>1521</v>
      </c>
      <c r="C1317" s="28" t="s">
        <v>41</v>
      </c>
      <c r="D1317" s="27" t="s">
        <v>2400</v>
      </c>
      <c r="E1317" s="27"/>
      <c r="F1317" s="29" t="s">
        <v>2548</v>
      </c>
      <c r="G1317" s="30" t="n">
        <v>75017</v>
      </c>
      <c r="H1317" s="31" t="s">
        <v>36</v>
      </c>
      <c r="I1317" s="32" t="n">
        <v>144150303</v>
      </c>
      <c r="J1317" s="33" t="n">
        <v>254</v>
      </c>
      <c r="K1317" s="33" t="n">
        <v>2</v>
      </c>
      <c r="L1317" s="34"/>
      <c r="M1317" s="35"/>
      <c r="N1317" s="36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9"/>
      <c r="Z1317" s="39"/>
      <c r="AA1317" s="28"/>
      <c r="AMJ1317" s="0"/>
    </row>
    <row r="1318" s="2" customFormat="true" ht="12.75" hidden="false" customHeight="true" outlineLevel="0" collapsed="false">
      <c r="A1318" s="27" t="s">
        <v>2547</v>
      </c>
      <c r="B1318" s="27" t="s">
        <v>2550</v>
      </c>
      <c r="C1318" s="28" t="s">
        <v>41</v>
      </c>
      <c r="D1318" s="27" t="s">
        <v>2400</v>
      </c>
      <c r="E1318" s="27"/>
      <c r="F1318" s="29" t="s">
        <v>2548</v>
      </c>
      <c r="G1318" s="30" t="n">
        <v>75017</v>
      </c>
      <c r="H1318" s="31" t="s">
        <v>36</v>
      </c>
      <c r="I1318" s="32" t="n">
        <v>144150303</v>
      </c>
      <c r="J1318" s="33" t="n">
        <v>251</v>
      </c>
      <c r="K1318" s="33" t="n">
        <v>1</v>
      </c>
      <c r="L1318" s="34"/>
      <c r="M1318" s="35"/>
      <c r="N1318" s="36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9"/>
      <c r="Z1318" s="39"/>
      <c r="AA1318" s="28"/>
      <c r="AMJ1318" s="0"/>
    </row>
    <row r="1319" s="2" customFormat="true" ht="12.75" hidden="false" customHeight="true" outlineLevel="0" collapsed="false">
      <c r="A1319" s="27" t="s">
        <v>2551</v>
      </c>
      <c r="B1319" s="27" t="s">
        <v>2366</v>
      </c>
      <c r="C1319" s="28" t="s">
        <v>33</v>
      </c>
      <c r="D1319" s="27" t="s">
        <v>2400</v>
      </c>
      <c r="E1319" s="27"/>
      <c r="F1319" s="29" t="s">
        <v>2552</v>
      </c>
      <c r="G1319" s="30" t="n">
        <v>75017</v>
      </c>
      <c r="H1319" s="31" t="s">
        <v>36</v>
      </c>
      <c r="I1319" s="32" t="n">
        <v>145532781</v>
      </c>
      <c r="J1319" s="33" t="n">
        <v>62</v>
      </c>
      <c r="K1319" s="33" t="n">
        <v>0</v>
      </c>
      <c r="L1319" s="34"/>
      <c r="M1319" s="35"/>
      <c r="N1319" s="36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9"/>
      <c r="Z1319" s="39"/>
      <c r="AA1319" s="28"/>
      <c r="AC1319" s="2" t="s">
        <v>1484</v>
      </c>
      <c r="AMJ1319" s="0"/>
    </row>
    <row r="1320" s="2" customFormat="true" ht="12.75" hidden="false" customHeight="true" outlineLevel="0" collapsed="false">
      <c r="A1320" s="27" t="s">
        <v>2553</v>
      </c>
      <c r="B1320" s="27" t="s">
        <v>2554</v>
      </c>
      <c r="C1320" s="28" t="s">
        <v>33</v>
      </c>
      <c r="D1320" s="27" t="s">
        <v>2400</v>
      </c>
      <c r="E1320" s="27"/>
      <c r="F1320" s="29" t="s">
        <v>2555</v>
      </c>
      <c r="G1320" s="30" t="n">
        <v>75017</v>
      </c>
      <c r="H1320" s="31" t="s">
        <v>36</v>
      </c>
      <c r="I1320" s="32" t="n">
        <v>145485738</v>
      </c>
      <c r="J1320" s="33" t="n">
        <v>57</v>
      </c>
      <c r="K1320" s="33" t="n">
        <v>1</v>
      </c>
      <c r="L1320" s="34"/>
      <c r="M1320" s="35"/>
      <c r="N1320" s="36"/>
      <c r="O1320" s="37"/>
      <c r="P1320" s="37"/>
      <c r="Q1320" s="37"/>
      <c r="R1320" s="37"/>
      <c r="S1320" s="37"/>
      <c r="T1320" s="37"/>
      <c r="U1320" s="37"/>
      <c r="V1320" s="37"/>
      <c r="W1320" s="37"/>
      <c r="X1320" s="37"/>
      <c r="Y1320" s="39"/>
      <c r="Z1320" s="39"/>
      <c r="AA1320" s="28"/>
      <c r="AC1320" s="2" t="s">
        <v>197</v>
      </c>
      <c r="AMJ1320" s="0"/>
    </row>
    <row r="1321" s="2" customFormat="true" ht="12.75" hidden="false" customHeight="true" outlineLevel="0" collapsed="false">
      <c r="A1321" s="27" t="s">
        <v>1456</v>
      </c>
      <c r="B1321" s="27" t="s">
        <v>374</v>
      </c>
      <c r="C1321" s="28" t="s">
        <v>138</v>
      </c>
      <c r="D1321" s="27" t="s">
        <v>2400</v>
      </c>
      <c r="E1321" s="27"/>
      <c r="F1321" s="29" t="s">
        <v>2556</v>
      </c>
      <c r="G1321" s="30" t="n">
        <v>75017</v>
      </c>
      <c r="H1321" s="31" t="s">
        <v>36</v>
      </c>
      <c r="I1321" s="32" t="n">
        <v>142277240</v>
      </c>
      <c r="J1321" s="33" t="n">
        <v>298</v>
      </c>
      <c r="K1321" s="33" t="n">
        <v>7</v>
      </c>
      <c r="L1321" s="34" t="n">
        <v>3</v>
      </c>
      <c r="M1321" s="43" t="s">
        <v>155</v>
      </c>
      <c r="N1321" s="36"/>
      <c r="O1321" s="41"/>
      <c r="P1321" s="41"/>
      <c r="Q1321" s="41"/>
      <c r="R1321" s="41"/>
      <c r="S1321" s="41"/>
      <c r="T1321" s="41"/>
      <c r="U1321" s="41"/>
      <c r="V1321" s="41"/>
      <c r="W1321" s="41"/>
      <c r="X1321" s="41"/>
      <c r="Y1321" s="39"/>
      <c r="Z1321" s="39" t="n">
        <v>45202.65625</v>
      </c>
      <c r="AA1321" s="28" t="n">
        <v>3</v>
      </c>
      <c r="AMJ1321" s="0"/>
    </row>
    <row r="1322" s="2" customFormat="true" ht="12.75" hidden="false" customHeight="true" outlineLevel="0" collapsed="false">
      <c r="A1322" s="27" t="s">
        <v>2557</v>
      </c>
      <c r="B1322" s="27" t="s">
        <v>344</v>
      </c>
      <c r="C1322" s="28" t="s">
        <v>33</v>
      </c>
      <c r="D1322" s="27" t="s">
        <v>2400</v>
      </c>
      <c r="E1322" s="27"/>
      <c r="F1322" s="29" t="s">
        <v>2558</v>
      </c>
      <c r="G1322" s="30" t="n">
        <v>75017</v>
      </c>
      <c r="H1322" s="31" t="s">
        <v>36</v>
      </c>
      <c r="I1322" s="32" t="n">
        <v>145745010</v>
      </c>
      <c r="J1322" s="33" t="n">
        <v>51</v>
      </c>
      <c r="K1322" s="33" t="n">
        <v>1</v>
      </c>
      <c r="L1322" s="34"/>
      <c r="M1322" s="35"/>
      <c r="N1322" s="36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9"/>
      <c r="Z1322" s="39"/>
      <c r="AA1322" s="28"/>
      <c r="AC1322" s="2" t="s">
        <v>38</v>
      </c>
      <c r="AMJ1322" s="0"/>
    </row>
    <row r="1323" s="2" customFormat="true" ht="12.75" hidden="false" customHeight="true" outlineLevel="0" collapsed="false">
      <c r="A1323" s="27" t="s">
        <v>2559</v>
      </c>
      <c r="B1323" s="27" t="s">
        <v>749</v>
      </c>
      <c r="C1323" s="28" t="s">
        <v>33</v>
      </c>
      <c r="D1323" s="27" t="s">
        <v>2400</v>
      </c>
      <c r="E1323" s="27"/>
      <c r="F1323" s="29" t="s">
        <v>2558</v>
      </c>
      <c r="G1323" s="30" t="n">
        <v>75017</v>
      </c>
      <c r="H1323" s="31" t="s">
        <v>36</v>
      </c>
      <c r="I1323" s="32" t="n">
        <v>183955771</v>
      </c>
      <c r="J1323" s="33" t="n">
        <v>51</v>
      </c>
      <c r="K1323" s="33" t="n">
        <v>1</v>
      </c>
      <c r="L1323" s="34"/>
      <c r="M1323" s="35"/>
      <c r="N1323" s="36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9"/>
      <c r="Z1323" s="39"/>
      <c r="AA1323" s="28"/>
      <c r="AC1323" s="2" t="s">
        <v>38</v>
      </c>
      <c r="AMJ1323" s="0"/>
    </row>
    <row r="1324" s="2" customFormat="true" ht="12.75" hidden="false" customHeight="true" outlineLevel="0" collapsed="false">
      <c r="A1324" s="27" t="s">
        <v>2560</v>
      </c>
      <c r="B1324" s="27" t="s">
        <v>428</v>
      </c>
      <c r="C1324" s="28" t="s">
        <v>41</v>
      </c>
      <c r="D1324" s="27" t="s">
        <v>2400</v>
      </c>
      <c r="E1324" s="27"/>
      <c r="F1324" s="29" t="s">
        <v>2561</v>
      </c>
      <c r="G1324" s="30" t="n">
        <v>75017</v>
      </c>
      <c r="H1324" s="31" t="s">
        <v>36</v>
      </c>
      <c r="I1324" s="32" t="n">
        <v>143807201</v>
      </c>
      <c r="J1324" s="33" t="n">
        <v>242</v>
      </c>
      <c r="K1324" s="33" t="n">
        <v>1</v>
      </c>
      <c r="L1324" s="34"/>
      <c r="M1324" s="35"/>
      <c r="N1324" s="36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9"/>
      <c r="Z1324" s="39"/>
      <c r="AA1324" s="28"/>
      <c r="AMJ1324" s="0"/>
    </row>
    <row r="1325" s="2" customFormat="true" ht="12.75" hidden="false" customHeight="true" outlineLevel="0" collapsed="false">
      <c r="A1325" s="27" t="s">
        <v>2562</v>
      </c>
      <c r="B1325" s="27" t="s">
        <v>691</v>
      </c>
      <c r="C1325" s="28" t="s">
        <v>41</v>
      </c>
      <c r="D1325" s="27" t="s">
        <v>2400</v>
      </c>
      <c r="E1325" s="27"/>
      <c r="F1325" s="29" t="s">
        <v>2563</v>
      </c>
      <c r="G1325" s="30" t="n">
        <v>75017</v>
      </c>
      <c r="H1325" s="31" t="s">
        <v>36</v>
      </c>
      <c r="I1325" s="32" t="n">
        <v>142272000</v>
      </c>
      <c r="J1325" s="33" t="n">
        <v>237</v>
      </c>
      <c r="K1325" s="33" t="n">
        <v>13</v>
      </c>
      <c r="L1325" s="34" t="n">
        <v>2</v>
      </c>
      <c r="M1325" s="35" t="s">
        <v>164</v>
      </c>
      <c r="N1325" s="36"/>
      <c r="O1325" s="41"/>
      <c r="P1325" s="41"/>
      <c r="Q1325" s="41"/>
      <c r="R1325" s="41"/>
      <c r="S1325" s="41"/>
      <c r="T1325" s="41"/>
      <c r="U1325" s="41"/>
      <c r="V1325" s="41"/>
      <c r="W1325" s="41"/>
      <c r="X1325" s="41"/>
      <c r="Y1325" s="39"/>
      <c r="Z1325" s="39"/>
      <c r="AA1325" s="28" t="n">
        <v>3</v>
      </c>
      <c r="AMJ1325" s="0"/>
    </row>
    <row r="1326" s="2" customFormat="true" ht="12.75" hidden="false" customHeight="true" outlineLevel="0" collapsed="false">
      <c r="A1326" s="27" t="s">
        <v>2564</v>
      </c>
      <c r="B1326" s="27" t="s">
        <v>786</v>
      </c>
      <c r="C1326" s="28" t="s">
        <v>41</v>
      </c>
      <c r="D1326" s="27" t="s">
        <v>2400</v>
      </c>
      <c r="E1326" s="27"/>
      <c r="F1326" s="29" t="s">
        <v>2565</v>
      </c>
      <c r="G1326" s="30" t="n">
        <v>75017</v>
      </c>
      <c r="H1326" s="31" t="s">
        <v>36</v>
      </c>
      <c r="I1326" s="32" t="n">
        <v>147634207</v>
      </c>
      <c r="J1326" s="33" t="n">
        <v>177</v>
      </c>
      <c r="K1326" s="33" t="n">
        <v>1</v>
      </c>
      <c r="L1326" s="34"/>
      <c r="M1326" s="35"/>
      <c r="N1326" s="36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9"/>
      <c r="Z1326" s="39"/>
      <c r="AA1326" s="28"/>
      <c r="AMJ1326" s="0"/>
    </row>
    <row r="1327" s="2" customFormat="true" ht="12.75" hidden="false" customHeight="true" outlineLevel="0" collapsed="false">
      <c r="A1327" s="27" t="s">
        <v>2566</v>
      </c>
      <c r="B1327" s="27" t="s">
        <v>2567</v>
      </c>
      <c r="C1327" s="28" t="s">
        <v>41</v>
      </c>
      <c r="D1327" s="27" t="s">
        <v>2400</v>
      </c>
      <c r="E1327" s="27"/>
      <c r="F1327" s="29" t="s">
        <v>2568</v>
      </c>
      <c r="G1327" s="30" t="n">
        <v>75017</v>
      </c>
      <c r="H1327" s="31" t="s">
        <v>36</v>
      </c>
      <c r="I1327" s="32" t="n">
        <v>142277974</v>
      </c>
      <c r="J1327" s="33" t="n">
        <v>240</v>
      </c>
      <c r="K1327" s="33" t="n">
        <v>0</v>
      </c>
      <c r="L1327" s="34"/>
      <c r="M1327" s="35"/>
      <c r="N1327" s="36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9"/>
      <c r="Z1327" s="39"/>
      <c r="AA1327" s="28"/>
      <c r="AMJ1327" s="0"/>
    </row>
    <row r="1328" s="2" customFormat="true" ht="12.75" hidden="false" customHeight="true" outlineLevel="0" collapsed="false">
      <c r="A1328" s="27" t="s">
        <v>2569</v>
      </c>
      <c r="B1328" s="27" t="s">
        <v>813</v>
      </c>
      <c r="C1328" s="28" t="s">
        <v>41</v>
      </c>
      <c r="D1328" s="27" t="s">
        <v>2400</v>
      </c>
      <c r="E1328" s="27"/>
      <c r="F1328" s="29" t="s">
        <v>2568</v>
      </c>
      <c r="G1328" s="30" t="n">
        <v>75017</v>
      </c>
      <c r="H1328" s="31" t="s">
        <v>36</v>
      </c>
      <c r="I1328" s="32" t="n">
        <v>142277974</v>
      </c>
      <c r="J1328" s="33" t="n">
        <v>0</v>
      </c>
      <c r="K1328" s="33" t="n">
        <v>1</v>
      </c>
      <c r="L1328" s="34"/>
      <c r="M1328" s="35"/>
      <c r="N1328" s="36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9"/>
      <c r="Z1328" s="39"/>
      <c r="AA1328" s="28"/>
      <c r="AMJ1328" s="0"/>
    </row>
    <row r="1329" s="2" customFormat="true" ht="12.75" hidden="false" customHeight="true" outlineLevel="0" collapsed="false">
      <c r="A1329" s="27" t="s">
        <v>2570</v>
      </c>
      <c r="B1329" s="27" t="s">
        <v>2571</v>
      </c>
      <c r="C1329" s="28" t="s">
        <v>208</v>
      </c>
      <c r="D1329" s="27" t="s">
        <v>2400</v>
      </c>
      <c r="E1329" s="27"/>
      <c r="F1329" s="29" t="s">
        <v>2572</v>
      </c>
      <c r="G1329" s="30" t="n">
        <v>75017</v>
      </c>
      <c r="H1329" s="31" t="s">
        <v>36</v>
      </c>
      <c r="I1329" s="32" t="n">
        <v>142274599</v>
      </c>
      <c r="J1329" s="33" t="n">
        <v>250</v>
      </c>
      <c r="K1329" s="33" t="n">
        <v>2</v>
      </c>
      <c r="L1329" s="34" t="n">
        <v>2</v>
      </c>
      <c r="M1329" s="35" t="s">
        <v>164</v>
      </c>
      <c r="N1329" s="36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39"/>
      <c r="Z1329" s="39"/>
      <c r="AA1329" s="28" t="n">
        <v>2</v>
      </c>
      <c r="AMJ1329" s="0"/>
    </row>
    <row r="1330" s="2" customFormat="true" ht="12.75" hidden="false" customHeight="true" outlineLevel="0" collapsed="false">
      <c r="A1330" s="27" t="s">
        <v>2573</v>
      </c>
      <c r="B1330" s="27" t="s">
        <v>1341</v>
      </c>
      <c r="C1330" s="28" t="s">
        <v>208</v>
      </c>
      <c r="D1330" s="27" t="s">
        <v>2400</v>
      </c>
      <c r="E1330" s="27"/>
      <c r="F1330" s="29" t="s">
        <v>2572</v>
      </c>
      <c r="G1330" s="30" t="n">
        <v>75017</v>
      </c>
      <c r="H1330" s="31" t="s">
        <v>36</v>
      </c>
      <c r="I1330" s="32" t="n">
        <v>142274599</v>
      </c>
      <c r="J1330" s="33" t="n">
        <v>186</v>
      </c>
      <c r="K1330" s="33" t="n">
        <v>1</v>
      </c>
      <c r="L1330" s="34"/>
      <c r="M1330" s="35"/>
      <c r="N1330" s="36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9"/>
      <c r="Z1330" s="39"/>
      <c r="AA1330" s="28"/>
      <c r="AMJ1330" s="0"/>
    </row>
    <row r="1331" s="2" customFormat="true" ht="12.75" hidden="false" customHeight="true" outlineLevel="0" collapsed="false">
      <c r="A1331" s="27" t="s">
        <v>2574</v>
      </c>
      <c r="B1331" s="27" t="s">
        <v>525</v>
      </c>
      <c r="C1331" s="28" t="s">
        <v>138</v>
      </c>
      <c r="D1331" s="27" t="s">
        <v>2400</v>
      </c>
      <c r="E1331" s="27"/>
      <c r="F1331" s="29" t="s">
        <v>2575</v>
      </c>
      <c r="G1331" s="30" t="n">
        <v>75017</v>
      </c>
      <c r="H1331" s="31" t="s">
        <v>36</v>
      </c>
      <c r="I1331" s="32"/>
      <c r="J1331" s="33" t="n">
        <v>360</v>
      </c>
      <c r="K1331" s="33" t="n">
        <v>7</v>
      </c>
      <c r="L1331" s="34" t="n">
        <v>2</v>
      </c>
      <c r="M1331" s="35" t="s">
        <v>164</v>
      </c>
      <c r="N1331" s="36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39"/>
      <c r="Z1331" s="39"/>
      <c r="AA1331" s="28" t="n">
        <v>3</v>
      </c>
      <c r="AMJ1331" s="0"/>
    </row>
    <row r="1332" s="2" customFormat="true" ht="12.75" hidden="false" customHeight="true" outlineLevel="0" collapsed="false">
      <c r="A1332" s="27" t="s">
        <v>2576</v>
      </c>
      <c r="B1332" s="27" t="s">
        <v>598</v>
      </c>
      <c r="C1332" s="28" t="s">
        <v>138</v>
      </c>
      <c r="D1332" s="27" t="s">
        <v>2400</v>
      </c>
      <c r="E1332" s="27"/>
      <c r="F1332" s="29" t="s">
        <v>2575</v>
      </c>
      <c r="G1332" s="30" t="n">
        <v>75017</v>
      </c>
      <c r="H1332" s="31" t="s">
        <v>36</v>
      </c>
      <c r="I1332" s="32"/>
      <c r="J1332" s="33" t="n">
        <v>287</v>
      </c>
      <c r="K1332" s="33" t="n">
        <v>9</v>
      </c>
      <c r="L1332" s="34" t="n">
        <v>4</v>
      </c>
      <c r="M1332" s="35" t="s">
        <v>164</v>
      </c>
      <c r="N1332" s="36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39" t="n">
        <v>45126.4583333333</v>
      </c>
      <c r="Z1332" s="39"/>
      <c r="AA1332" s="28" t="n">
        <v>4</v>
      </c>
      <c r="AMJ1332" s="0"/>
    </row>
    <row r="1333" s="2" customFormat="true" ht="12.75" hidden="false" customHeight="true" outlineLevel="0" collapsed="false">
      <c r="A1333" s="27" t="s">
        <v>2577</v>
      </c>
      <c r="B1333" s="27" t="s">
        <v>88</v>
      </c>
      <c r="C1333" s="28" t="s">
        <v>33</v>
      </c>
      <c r="D1333" s="27" t="s">
        <v>2400</v>
      </c>
      <c r="E1333" s="27"/>
      <c r="F1333" s="29" t="s">
        <v>2575</v>
      </c>
      <c r="G1333" s="30" t="n">
        <v>75017</v>
      </c>
      <c r="H1333" s="31" t="s">
        <v>36</v>
      </c>
      <c r="I1333" s="32"/>
      <c r="J1333" s="33" t="n">
        <v>61</v>
      </c>
      <c r="K1333" s="33" t="n">
        <v>1</v>
      </c>
      <c r="L1333" s="34"/>
      <c r="M1333" s="35"/>
      <c r="N1333" s="36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9"/>
      <c r="Z1333" s="39"/>
      <c r="AA1333" s="28"/>
      <c r="AC1333" s="2" t="s">
        <v>38</v>
      </c>
      <c r="AMJ1333" s="0"/>
    </row>
    <row r="1334" s="2" customFormat="true" ht="12.75" hidden="false" customHeight="true" outlineLevel="0" collapsed="false">
      <c r="A1334" s="27" t="s">
        <v>2578</v>
      </c>
      <c r="B1334" s="27" t="s">
        <v>2579</v>
      </c>
      <c r="C1334" s="28" t="s">
        <v>77</v>
      </c>
      <c r="D1334" s="27" t="s">
        <v>2400</v>
      </c>
      <c r="E1334" s="27"/>
      <c r="F1334" s="29" t="s">
        <v>2580</v>
      </c>
      <c r="G1334" s="30" t="n">
        <v>75017</v>
      </c>
      <c r="H1334" s="31" t="s">
        <v>36</v>
      </c>
      <c r="I1334" s="32" t="n">
        <v>142662494</v>
      </c>
      <c r="J1334" s="33" t="n">
        <v>243</v>
      </c>
      <c r="K1334" s="33" t="n">
        <v>1</v>
      </c>
      <c r="L1334" s="34"/>
      <c r="M1334" s="35"/>
      <c r="N1334" s="36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9"/>
      <c r="Z1334" s="39"/>
      <c r="AA1334" s="28"/>
      <c r="AMJ1334" s="0"/>
    </row>
    <row r="1335" s="2" customFormat="true" ht="12.75" hidden="false" customHeight="true" outlineLevel="0" collapsed="false">
      <c r="A1335" s="27" t="s">
        <v>2581</v>
      </c>
      <c r="B1335" s="27" t="s">
        <v>2582</v>
      </c>
      <c r="C1335" s="28" t="s">
        <v>138</v>
      </c>
      <c r="D1335" s="27" t="s">
        <v>2400</v>
      </c>
      <c r="E1335" s="27"/>
      <c r="F1335" s="29" t="s">
        <v>2583</v>
      </c>
      <c r="G1335" s="30" t="n">
        <v>75017</v>
      </c>
      <c r="H1335" s="31" t="s">
        <v>36</v>
      </c>
      <c r="I1335" s="32" t="n">
        <v>156900825</v>
      </c>
      <c r="J1335" s="33" t="n">
        <v>129</v>
      </c>
      <c r="K1335" s="33" t="n">
        <v>1</v>
      </c>
      <c r="L1335" s="34"/>
      <c r="M1335" s="35"/>
      <c r="N1335" s="36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9"/>
      <c r="Z1335" s="39"/>
      <c r="AA1335" s="28"/>
      <c r="AMJ1335" s="0"/>
    </row>
    <row r="1336" s="2" customFormat="true" ht="12.75" hidden="false" customHeight="true" outlineLevel="0" collapsed="false">
      <c r="A1336" s="27" t="s">
        <v>2584</v>
      </c>
      <c r="B1336" s="27" t="s">
        <v>1196</v>
      </c>
      <c r="C1336" s="28" t="s">
        <v>41</v>
      </c>
      <c r="D1336" s="27" t="s">
        <v>2400</v>
      </c>
      <c r="E1336" s="27"/>
      <c r="F1336" s="29" t="s">
        <v>2583</v>
      </c>
      <c r="G1336" s="30" t="n">
        <v>75017</v>
      </c>
      <c r="H1336" s="31" t="s">
        <v>36</v>
      </c>
      <c r="I1336" s="32" t="n">
        <v>156900825</v>
      </c>
      <c r="J1336" s="33" t="n">
        <v>165</v>
      </c>
      <c r="K1336" s="33" t="n">
        <v>11</v>
      </c>
      <c r="L1336" s="34"/>
      <c r="M1336" s="35" t="s">
        <v>164</v>
      </c>
      <c r="N1336" s="36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9"/>
      <c r="Z1336" s="39"/>
      <c r="AA1336" s="28"/>
      <c r="AMJ1336" s="0"/>
    </row>
    <row r="1337" s="2" customFormat="true" ht="12.75" hidden="false" customHeight="true" outlineLevel="0" collapsed="false">
      <c r="A1337" s="27" t="s">
        <v>2585</v>
      </c>
      <c r="B1337" s="27" t="s">
        <v>106</v>
      </c>
      <c r="C1337" s="28" t="s">
        <v>33</v>
      </c>
      <c r="D1337" s="27" t="s">
        <v>2400</v>
      </c>
      <c r="E1337" s="27"/>
      <c r="F1337" s="29" t="s">
        <v>2586</v>
      </c>
      <c r="G1337" s="30" t="n">
        <v>75017</v>
      </c>
      <c r="H1337" s="31" t="s">
        <v>36</v>
      </c>
      <c r="I1337" s="32" t="n">
        <v>146226760</v>
      </c>
      <c r="J1337" s="33" t="n">
        <v>61</v>
      </c>
      <c r="K1337" s="33" t="n">
        <v>1</v>
      </c>
      <c r="L1337" s="34"/>
      <c r="M1337" s="35"/>
      <c r="N1337" s="75" t="s">
        <v>2587</v>
      </c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9"/>
      <c r="Z1337" s="39"/>
      <c r="AA1337" s="28"/>
      <c r="AC1337" s="2" t="s">
        <v>108</v>
      </c>
      <c r="AE1337" s="2" t="s">
        <v>1460</v>
      </c>
      <c r="AMJ1337" s="0"/>
    </row>
    <row r="1338" s="2" customFormat="true" ht="12.75" hidden="false" customHeight="true" outlineLevel="0" collapsed="false">
      <c r="A1338" s="27" t="s">
        <v>2588</v>
      </c>
      <c r="B1338" s="27" t="s">
        <v>234</v>
      </c>
      <c r="C1338" s="28" t="s">
        <v>138</v>
      </c>
      <c r="D1338" s="27" t="s">
        <v>2400</v>
      </c>
      <c r="E1338" s="27"/>
      <c r="F1338" s="29" t="s">
        <v>2589</v>
      </c>
      <c r="G1338" s="30" t="n">
        <v>75017</v>
      </c>
      <c r="H1338" s="31" t="s">
        <v>36</v>
      </c>
      <c r="I1338" s="32" t="n">
        <v>148781515</v>
      </c>
      <c r="J1338" s="33" t="n">
        <v>335</v>
      </c>
      <c r="K1338" s="33" t="n">
        <v>1</v>
      </c>
      <c r="L1338" s="34"/>
      <c r="M1338" s="35"/>
      <c r="N1338" s="36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9"/>
      <c r="Z1338" s="39"/>
      <c r="AA1338" s="28"/>
      <c r="AB1338" s="0"/>
      <c r="AC1338" s="0"/>
      <c r="AD1338" s="0"/>
      <c r="AE1338" s="0"/>
      <c r="AMJ1338" s="0"/>
    </row>
    <row r="1339" s="2" customFormat="true" ht="12.75" hidden="false" customHeight="true" outlineLevel="0" collapsed="false">
      <c r="A1339" s="27" t="s">
        <v>1702</v>
      </c>
      <c r="B1339" s="27" t="s">
        <v>2590</v>
      </c>
      <c r="C1339" s="28" t="s">
        <v>33</v>
      </c>
      <c r="D1339" s="27" t="s">
        <v>2400</v>
      </c>
      <c r="E1339" s="27"/>
      <c r="F1339" s="29" t="s">
        <v>2591</v>
      </c>
      <c r="G1339" s="30" t="n">
        <v>75017</v>
      </c>
      <c r="H1339" s="31" t="s">
        <v>36</v>
      </c>
      <c r="I1339" s="32" t="n">
        <v>142674957</v>
      </c>
      <c r="J1339" s="33" t="n">
        <v>51</v>
      </c>
      <c r="K1339" s="33" t="n">
        <v>0</v>
      </c>
      <c r="L1339" s="34"/>
      <c r="M1339" s="35"/>
      <c r="N1339" s="36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9"/>
      <c r="Z1339" s="39"/>
      <c r="AA1339" s="28"/>
      <c r="AC1339" s="2" t="s">
        <v>38</v>
      </c>
      <c r="AMJ1339" s="0"/>
    </row>
    <row r="1340" s="2" customFormat="true" ht="12.75" hidden="false" customHeight="true" outlineLevel="0" collapsed="false">
      <c r="A1340" s="27" t="s">
        <v>2592</v>
      </c>
      <c r="B1340" s="27" t="s">
        <v>460</v>
      </c>
      <c r="C1340" s="28" t="s">
        <v>121</v>
      </c>
      <c r="D1340" s="27" t="s">
        <v>2400</v>
      </c>
      <c r="E1340" s="27"/>
      <c r="F1340" s="29" t="s">
        <v>2593</v>
      </c>
      <c r="G1340" s="30" t="n">
        <v>75017</v>
      </c>
      <c r="H1340" s="31" t="s">
        <v>36</v>
      </c>
      <c r="I1340" s="32"/>
      <c r="J1340" s="33" t="n">
        <v>79</v>
      </c>
      <c r="K1340" s="33" t="n">
        <v>2</v>
      </c>
      <c r="L1340" s="34"/>
      <c r="M1340" s="35" t="s">
        <v>164</v>
      </c>
      <c r="N1340" s="35" t="s">
        <v>2594</v>
      </c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9"/>
      <c r="Z1340" s="39"/>
      <c r="AA1340" s="28"/>
      <c r="AMJ1340" s="0"/>
    </row>
    <row r="1341" s="2" customFormat="true" ht="12.75" hidden="false" customHeight="true" outlineLevel="0" collapsed="false">
      <c r="A1341" s="27" t="s">
        <v>2595</v>
      </c>
      <c r="B1341" s="27" t="s">
        <v>887</v>
      </c>
      <c r="C1341" s="28" t="s">
        <v>121</v>
      </c>
      <c r="D1341" s="27" t="s">
        <v>2400</v>
      </c>
      <c r="E1341" s="27"/>
      <c r="F1341" s="29" t="s">
        <v>2593</v>
      </c>
      <c r="G1341" s="30" t="n">
        <v>75017</v>
      </c>
      <c r="H1341" s="31" t="s">
        <v>36</v>
      </c>
      <c r="I1341" s="32"/>
      <c r="J1341" s="33" t="n">
        <v>0</v>
      </c>
      <c r="K1341" s="33" t="n">
        <v>1</v>
      </c>
      <c r="L1341" s="34"/>
      <c r="M1341" s="35" t="s">
        <v>164</v>
      </c>
      <c r="N1341" s="35" t="s">
        <v>2594</v>
      </c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9"/>
      <c r="Z1341" s="39"/>
      <c r="AA1341" s="28"/>
      <c r="AMJ1341" s="0"/>
    </row>
    <row r="1342" s="2" customFormat="true" ht="12.75" hidden="false" customHeight="true" outlineLevel="0" collapsed="false">
      <c r="A1342" s="27" t="s">
        <v>2596</v>
      </c>
      <c r="B1342" s="27" t="s">
        <v>2597</v>
      </c>
      <c r="C1342" s="28" t="s">
        <v>41</v>
      </c>
      <c r="D1342" s="27" t="s">
        <v>2400</v>
      </c>
      <c r="E1342" s="27"/>
      <c r="F1342" s="29" t="s">
        <v>2598</v>
      </c>
      <c r="G1342" s="30" t="n">
        <v>75017</v>
      </c>
      <c r="H1342" s="31" t="s">
        <v>36</v>
      </c>
      <c r="I1342" s="32" t="n">
        <v>147033090</v>
      </c>
      <c r="J1342" s="33" t="n">
        <v>265</v>
      </c>
      <c r="K1342" s="33" t="n">
        <v>0</v>
      </c>
      <c r="L1342" s="34"/>
      <c r="M1342" s="35"/>
      <c r="N1342" s="36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9"/>
      <c r="Z1342" s="39"/>
      <c r="AA1342" s="28"/>
      <c r="AMJ1342" s="0"/>
    </row>
    <row r="1343" s="2" customFormat="true" ht="12.75" hidden="false" customHeight="true" outlineLevel="0" collapsed="false">
      <c r="A1343" s="27" t="s">
        <v>2599</v>
      </c>
      <c r="B1343" s="27" t="s">
        <v>2600</v>
      </c>
      <c r="C1343" s="28" t="s">
        <v>33</v>
      </c>
      <c r="D1343" s="27" t="s">
        <v>2400</v>
      </c>
      <c r="E1343" s="27"/>
      <c r="F1343" s="29" t="s">
        <v>2601</v>
      </c>
      <c r="G1343" s="30" t="n">
        <v>75017</v>
      </c>
      <c r="H1343" s="31" t="s">
        <v>36</v>
      </c>
      <c r="I1343" s="32" t="n">
        <v>140539388</v>
      </c>
      <c r="J1343" s="33" t="n">
        <v>51</v>
      </c>
      <c r="K1343" s="33" t="n">
        <v>1</v>
      </c>
      <c r="L1343" s="34"/>
      <c r="M1343" s="35"/>
      <c r="N1343" s="36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9"/>
      <c r="Z1343" s="39"/>
      <c r="AA1343" s="28"/>
      <c r="AC1343" s="2" t="s">
        <v>197</v>
      </c>
      <c r="AMJ1343" s="0"/>
    </row>
    <row r="1344" s="2" customFormat="true" ht="12.75" hidden="false" customHeight="true" outlineLevel="0" collapsed="false">
      <c r="A1344" s="27" t="s">
        <v>2602</v>
      </c>
      <c r="B1344" s="27" t="s">
        <v>2603</v>
      </c>
      <c r="C1344" s="28" t="s">
        <v>41</v>
      </c>
      <c r="D1344" s="27" t="s">
        <v>2400</v>
      </c>
      <c r="E1344" s="27"/>
      <c r="F1344" s="29" t="s">
        <v>2604</v>
      </c>
      <c r="G1344" s="30" t="n">
        <v>75017</v>
      </c>
      <c r="H1344" s="31" t="s">
        <v>36</v>
      </c>
      <c r="I1344" s="32" t="n">
        <v>147645321</v>
      </c>
      <c r="J1344" s="33" t="n">
        <v>650</v>
      </c>
      <c r="K1344" s="33" t="n">
        <v>1</v>
      </c>
      <c r="L1344" s="34"/>
      <c r="M1344" s="35" t="s">
        <v>110</v>
      </c>
      <c r="N1344" s="36" t="s">
        <v>2605</v>
      </c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9"/>
      <c r="Z1344" s="39"/>
      <c r="AA1344" s="28"/>
      <c r="AMJ1344" s="0"/>
    </row>
    <row r="1345" s="2" customFormat="true" ht="12.75" hidden="false" customHeight="true" outlineLevel="0" collapsed="false">
      <c r="A1345" s="27" t="s">
        <v>2606</v>
      </c>
      <c r="B1345" s="27" t="s">
        <v>1949</v>
      </c>
      <c r="C1345" s="28" t="s">
        <v>41</v>
      </c>
      <c r="D1345" s="27" t="s">
        <v>2400</v>
      </c>
      <c r="E1345" s="27"/>
      <c r="F1345" s="29" t="s">
        <v>2607</v>
      </c>
      <c r="G1345" s="30" t="n">
        <v>75017</v>
      </c>
      <c r="H1345" s="31" t="s">
        <v>36</v>
      </c>
      <c r="I1345" s="32"/>
      <c r="J1345" s="33" t="n">
        <v>0</v>
      </c>
      <c r="K1345" s="33" t="n">
        <v>1</v>
      </c>
      <c r="L1345" s="34"/>
      <c r="M1345" s="35"/>
      <c r="N1345" s="36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9"/>
      <c r="Z1345" s="39"/>
      <c r="AA1345" s="28"/>
      <c r="AMJ1345" s="0"/>
    </row>
    <row r="1346" s="2" customFormat="true" ht="12.75" hidden="false" customHeight="true" outlineLevel="0" collapsed="false">
      <c r="A1346" s="27" t="s">
        <v>2608</v>
      </c>
      <c r="B1346" s="27" t="s">
        <v>324</v>
      </c>
      <c r="C1346" s="28" t="s">
        <v>41</v>
      </c>
      <c r="D1346" s="27" t="s">
        <v>2400</v>
      </c>
      <c r="E1346" s="27"/>
      <c r="F1346" s="29" t="s">
        <v>2609</v>
      </c>
      <c r="G1346" s="30" t="n">
        <v>75017</v>
      </c>
      <c r="H1346" s="31" t="s">
        <v>36</v>
      </c>
      <c r="I1346" s="32" t="n">
        <v>145786471</v>
      </c>
      <c r="J1346" s="33" t="n">
        <v>20</v>
      </c>
      <c r="K1346" s="33" t="n">
        <v>4</v>
      </c>
      <c r="L1346" s="34"/>
      <c r="M1346" s="35"/>
      <c r="N1346" s="36"/>
      <c r="O1346" s="37"/>
      <c r="P1346" s="37"/>
      <c r="Q1346" s="37"/>
      <c r="R1346" s="37"/>
      <c r="S1346" s="37"/>
      <c r="T1346" s="37"/>
      <c r="U1346" s="37"/>
      <c r="V1346" s="37"/>
      <c r="W1346" s="37"/>
      <c r="X1346" s="37"/>
      <c r="Y1346" s="39"/>
      <c r="Z1346" s="39"/>
      <c r="AA1346" s="28"/>
      <c r="AMJ1346" s="0"/>
    </row>
    <row r="1347" s="2" customFormat="true" ht="12.75" hidden="false" customHeight="true" outlineLevel="0" collapsed="false">
      <c r="A1347" s="40" t="s">
        <v>2610</v>
      </c>
      <c r="B1347" s="27"/>
      <c r="C1347" s="3"/>
      <c r="D1347" s="4" t="s">
        <v>2400</v>
      </c>
      <c r="E1347" s="0"/>
      <c r="F1347" s="4" t="s">
        <v>2611</v>
      </c>
      <c r="G1347" s="5" t="n">
        <v>75017</v>
      </c>
      <c r="H1347" s="5" t="s">
        <v>36</v>
      </c>
      <c r="I1347" s="7"/>
      <c r="J1347" s="8"/>
      <c r="K1347" s="8"/>
      <c r="L1347" s="9"/>
      <c r="M1347" s="10"/>
      <c r="N1347" s="11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3" t="n">
        <v>45189.65625</v>
      </c>
      <c r="Z1347" s="13"/>
      <c r="AA1347" s="14"/>
      <c r="AMJ1347" s="0"/>
    </row>
    <row r="1348" s="2" customFormat="true" ht="12.75" hidden="false" customHeight="true" outlineLevel="0" collapsed="false">
      <c r="A1348" s="27" t="s">
        <v>2612</v>
      </c>
      <c r="B1348" s="27" t="s">
        <v>1094</v>
      </c>
      <c r="C1348" s="28" t="s">
        <v>41</v>
      </c>
      <c r="D1348" s="27" t="s">
        <v>2400</v>
      </c>
      <c r="E1348" s="27"/>
      <c r="F1348" s="29" t="s">
        <v>2613</v>
      </c>
      <c r="G1348" s="30" t="n">
        <v>75017</v>
      </c>
      <c r="H1348" s="31" t="s">
        <v>36</v>
      </c>
      <c r="I1348" s="32" t="n">
        <v>142270638</v>
      </c>
      <c r="J1348" s="33" t="n">
        <v>196</v>
      </c>
      <c r="K1348" s="33" t="n">
        <v>2</v>
      </c>
      <c r="L1348" s="34"/>
      <c r="M1348" s="35"/>
      <c r="N1348" s="36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9"/>
      <c r="Z1348" s="39"/>
      <c r="AA1348" s="28"/>
      <c r="AMJ1348" s="0"/>
    </row>
    <row r="1349" s="2" customFormat="true" ht="12.75" hidden="false" customHeight="true" outlineLevel="0" collapsed="false">
      <c r="A1349" s="27" t="s">
        <v>2614</v>
      </c>
      <c r="B1349" s="27" t="s">
        <v>1062</v>
      </c>
      <c r="C1349" s="28" t="s">
        <v>121</v>
      </c>
      <c r="D1349" s="27" t="s">
        <v>2400</v>
      </c>
      <c r="E1349" s="27"/>
      <c r="F1349" s="29" t="s">
        <v>2615</v>
      </c>
      <c r="G1349" s="30" t="n">
        <v>75017</v>
      </c>
      <c r="H1349" s="31" t="s">
        <v>36</v>
      </c>
      <c r="I1349" s="32" t="n">
        <v>145721055</v>
      </c>
      <c r="J1349" s="33" t="n">
        <v>168</v>
      </c>
      <c r="K1349" s="33" t="n">
        <v>8</v>
      </c>
      <c r="L1349" s="34" t="n">
        <v>1</v>
      </c>
      <c r="M1349" s="35" t="s">
        <v>164</v>
      </c>
      <c r="N1349" s="36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39"/>
      <c r="Z1349" s="39"/>
      <c r="AA1349" s="28" t="n">
        <v>3</v>
      </c>
      <c r="AMJ1349" s="0"/>
    </row>
    <row r="1350" s="2" customFormat="true" ht="12.75" hidden="false" customHeight="true" outlineLevel="0" collapsed="false">
      <c r="A1350" s="27" t="s">
        <v>2616</v>
      </c>
      <c r="B1350" s="27" t="s">
        <v>2617</v>
      </c>
      <c r="C1350" s="28" t="s">
        <v>113</v>
      </c>
      <c r="D1350" s="27" t="s">
        <v>2400</v>
      </c>
      <c r="E1350" s="27"/>
      <c r="F1350" s="29" t="s">
        <v>2618</v>
      </c>
      <c r="G1350" s="30" t="n">
        <v>75017</v>
      </c>
      <c r="H1350" s="31" t="s">
        <v>36</v>
      </c>
      <c r="I1350" s="32" t="n">
        <v>147664251</v>
      </c>
      <c r="J1350" s="33" t="n">
        <v>51</v>
      </c>
      <c r="K1350" s="33" t="n">
        <v>1</v>
      </c>
      <c r="L1350" s="34"/>
      <c r="M1350" s="35"/>
      <c r="N1350" s="36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9"/>
      <c r="Z1350" s="39"/>
      <c r="AA1350" s="28"/>
      <c r="AMJ1350" s="0"/>
    </row>
    <row r="1351" s="2" customFormat="true" ht="12.75" hidden="false" customHeight="true" outlineLevel="0" collapsed="false">
      <c r="A1351" s="27" t="s">
        <v>2619</v>
      </c>
      <c r="B1351" s="27" t="s">
        <v>2620</v>
      </c>
      <c r="C1351" s="28" t="s">
        <v>121</v>
      </c>
      <c r="D1351" s="27" t="s">
        <v>2400</v>
      </c>
      <c r="E1351" s="27"/>
      <c r="F1351" s="29" t="s">
        <v>2621</v>
      </c>
      <c r="G1351" s="30" t="n">
        <v>75017</v>
      </c>
      <c r="H1351" s="31" t="s">
        <v>36</v>
      </c>
      <c r="I1351" s="32" t="n">
        <v>144494412</v>
      </c>
      <c r="J1351" s="33" t="n">
        <v>84</v>
      </c>
      <c r="K1351" s="33" t="n">
        <v>1</v>
      </c>
      <c r="L1351" s="34"/>
      <c r="M1351" s="35"/>
      <c r="N1351" s="36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9"/>
      <c r="Z1351" s="39"/>
      <c r="AA1351" s="28"/>
      <c r="AMJ1351" s="0"/>
    </row>
    <row r="1352" s="2" customFormat="true" ht="12.75" hidden="false" customHeight="true" outlineLevel="0" collapsed="false">
      <c r="A1352" s="27" t="s">
        <v>2622</v>
      </c>
      <c r="B1352" s="27" t="s">
        <v>356</v>
      </c>
      <c r="C1352" s="28" t="s">
        <v>121</v>
      </c>
      <c r="D1352" s="27" t="s">
        <v>2400</v>
      </c>
      <c r="E1352" s="27"/>
      <c r="F1352" s="29" t="s">
        <v>2623</v>
      </c>
      <c r="G1352" s="30" t="n">
        <v>75017</v>
      </c>
      <c r="H1352" s="31" t="s">
        <v>36</v>
      </c>
      <c r="I1352" s="32" t="n">
        <v>147644771</v>
      </c>
      <c r="J1352" s="33" t="n">
        <v>147</v>
      </c>
      <c r="K1352" s="33" t="n">
        <v>9</v>
      </c>
      <c r="L1352" s="34" t="n">
        <v>3</v>
      </c>
      <c r="M1352" s="43" t="s">
        <v>155</v>
      </c>
      <c r="N1352" s="36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39"/>
      <c r="Z1352" s="39" t="n">
        <v>45222.5833333333</v>
      </c>
      <c r="AA1352" s="28" t="n">
        <v>3</v>
      </c>
      <c r="AMJ1352" s="0"/>
    </row>
    <row r="1353" s="2" customFormat="true" ht="12.75" hidden="false" customHeight="true" outlineLevel="0" collapsed="false">
      <c r="A1353" s="27" t="s">
        <v>2624</v>
      </c>
      <c r="B1353" s="27" t="s">
        <v>443</v>
      </c>
      <c r="C1353" s="28" t="s">
        <v>121</v>
      </c>
      <c r="D1353" s="27" t="s">
        <v>2400</v>
      </c>
      <c r="E1353" s="27"/>
      <c r="F1353" s="29" t="s">
        <v>2625</v>
      </c>
      <c r="G1353" s="30" t="n">
        <v>75017</v>
      </c>
      <c r="H1353" s="31" t="s">
        <v>36</v>
      </c>
      <c r="I1353" s="32"/>
      <c r="J1353" s="33" t="n">
        <v>194</v>
      </c>
      <c r="K1353" s="33" t="n">
        <v>7</v>
      </c>
      <c r="L1353" s="34"/>
      <c r="M1353" s="35"/>
      <c r="N1353" s="36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9"/>
      <c r="Z1353" s="39"/>
      <c r="AA1353" s="28"/>
      <c r="AMJ1353" s="0"/>
    </row>
    <row r="1354" s="2" customFormat="true" ht="12.75" hidden="false" customHeight="true" outlineLevel="0" collapsed="false">
      <c r="A1354" s="27" t="s">
        <v>2626</v>
      </c>
      <c r="B1354" s="27" t="s">
        <v>598</v>
      </c>
      <c r="C1354" s="28" t="s">
        <v>121</v>
      </c>
      <c r="D1354" s="27" t="s">
        <v>2400</v>
      </c>
      <c r="E1354" s="27"/>
      <c r="F1354" s="29" t="s">
        <v>2625</v>
      </c>
      <c r="G1354" s="30" t="n">
        <v>75017</v>
      </c>
      <c r="H1354" s="31" t="s">
        <v>36</v>
      </c>
      <c r="I1354" s="32"/>
      <c r="J1354" s="33" t="n">
        <v>118</v>
      </c>
      <c r="K1354" s="33" t="n">
        <v>1</v>
      </c>
      <c r="L1354" s="34"/>
      <c r="M1354" s="35"/>
      <c r="N1354" s="36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9"/>
      <c r="Z1354" s="39"/>
      <c r="AA1354" s="28"/>
      <c r="AMJ1354" s="0"/>
    </row>
    <row r="1355" s="2" customFormat="true" ht="12.75" hidden="false" customHeight="true" outlineLevel="0" collapsed="false">
      <c r="A1355" s="27" t="s">
        <v>2537</v>
      </c>
      <c r="B1355" s="27" t="s">
        <v>815</v>
      </c>
      <c r="C1355" s="28" t="s">
        <v>100</v>
      </c>
      <c r="D1355" s="27" t="s">
        <v>2400</v>
      </c>
      <c r="E1355" s="27"/>
      <c r="F1355" s="29" t="s">
        <v>2625</v>
      </c>
      <c r="G1355" s="30" t="n">
        <v>75017</v>
      </c>
      <c r="H1355" s="31" t="s">
        <v>36</v>
      </c>
      <c r="I1355" s="32"/>
      <c r="J1355" s="33" t="n">
        <v>0</v>
      </c>
      <c r="K1355" s="33"/>
      <c r="L1355" s="34"/>
      <c r="M1355" s="35"/>
      <c r="N1355" s="36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9"/>
      <c r="Z1355" s="39"/>
      <c r="AA1355" s="28"/>
      <c r="AMJ1355" s="0"/>
    </row>
    <row r="1356" s="2" customFormat="true" ht="12.75" hidden="false" customHeight="true" outlineLevel="0" collapsed="false">
      <c r="A1356" s="27" t="s">
        <v>2627</v>
      </c>
      <c r="B1356" s="27" t="s">
        <v>1004</v>
      </c>
      <c r="C1356" s="28" t="s">
        <v>41</v>
      </c>
      <c r="D1356" s="27" t="s">
        <v>2400</v>
      </c>
      <c r="E1356" s="27"/>
      <c r="F1356" s="29" t="s">
        <v>2628</v>
      </c>
      <c r="G1356" s="30" t="n">
        <v>75017</v>
      </c>
      <c r="H1356" s="31" t="s">
        <v>36</v>
      </c>
      <c r="I1356" s="32"/>
      <c r="J1356" s="33" t="n">
        <v>170</v>
      </c>
      <c r="K1356" s="33" t="n">
        <v>1</v>
      </c>
      <c r="L1356" s="34"/>
      <c r="M1356" s="35"/>
      <c r="N1356" s="36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9"/>
      <c r="Z1356" s="39"/>
      <c r="AA1356" s="28"/>
      <c r="AMJ1356" s="0"/>
    </row>
    <row r="1357" s="2" customFormat="true" ht="12.75" hidden="false" customHeight="true" outlineLevel="0" collapsed="false">
      <c r="A1357" s="27" t="s">
        <v>2629</v>
      </c>
      <c r="B1357" s="27" t="s">
        <v>2630</v>
      </c>
      <c r="C1357" s="28" t="s">
        <v>41</v>
      </c>
      <c r="D1357" s="27" t="s">
        <v>2400</v>
      </c>
      <c r="E1357" s="27"/>
      <c r="F1357" s="29" t="s">
        <v>2631</v>
      </c>
      <c r="G1357" s="30" t="n">
        <v>75017</v>
      </c>
      <c r="H1357" s="31" t="s">
        <v>36</v>
      </c>
      <c r="I1357" s="32" t="n">
        <v>147425109</v>
      </c>
      <c r="J1357" s="33" t="n">
        <v>150</v>
      </c>
      <c r="K1357" s="33" t="n">
        <v>2</v>
      </c>
      <c r="L1357" s="34"/>
      <c r="M1357" s="35"/>
      <c r="N1357" s="36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9"/>
      <c r="Z1357" s="39"/>
      <c r="AA1357" s="28"/>
      <c r="AMJ1357" s="0"/>
    </row>
    <row r="1358" s="2" customFormat="true" ht="12.75" hidden="false" customHeight="true" outlineLevel="0" collapsed="false">
      <c r="A1358" s="27" t="s">
        <v>2560</v>
      </c>
      <c r="B1358" s="27" t="s">
        <v>1297</v>
      </c>
      <c r="C1358" s="28" t="s">
        <v>41</v>
      </c>
      <c r="D1358" s="27" t="s">
        <v>2400</v>
      </c>
      <c r="E1358" s="27"/>
      <c r="F1358" s="29" t="s">
        <v>2631</v>
      </c>
      <c r="G1358" s="30" t="n">
        <v>75017</v>
      </c>
      <c r="H1358" s="31" t="s">
        <v>36</v>
      </c>
      <c r="I1358" s="32" t="n">
        <v>147425109</v>
      </c>
      <c r="J1358" s="33" t="n">
        <v>150</v>
      </c>
      <c r="K1358" s="33" t="n">
        <v>0</v>
      </c>
      <c r="L1358" s="34"/>
      <c r="M1358" s="35"/>
      <c r="N1358" s="36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9"/>
      <c r="Z1358" s="39"/>
      <c r="AA1358" s="28"/>
      <c r="AMJ1358" s="0"/>
    </row>
    <row r="1359" s="2" customFormat="true" ht="12.75" hidden="false" customHeight="true" outlineLevel="0" collapsed="false">
      <c r="A1359" s="27" t="s">
        <v>2632</v>
      </c>
      <c r="B1359" s="27" t="s">
        <v>868</v>
      </c>
      <c r="C1359" s="28" t="s">
        <v>41</v>
      </c>
      <c r="D1359" s="27" t="s">
        <v>2400</v>
      </c>
      <c r="E1359" s="27"/>
      <c r="F1359" s="29" t="s">
        <v>2631</v>
      </c>
      <c r="G1359" s="30" t="n">
        <v>75017</v>
      </c>
      <c r="H1359" s="31" t="s">
        <v>36</v>
      </c>
      <c r="I1359" s="32" t="n">
        <v>147425109</v>
      </c>
      <c r="J1359" s="33" t="n">
        <v>0</v>
      </c>
      <c r="K1359" s="33" t="n">
        <v>1</v>
      </c>
      <c r="L1359" s="34"/>
      <c r="M1359" s="35"/>
      <c r="N1359" s="36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9"/>
      <c r="Z1359" s="39"/>
      <c r="AA1359" s="28"/>
      <c r="AMJ1359" s="0"/>
    </row>
    <row r="1360" s="2" customFormat="true" ht="12.75" hidden="false" customHeight="true" outlineLevel="0" collapsed="false">
      <c r="A1360" s="27" t="s">
        <v>2633</v>
      </c>
      <c r="B1360" s="27" t="s">
        <v>2634</v>
      </c>
      <c r="C1360" s="28" t="s">
        <v>41</v>
      </c>
      <c r="D1360" s="27" t="s">
        <v>2400</v>
      </c>
      <c r="E1360" s="27"/>
      <c r="F1360" s="29" t="s">
        <v>2631</v>
      </c>
      <c r="G1360" s="30" t="n">
        <v>75017</v>
      </c>
      <c r="H1360" s="31" t="s">
        <v>36</v>
      </c>
      <c r="I1360" s="32" t="n">
        <v>147425109</v>
      </c>
      <c r="J1360" s="33" t="n">
        <v>0</v>
      </c>
      <c r="K1360" s="33" t="n">
        <v>1</v>
      </c>
      <c r="L1360" s="34"/>
      <c r="M1360" s="35"/>
      <c r="N1360" s="36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9"/>
      <c r="Z1360" s="39"/>
      <c r="AA1360" s="28"/>
      <c r="AMJ1360" s="0"/>
    </row>
    <row r="1361" s="2" customFormat="true" ht="12.75" hidden="false" customHeight="true" outlineLevel="0" collapsed="false">
      <c r="A1361" s="27" t="s">
        <v>2635</v>
      </c>
      <c r="B1361" s="27" t="s">
        <v>2636</v>
      </c>
      <c r="C1361" s="28" t="s">
        <v>41</v>
      </c>
      <c r="D1361" s="27" t="s">
        <v>2400</v>
      </c>
      <c r="E1361" s="27"/>
      <c r="F1361" s="29" t="s">
        <v>2637</v>
      </c>
      <c r="G1361" s="30" t="n">
        <v>75017</v>
      </c>
      <c r="H1361" s="31" t="s">
        <v>36</v>
      </c>
      <c r="I1361" s="32" t="n">
        <v>142688330</v>
      </c>
      <c r="J1361" s="33" t="n">
        <v>150</v>
      </c>
      <c r="K1361" s="33" t="n">
        <v>1</v>
      </c>
      <c r="L1361" s="34"/>
      <c r="M1361" s="35"/>
      <c r="N1361" s="36"/>
      <c r="O1361" s="37"/>
      <c r="P1361" s="37"/>
      <c r="Q1361" s="37"/>
      <c r="R1361" s="37"/>
      <c r="S1361" s="37"/>
      <c r="T1361" s="37"/>
      <c r="U1361" s="37"/>
      <c r="V1361" s="37"/>
      <c r="W1361" s="37"/>
      <c r="X1361" s="37"/>
      <c r="Y1361" s="39"/>
      <c r="Z1361" s="39"/>
      <c r="AA1361" s="28"/>
      <c r="AMJ1361" s="0"/>
    </row>
    <row r="1362" s="2" customFormat="true" ht="12.75" hidden="false" customHeight="true" outlineLevel="0" collapsed="false">
      <c r="A1362" s="27" t="s">
        <v>2638</v>
      </c>
      <c r="B1362" s="27" t="s">
        <v>642</v>
      </c>
      <c r="C1362" s="28" t="s">
        <v>138</v>
      </c>
      <c r="D1362" s="27" t="s">
        <v>2400</v>
      </c>
      <c r="E1362" s="27" t="s">
        <v>2639</v>
      </c>
      <c r="F1362" s="29" t="s">
        <v>2640</v>
      </c>
      <c r="G1362" s="30" t="n">
        <v>75017</v>
      </c>
      <c r="H1362" s="31" t="s">
        <v>36</v>
      </c>
      <c r="I1362" s="32"/>
      <c r="J1362" s="33" t="n">
        <v>272</v>
      </c>
      <c r="K1362" s="33" t="n">
        <v>2</v>
      </c>
      <c r="L1362" s="34" t="n">
        <v>1</v>
      </c>
      <c r="M1362" s="35" t="s">
        <v>164</v>
      </c>
      <c r="N1362" s="36"/>
      <c r="O1362" s="41"/>
      <c r="P1362" s="41"/>
      <c r="Q1362" s="41"/>
      <c r="R1362" s="41"/>
      <c r="S1362" s="41"/>
      <c r="T1362" s="41"/>
      <c r="U1362" s="41"/>
      <c r="V1362" s="41"/>
      <c r="W1362" s="41"/>
      <c r="X1362" s="41"/>
      <c r="Y1362" s="39"/>
      <c r="Z1362" s="39"/>
      <c r="AA1362" s="28" t="n">
        <v>3</v>
      </c>
      <c r="AMJ1362" s="0"/>
    </row>
    <row r="1363" s="2" customFormat="true" ht="12.75" hidden="false" customHeight="true" outlineLevel="0" collapsed="false">
      <c r="A1363" s="27" t="s">
        <v>2641</v>
      </c>
      <c r="B1363" s="27" t="s">
        <v>596</v>
      </c>
      <c r="C1363" s="28" t="s">
        <v>138</v>
      </c>
      <c r="D1363" s="27" t="s">
        <v>2400</v>
      </c>
      <c r="E1363" s="27" t="s">
        <v>2639</v>
      </c>
      <c r="F1363" s="29" t="s">
        <v>2640</v>
      </c>
      <c r="G1363" s="30" t="n">
        <v>75017</v>
      </c>
      <c r="H1363" s="31" t="s">
        <v>36</v>
      </c>
      <c r="I1363" s="32" t="n">
        <v>144010050</v>
      </c>
      <c r="J1363" s="33" t="n">
        <v>244</v>
      </c>
      <c r="K1363" s="33" t="n">
        <v>2</v>
      </c>
      <c r="L1363" s="34" t="n">
        <v>2</v>
      </c>
      <c r="M1363" s="35" t="s">
        <v>164</v>
      </c>
      <c r="N1363" s="36"/>
      <c r="O1363" s="41"/>
      <c r="P1363" s="41"/>
      <c r="Q1363" s="41"/>
      <c r="R1363" s="41"/>
      <c r="S1363" s="41"/>
      <c r="T1363" s="41"/>
      <c r="U1363" s="41"/>
      <c r="V1363" s="41"/>
      <c r="W1363" s="41"/>
      <c r="X1363" s="41"/>
      <c r="Y1363" s="39" t="n">
        <v>45182.3854166667</v>
      </c>
      <c r="Z1363" s="39"/>
      <c r="AA1363" s="28" t="n">
        <v>3</v>
      </c>
      <c r="AMJ1363" s="0"/>
    </row>
    <row r="1364" s="2" customFormat="true" ht="12.75" hidden="false" customHeight="true" outlineLevel="0" collapsed="false">
      <c r="A1364" s="27" t="s">
        <v>331</v>
      </c>
      <c r="B1364" s="27" t="s">
        <v>460</v>
      </c>
      <c r="C1364" s="28" t="s">
        <v>138</v>
      </c>
      <c r="D1364" s="27" t="s">
        <v>2400</v>
      </c>
      <c r="E1364" s="27" t="s">
        <v>2639</v>
      </c>
      <c r="F1364" s="29" t="s">
        <v>2640</v>
      </c>
      <c r="G1364" s="30" t="n">
        <v>75017</v>
      </c>
      <c r="H1364" s="31" t="s">
        <v>36</v>
      </c>
      <c r="I1364" s="32"/>
      <c r="J1364" s="33" t="n">
        <v>161</v>
      </c>
      <c r="K1364" s="33" t="n">
        <v>1</v>
      </c>
      <c r="L1364" s="34"/>
      <c r="M1364" s="35"/>
      <c r="N1364" s="36"/>
      <c r="O1364" s="37"/>
      <c r="P1364" s="37"/>
      <c r="Q1364" s="37"/>
      <c r="R1364" s="37"/>
      <c r="S1364" s="37"/>
      <c r="T1364" s="37"/>
      <c r="U1364" s="37"/>
      <c r="V1364" s="37"/>
      <c r="W1364" s="37"/>
      <c r="X1364" s="37"/>
      <c r="Y1364" s="39"/>
      <c r="Z1364" s="39"/>
      <c r="AA1364" s="28"/>
      <c r="AMJ1364" s="0"/>
    </row>
    <row r="1365" s="2" customFormat="true" ht="12.75" hidden="false" customHeight="true" outlineLevel="0" collapsed="false">
      <c r="A1365" s="27" t="s">
        <v>2642</v>
      </c>
      <c r="B1365" s="27" t="s">
        <v>2643</v>
      </c>
      <c r="C1365" s="28" t="s">
        <v>138</v>
      </c>
      <c r="D1365" s="27" t="s">
        <v>2400</v>
      </c>
      <c r="E1365" s="27" t="s">
        <v>2639</v>
      </c>
      <c r="F1365" s="29" t="s">
        <v>2640</v>
      </c>
      <c r="G1365" s="30" t="n">
        <v>75017</v>
      </c>
      <c r="H1365" s="31" t="s">
        <v>36</v>
      </c>
      <c r="I1365" s="32"/>
      <c r="J1365" s="33" t="n">
        <v>132</v>
      </c>
      <c r="K1365" s="33" t="n">
        <v>3</v>
      </c>
      <c r="L1365" s="34" t="n">
        <v>1</v>
      </c>
      <c r="M1365" s="35" t="s">
        <v>716</v>
      </c>
      <c r="N1365" s="36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39" t="n">
        <v>45182.4375</v>
      </c>
      <c r="Z1365" s="39"/>
      <c r="AA1365" s="28" t="n">
        <v>3</v>
      </c>
      <c r="AMJ1365" s="0"/>
    </row>
    <row r="1366" s="2" customFormat="true" ht="12.75" hidden="false" customHeight="true" outlineLevel="0" collapsed="false">
      <c r="A1366" s="27" t="s">
        <v>2644</v>
      </c>
      <c r="B1366" s="27" t="s">
        <v>2645</v>
      </c>
      <c r="C1366" s="28" t="s">
        <v>138</v>
      </c>
      <c r="D1366" s="27" t="s">
        <v>2400</v>
      </c>
      <c r="E1366" s="27" t="s">
        <v>2639</v>
      </c>
      <c r="F1366" s="29" t="s">
        <v>2640</v>
      </c>
      <c r="G1366" s="30" t="n">
        <v>75017</v>
      </c>
      <c r="H1366" s="31" t="s">
        <v>36</v>
      </c>
      <c r="I1366" s="32"/>
      <c r="J1366" s="33" t="n">
        <v>80</v>
      </c>
      <c r="K1366" s="33" t="n">
        <v>3</v>
      </c>
      <c r="L1366" s="34" t="n">
        <v>1</v>
      </c>
      <c r="M1366" s="35" t="s">
        <v>164</v>
      </c>
      <c r="N1366" s="36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39"/>
      <c r="Z1366" s="39"/>
      <c r="AA1366" s="28" t="n">
        <v>3</v>
      </c>
      <c r="AMJ1366" s="0"/>
    </row>
    <row r="1367" s="2" customFormat="true" ht="12.75" hidden="false" customHeight="true" outlineLevel="0" collapsed="false">
      <c r="A1367" s="27" t="s">
        <v>2646</v>
      </c>
      <c r="B1367" s="27" t="s">
        <v>2647</v>
      </c>
      <c r="C1367" s="28" t="s">
        <v>121</v>
      </c>
      <c r="D1367" s="27" t="s">
        <v>2400</v>
      </c>
      <c r="E1367" s="27" t="s">
        <v>2639</v>
      </c>
      <c r="F1367" s="29" t="s">
        <v>2640</v>
      </c>
      <c r="G1367" s="30" t="n">
        <v>75017</v>
      </c>
      <c r="H1367" s="31" t="s">
        <v>36</v>
      </c>
      <c r="I1367" s="32" t="n">
        <v>144741034</v>
      </c>
      <c r="J1367" s="33" t="n">
        <v>122</v>
      </c>
      <c r="K1367" s="33" t="n">
        <v>17</v>
      </c>
      <c r="L1367" s="34" t="n">
        <v>4</v>
      </c>
      <c r="M1367" s="43" t="s">
        <v>700</v>
      </c>
      <c r="N1367" s="36" t="s">
        <v>2648</v>
      </c>
      <c r="O1367" s="41"/>
      <c r="P1367" s="41"/>
      <c r="Q1367" s="41"/>
      <c r="R1367" s="41"/>
      <c r="S1367" s="41"/>
      <c r="T1367" s="41"/>
      <c r="U1367" s="41"/>
      <c r="V1367" s="41"/>
      <c r="W1367" s="41"/>
      <c r="X1367" s="41"/>
      <c r="Y1367" s="39" t="n">
        <v>45125.6666666667</v>
      </c>
      <c r="Z1367" s="39"/>
      <c r="AA1367" s="28"/>
      <c r="AMJ1367" s="0"/>
    </row>
    <row r="1368" s="2" customFormat="true" ht="12.75" hidden="false" customHeight="true" outlineLevel="0" collapsed="false">
      <c r="A1368" s="27" t="s">
        <v>2649</v>
      </c>
      <c r="B1368" s="27" t="s">
        <v>2650</v>
      </c>
      <c r="C1368" s="28" t="s">
        <v>41</v>
      </c>
      <c r="D1368" s="27" t="s">
        <v>2400</v>
      </c>
      <c r="E1368" s="27"/>
      <c r="F1368" s="29" t="s">
        <v>2651</v>
      </c>
      <c r="G1368" s="30" t="n">
        <v>75017</v>
      </c>
      <c r="H1368" s="31" t="s">
        <v>36</v>
      </c>
      <c r="I1368" s="32"/>
      <c r="J1368" s="33" t="n">
        <v>133</v>
      </c>
      <c r="K1368" s="33" t="n">
        <v>2</v>
      </c>
      <c r="L1368" s="34"/>
      <c r="M1368" s="35"/>
      <c r="N1368" s="36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9"/>
      <c r="Z1368" s="39"/>
      <c r="AA1368" s="28"/>
      <c r="AMJ1368" s="0"/>
    </row>
    <row r="1369" s="2" customFormat="true" ht="12.75" hidden="false" customHeight="true" outlineLevel="0" collapsed="false">
      <c r="A1369" s="27" t="s">
        <v>316</v>
      </c>
      <c r="B1369" s="27" t="s">
        <v>187</v>
      </c>
      <c r="C1369" s="28" t="s">
        <v>41</v>
      </c>
      <c r="D1369" s="27" t="s">
        <v>2400</v>
      </c>
      <c r="E1369" s="27"/>
      <c r="F1369" s="29" t="s">
        <v>2652</v>
      </c>
      <c r="G1369" s="30" t="n">
        <v>75017</v>
      </c>
      <c r="H1369" s="31" t="s">
        <v>36</v>
      </c>
      <c r="I1369" s="32" t="n">
        <v>142941897</v>
      </c>
      <c r="J1369" s="33" t="n">
        <v>11</v>
      </c>
      <c r="K1369" s="33" t="n">
        <v>2</v>
      </c>
      <c r="L1369" s="34"/>
      <c r="M1369" s="35"/>
      <c r="N1369" s="36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9"/>
      <c r="Z1369" s="39"/>
      <c r="AA1369" s="28"/>
      <c r="AMJ1369" s="0"/>
    </row>
    <row r="1370" s="2" customFormat="true" ht="12.75" hidden="false" customHeight="true" outlineLevel="0" collapsed="false">
      <c r="A1370" s="27" t="s">
        <v>2653</v>
      </c>
      <c r="B1370" s="27" t="s">
        <v>2654</v>
      </c>
      <c r="C1370" s="28" t="s">
        <v>138</v>
      </c>
      <c r="D1370" s="27" t="s">
        <v>2400</v>
      </c>
      <c r="E1370" s="27"/>
      <c r="F1370" s="29" t="s">
        <v>2655</v>
      </c>
      <c r="G1370" s="30" t="n">
        <v>75017</v>
      </c>
      <c r="H1370" s="31" t="s">
        <v>36</v>
      </c>
      <c r="I1370" s="32" t="n">
        <v>951973047</v>
      </c>
      <c r="J1370" s="33" t="n">
        <v>400</v>
      </c>
      <c r="K1370" s="33"/>
      <c r="L1370" s="34"/>
      <c r="M1370" s="35"/>
      <c r="N1370" s="36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9"/>
      <c r="Z1370" s="39"/>
      <c r="AA1370" s="28"/>
      <c r="AMJ1370" s="0"/>
    </row>
    <row r="1371" s="2" customFormat="true" ht="12.75" hidden="false" customHeight="true" outlineLevel="0" collapsed="false">
      <c r="A1371" s="27" t="s">
        <v>2656</v>
      </c>
      <c r="B1371" s="27" t="s">
        <v>2657</v>
      </c>
      <c r="C1371" s="28" t="s">
        <v>138</v>
      </c>
      <c r="D1371" s="27" t="s">
        <v>2400</v>
      </c>
      <c r="E1371" s="27"/>
      <c r="F1371" s="29" t="s">
        <v>2655</v>
      </c>
      <c r="G1371" s="30" t="n">
        <v>75017</v>
      </c>
      <c r="H1371" s="31" t="s">
        <v>36</v>
      </c>
      <c r="I1371" s="32" t="n">
        <v>951973047</v>
      </c>
      <c r="J1371" s="33" t="n">
        <v>131</v>
      </c>
      <c r="K1371" s="33" t="n">
        <v>1</v>
      </c>
      <c r="L1371" s="34"/>
      <c r="M1371" s="35"/>
      <c r="N1371" s="36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9"/>
      <c r="Z1371" s="39"/>
      <c r="AA1371" s="28"/>
      <c r="AMJ1371" s="0"/>
    </row>
    <row r="1372" s="2" customFormat="true" ht="12.75" hidden="false" customHeight="true" outlineLevel="0" collapsed="false">
      <c r="A1372" s="27" t="s">
        <v>2658</v>
      </c>
      <c r="B1372" s="27" t="s">
        <v>2659</v>
      </c>
      <c r="C1372" s="28" t="s">
        <v>41</v>
      </c>
      <c r="D1372" s="27" t="s">
        <v>2400</v>
      </c>
      <c r="E1372" s="27"/>
      <c r="F1372" s="29" t="s">
        <v>2660</v>
      </c>
      <c r="G1372" s="30" t="n">
        <v>75017</v>
      </c>
      <c r="H1372" s="31" t="s">
        <v>36</v>
      </c>
      <c r="I1372" s="32" t="n">
        <v>143801514</v>
      </c>
      <c r="J1372" s="33" t="n">
        <v>225</v>
      </c>
      <c r="K1372" s="33" t="n">
        <v>2</v>
      </c>
      <c r="L1372" s="34"/>
      <c r="M1372" s="35"/>
      <c r="N1372" s="36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9"/>
      <c r="Z1372" s="39"/>
      <c r="AA1372" s="28"/>
      <c r="AMJ1372" s="0"/>
    </row>
    <row r="1373" s="2" customFormat="true" ht="12.75" hidden="false" customHeight="true" outlineLevel="0" collapsed="false">
      <c r="A1373" s="27" t="s">
        <v>2661</v>
      </c>
      <c r="B1373" s="27" t="s">
        <v>446</v>
      </c>
      <c r="C1373" s="28" t="s">
        <v>138</v>
      </c>
      <c r="D1373" s="27" t="s">
        <v>2400</v>
      </c>
      <c r="E1373" s="27" t="s">
        <v>2662</v>
      </c>
      <c r="F1373" s="29" t="s">
        <v>2663</v>
      </c>
      <c r="G1373" s="30" t="n">
        <v>75017</v>
      </c>
      <c r="H1373" s="31" t="s">
        <v>36</v>
      </c>
      <c r="I1373" s="32" t="n">
        <v>153814196</v>
      </c>
      <c r="J1373" s="33" t="n">
        <v>105</v>
      </c>
      <c r="K1373" s="33" t="n">
        <v>1</v>
      </c>
      <c r="L1373" s="34"/>
      <c r="M1373" s="35"/>
      <c r="N1373" s="35" t="s">
        <v>2664</v>
      </c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9"/>
      <c r="Z1373" s="39"/>
      <c r="AA1373" s="28"/>
      <c r="AMJ1373" s="0"/>
    </row>
    <row r="1374" s="2" customFormat="true" ht="12.75" hidden="false" customHeight="true" outlineLevel="0" collapsed="false">
      <c r="A1374" s="27" t="s">
        <v>2665</v>
      </c>
      <c r="B1374" s="27" t="s">
        <v>2666</v>
      </c>
      <c r="C1374" s="28" t="s">
        <v>41</v>
      </c>
      <c r="D1374" s="27" t="s">
        <v>2400</v>
      </c>
      <c r="E1374" s="27" t="s">
        <v>2662</v>
      </c>
      <c r="F1374" s="29" t="s">
        <v>2663</v>
      </c>
      <c r="G1374" s="30" t="n">
        <v>75017</v>
      </c>
      <c r="H1374" s="31" t="s">
        <v>36</v>
      </c>
      <c r="I1374" s="32" t="n">
        <v>153814196</v>
      </c>
      <c r="J1374" s="33" t="n">
        <v>0</v>
      </c>
      <c r="K1374" s="33" t="n">
        <v>3</v>
      </c>
      <c r="L1374" s="34"/>
      <c r="M1374" s="35"/>
      <c r="N1374" s="35" t="s">
        <v>2664</v>
      </c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9"/>
      <c r="Z1374" s="39"/>
      <c r="AA1374" s="28"/>
      <c r="AMJ1374" s="0"/>
    </row>
    <row r="1375" s="2" customFormat="true" ht="12.75" hidden="false" customHeight="true" outlineLevel="0" collapsed="false">
      <c r="A1375" s="27" t="s">
        <v>2667</v>
      </c>
      <c r="B1375" s="27" t="s">
        <v>2668</v>
      </c>
      <c r="C1375" s="28" t="s">
        <v>41</v>
      </c>
      <c r="D1375" s="27" t="s">
        <v>2400</v>
      </c>
      <c r="E1375" s="27" t="s">
        <v>2662</v>
      </c>
      <c r="F1375" s="29" t="s">
        <v>2663</v>
      </c>
      <c r="G1375" s="30" t="n">
        <v>75017</v>
      </c>
      <c r="H1375" s="31" t="s">
        <v>36</v>
      </c>
      <c r="I1375" s="32" t="n">
        <v>153814196</v>
      </c>
      <c r="J1375" s="33" t="n">
        <v>0</v>
      </c>
      <c r="K1375" s="33" t="n">
        <v>2</v>
      </c>
      <c r="L1375" s="34"/>
      <c r="M1375" s="35"/>
      <c r="N1375" s="35" t="s">
        <v>2664</v>
      </c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9"/>
      <c r="Z1375" s="39"/>
      <c r="AA1375" s="28"/>
      <c r="AMJ1375" s="0"/>
    </row>
    <row r="1376" s="2" customFormat="true" ht="12.75" hidden="false" customHeight="true" outlineLevel="0" collapsed="false">
      <c r="A1376" s="27" t="s">
        <v>2669</v>
      </c>
      <c r="B1376" s="27" t="s">
        <v>2670</v>
      </c>
      <c r="C1376" s="28" t="s">
        <v>41</v>
      </c>
      <c r="D1376" s="27" t="s">
        <v>2400</v>
      </c>
      <c r="E1376" s="27" t="s">
        <v>2662</v>
      </c>
      <c r="F1376" s="29" t="s">
        <v>2663</v>
      </c>
      <c r="G1376" s="30" t="n">
        <v>75017</v>
      </c>
      <c r="H1376" s="31" t="s">
        <v>36</v>
      </c>
      <c r="I1376" s="32" t="n">
        <v>153814196</v>
      </c>
      <c r="J1376" s="33" t="n">
        <v>0</v>
      </c>
      <c r="K1376" s="33" t="n">
        <v>1</v>
      </c>
      <c r="L1376" s="34"/>
      <c r="M1376" s="48"/>
      <c r="N1376" s="35" t="s">
        <v>2664</v>
      </c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9"/>
      <c r="Z1376" s="39"/>
      <c r="AA1376" s="28"/>
      <c r="AMJ1376" s="0"/>
    </row>
    <row r="1377" s="2" customFormat="true" ht="12.75" hidden="false" customHeight="true" outlineLevel="0" collapsed="false">
      <c r="A1377" s="27" t="s">
        <v>2671</v>
      </c>
      <c r="B1377" s="27" t="s">
        <v>133</v>
      </c>
      <c r="C1377" s="28" t="s">
        <v>41</v>
      </c>
      <c r="D1377" s="27" t="s">
        <v>2672</v>
      </c>
      <c r="E1377" s="27"/>
      <c r="F1377" s="29" t="s">
        <v>2673</v>
      </c>
      <c r="G1377" s="30" t="n">
        <v>75017</v>
      </c>
      <c r="H1377" s="31" t="s">
        <v>36</v>
      </c>
      <c r="I1377" s="32" t="n">
        <v>156796727</v>
      </c>
      <c r="J1377" s="33" t="n">
        <v>196</v>
      </c>
      <c r="K1377" s="33" t="n">
        <v>0</v>
      </c>
      <c r="L1377" s="34"/>
      <c r="M1377" s="35"/>
      <c r="N1377" s="36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9"/>
      <c r="Z1377" s="39"/>
      <c r="AA1377" s="28"/>
      <c r="AMJ1377" s="0"/>
    </row>
    <row r="1378" s="2" customFormat="true" ht="12.75" hidden="false" customHeight="true" outlineLevel="0" collapsed="false">
      <c r="A1378" s="27" t="s">
        <v>2674</v>
      </c>
      <c r="B1378" s="27" t="s">
        <v>2675</v>
      </c>
      <c r="C1378" s="28" t="s">
        <v>41</v>
      </c>
      <c r="D1378" s="27" t="s">
        <v>2672</v>
      </c>
      <c r="E1378" s="27"/>
      <c r="F1378" s="29" t="s">
        <v>2673</v>
      </c>
      <c r="G1378" s="30" t="n">
        <v>75017</v>
      </c>
      <c r="H1378" s="31" t="s">
        <v>36</v>
      </c>
      <c r="I1378" s="32" t="n">
        <v>156796727</v>
      </c>
      <c r="J1378" s="33" t="n">
        <v>196</v>
      </c>
      <c r="K1378" s="33"/>
      <c r="L1378" s="34"/>
      <c r="M1378" s="35"/>
      <c r="N1378" s="36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9"/>
      <c r="Z1378" s="39"/>
      <c r="AA1378" s="28"/>
      <c r="AMJ1378" s="0"/>
    </row>
    <row r="1379" s="2" customFormat="true" ht="12.75" hidden="false" customHeight="true" outlineLevel="0" collapsed="false">
      <c r="A1379" s="27" t="s">
        <v>944</v>
      </c>
      <c r="B1379" s="27" t="s">
        <v>590</v>
      </c>
      <c r="C1379" s="28" t="s">
        <v>41</v>
      </c>
      <c r="D1379" s="27" t="s">
        <v>2672</v>
      </c>
      <c r="E1379" s="27"/>
      <c r="F1379" s="29" t="s">
        <v>2673</v>
      </c>
      <c r="G1379" s="30" t="n">
        <v>75017</v>
      </c>
      <c r="H1379" s="31" t="s">
        <v>36</v>
      </c>
      <c r="I1379" s="32" t="n">
        <v>156796727</v>
      </c>
      <c r="J1379" s="33" t="n">
        <v>194</v>
      </c>
      <c r="K1379" s="33" t="n">
        <v>0</v>
      </c>
      <c r="L1379" s="34"/>
      <c r="M1379" s="35"/>
      <c r="N1379" s="36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9"/>
      <c r="Z1379" s="39"/>
      <c r="AA1379" s="28"/>
      <c r="AMJ1379" s="0"/>
    </row>
    <row r="1380" s="2" customFormat="true" ht="12.75" hidden="false" customHeight="true" outlineLevel="0" collapsed="false">
      <c r="A1380" s="27" t="s">
        <v>2676</v>
      </c>
      <c r="B1380" s="27" t="s">
        <v>88</v>
      </c>
      <c r="C1380" s="28" t="s">
        <v>41</v>
      </c>
      <c r="D1380" s="27" t="s">
        <v>2672</v>
      </c>
      <c r="E1380" s="27"/>
      <c r="F1380" s="29" t="s">
        <v>2677</v>
      </c>
      <c r="G1380" s="30" t="n">
        <v>75017</v>
      </c>
      <c r="H1380" s="31" t="s">
        <v>36</v>
      </c>
      <c r="I1380" s="32" t="n">
        <v>142898330</v>
      </c>
      <c r="J1380" s="33" t="n">
        <v>240</v>
      </c>
      <c r="K1380" s="33" t="n">
        <v>5</v>
      </c>
      <c r="L1380" s="34"/>
      <c r="M1380" s="35"/>
      <c r="N1380" s="36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9"/>
      <c r="Z1380" s="39"/>
      <c r="AA1380" s="28"/>
      <c r="AMJ1380" s="0"/>
    </row>
    <row r="1381" s="2" customFormat="true" ht="12.75" hidden="false" customHeight="true" outlineLevel="0" collapsed="false">
      <c r="A1381" s="27" t="s">
        <v>2678</v>
      </c>
      <c r="B1381" s="27" t="s">
        <v>1118</v>
      </c>
      <c r="C1381" s="28" t="s">
        <v>33</v>
      </c>
      <c r="D1381" s="27" t="s">
        <v>2672</v>
      </c>
      <c r="E1381" s="27"/>
      <c r="F1381" s="29" t="s">
        <v>2679</v>
      </c>
      <c r="G1381" s="30" t="n">
        <v>75017</v>
      </c>
      <c r="H1381" s="31" t="s">
        <v>36</v>
      </c>
      <c r="I1381" s="32" t="n">
        <v>145749360</v>
      </c>
      <c r="J1381" s="33" t="n">
        <v>56</v>
      </c>
      <c r="K1381" s="33" t="n">
        <v>0</v>
      </c>
      <c r="L1381" s="34"/>
      <c r="M1381" s="35"/>
      <c r="N1381" s="36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9"/>
      <c r="Z1381" s="39"/>
      <c r="AA1381" s="28"/>
      <c r="AC1381" s="2" t="s">
        <v>38</v>
      </c>
      <c r="AMJ1381" s="0"/>
    </row>
    <row r="1382" s="2" customFormat="true" ht="12.75" hidden="false" customHeight="true" outlineLevel="0" collapsed="false">
      <c r="A1382" s="27" t="s">
        <v>2680</v>
      </c>
      <c r="B1382" s="27" t="s">
        <v>2681</v>
      </c>
      <c r="C1382" s="28" t="s">
        <v>41</v>
      </c>
      <c r="D1382" s="27" t="s">
        <v>2672</v>
      </c>
      <c r="E1382" s="27"/>
      <c r="F1382" s="29" t="s">
        <v>2682</v>
      </c>
      <c r="G1382" s="30" t="n">
        <v>75017</v>
      </c>
      <c r="H1382" s="31" t="s">
        <v>36</v>
      </c>
      <c r="I1382" s="32"/>
      <c r="J1382" s="33" t="n">
        <v>229</v>
      </c>
      <c r="K1382" s="33" t="n">
        <v>1</v>
      </c>
      <c r="L1382" s="34"/>
      <c r="M1382" s="35"/>
      <c r="N1382" s="36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9"/>
      <c r="Z1382" s="39"/>
      <c r="AA1382" s="28"/>
      <c r="AMJ1382" s="0"/>
    </row>
    <row r="1383" s="2" customFormat="true" ht="12.75" hidden="false" customHeight="true" outlineLevel="0" collapsed="false">
      <c r="A1383" s="27" t="s">
        <v>2683</v>
      </c>
      <c r="B1383" s="27" t="s">
        <v>377</v>
      </c>
      <c r="C1383" s="28" t="s">
        <v>33</v>
      </c>
      <c r="D1383" s="27" t="s">
        <v>2672</v>
      </c>
      <c r="E1383" s="27"/>
      <c r="F1383" s="29" t="s">
        <v>2684</v>
      </c>
      <c r="G1383" s="30" t="n">
        <v>75017</v>
      </c>
      <c r="H1383" s="31" t="s">
        <v>36</v>
      </c>
      <c r="I1383" s="32" t="n">
        <v>144097369</v>
      </c>
      <c r="J1383" s="33" t="n">
        <v>58</v>
      </c>
      <c r="K1383" s="33" t="n">
        <v>0</v>
      </c>
      <c r="L1383" s="34"/>
      <c r="M1383" s="35"/>
      <c r="N1383" s="36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9"/>
      <c r="Z1383" s="39"/>
      <c r="AA1383" s="28"/>
      <c r="AC1383" s="2" t="s">
        <v>38</v>
      </c>
      <c r="AMJ1383" s="0"/>
    </row>
    <row r="1384" s="2" customFormat="true" ht="12.75" hidden="false" customHeight="true" outlineLevel="0" collapsed="false">
      <c r="A1384" s="27" t="s">
        <v>2685</v>
      </c>
      <c r="B1384" s="27" t="s">
        <v>2597</v>
      </c>
      <c r="C1384" s="28" t="s">
        <v>41</v>
      </c>
      <c r="D1384" s="27" t="s">
        <v>2672</v>
      </c>
      <c r="E1384" s="27"/>
      <c r="F1384" s="29" t="s">
        <v>2686</v>
      </c>
      <c r="G1384" s="30" t="n">
        <v>75017</v>
      </c>
      <c r="H1384" s="31" t="s">
        <v>36</v>
      </c>
      <c r="I1384" s="32" t="n">
        <v>142255944</v>
      </c>
      <c r="J1384" s="33" t="n">
        <v>235</v>
      </c>
      <c r="K1384" s="33" t="n">
        <v>0</v>
      </c>
      <c r="L1384" s="34"/>
      <c r="M1384" s="35"/>
      <c r="N1384" s="36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9"/>
      <c r="Z1384" s="39"/>
      <c r="AA1384" s="28"/>
      <c r="AMJ1384" s="0"/>
    </row>
    <row r="1385" s="2" customFormat="true" ht="12.75" hidden="false" customHeight="true" outlineLevel="0" collapsed="false">
      <c r="A1385" s="27" t="s">
        <v>2687</v>
      </c>
      <c r="B1385" s="27" t="s">
        <v>2688</v>
      </c>
      <c r="C1385" s="28" t="s">
        <v>41</v>
      </c>
      <c r="D1385" s="27" t="s">
        <v>2672</v>
      </c>
      <c r="E1385" s="27"/>
      <c r="F1385" s="29" t="s">
        <v>2686</v>
      </c>
      <c r="G1385" s="30" t="n">
        <v>75017</v>
      </c>
      <c r="H1385" s="31" t="s">
        <v>36</v>
      </c>
      <c r="I1385" s="32" t="n">
        <v>142255944</v>
      </c>
      <c r="J1385" s="33" t="n">
        <v>214</v>
      </c>
      <c r="K1385" s="33" t="n">
        <v>2</v>
      </c>
      <c r="L1385" s="34"/>
      <c r="M1385" s="35"/>
      <c r="N1385" s="36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9"/>
      <c r="Z1385" s="39"/>
      <c r="AA1385" s="28"/>
      <c r="AMJ1385" s="0"/>
    </row>
    <row r="1386" s="2" customFormat="true" ht="12.75" hidden="false" customHeight="true" outlineLevel="0" collapsed="false">
      <c r="A1386" s="76" t="s">
        <v>2689</v>
      </c>
      <c r="B1386" s="27" t="s">
        <v>2690</v>
      </c>
      <c r="C1386" s="28" t="s">
        <v>41</v>
      </c>
      <c r="D1386" s="27" t="s">
        <v>2672</v>
      </c>
      <c r="E1386" s="27"/>
      <c r="F1386" s="29" t="s">
        <v>2691</v>
      </c>
      <c r="G1386" s="30" t="n">
        <v>75017</v>
      </c>
      <c r="H1386" s="31" t="s">
        <v>36</v>
      </c>
      <c r="I1386" s="32" t="n">
        <v>987156805</v>
      </c>
      <c r="J1386" s="33" t="n">
        <v>212</v>
      </c>
      <c r="K1386" s="33" t="n">
        <v>1</v>
      </c>
      <c r="L1386" s="34"/>
      <c r="M1386" s="35"/>
      <c r="N1386" s="36"/>
      <c r="O1386" s="37"/>
      <c r="P1386" s="37"/>
      <c r="Q1386" s="37"/>
      <c r="R1386" s="37"/>
      <c r="S1386" s="37"/>
      <c r="T1386" s="37"/>
      <c r="U1386" s="37"/>
      <c r="V1386" s="37"/>
      <c r="W1386" s="37"/>
      <c r="X1386" s="37"/>
      <c r="Y1386" s="39"/>
      <c r="Z1386" s="39"/>
      <c r="AA1386" s="28"/>
      <c r="AMJ1386" s="0"/>
    </row>
    <row r="1387" s="2" customFormat="true" ht="12.75" hidden="false" customHeight="true" outlineLevel="0" collapsed="false">
      <c r="A1387" s="27" t="s">
        <v>2692</v>
      </c>
      <c r="B1387" s="27" t="s">
        <v>2693</v>
      </c>
      <c r="C1387" s="28" t="s">
        <v>33</v>
      </c>
      <c r="D1387" s="27" t="s">
        <v>2672</v>
      </c>
      <c r="E1387" s="27"/>
      <c r="F1387" s="29" t="s">
        <v>2694</v>
      </c>
      <c r="G1387" s="30" t="n">
        <v>75017</v>
      </c>
      <c r="H1387" s="31" t="s">
        <v>36</v>
      </c>
      <c r="I1387" s="32" t="n">
        <v>146224792</v>
      </c>
      <c r="J1387" s="33" t="n">
        <v>51</v>
      </c>
      <c r="K1387" s="33" t="n">
        <v>1</v>
      </c>
      <c r="L1387" s="34" t="n">
        <v>1</v>
      </c>
      <c r="M1387" s="35"/>
      <c r="N1387" s="36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39"/>
      <c r="Z1387" s="39"/>
      <c r="AA1387" s="28"/>
      <c r="AC1387" s="2" t="s">
        <v>38</v>
      </c>
      <c r="AMJ1387" s="0"/>
    </row>
    <row r="1388" s="2" customFormat="true" ht="12.75" hidden="false" customHeight="true" outlineLevel="0" collapsed="false">
      <c r="A1388" s="27" t="s">
        <v>150</v>
      </c>
      <c r="B1388" s="27" t="s">
        <v>2695</v>
      </c>
      <c r="C1388" s="28" t="s">
        <v>41</v>
      </c>
      <c r="D1388" s="27" t="s">
        <v>2672</v>
      </c>
      <c r="E1388" s="27"/>
      <c r="F1388" s="29" t="s">
        <v>2696</v>
      </c>
      <c r="G1388" s="30" t="n">
        <v>75017</v>
      </c>
      <c r="H1388" s="31" t="s">
        <v>36</v>
      </c>
      <c r="I1388" s="32" t="n">
        <v>142271000</v>
      </c>
      <c r="J1388" s="33" t="n">
        <v>90</v>
      </c>
      <c r="K1388" s="33" t="n">
        <v>1</v>
      </c>
      <c r="L1388" s="34"/>
      <c r="M1388" s="35"/>
      <c r="N1388" s="36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9"/>
      <c r="Z1388" s="39"/>
      <c r="AA1388" s="28"/>
      <c r="AMJ1388" s="0"/>
    </row>
    <row r="1389" s="2" customFormat="true" ht="12.75" hidden="false" customHeight="true" outlineLevel="0" collapsed="false">
      <c r="A1389" s="27" t="s">
        <v>2697</v>
      </c>
      <c r="B1389" s="27" t="s">
        <v>2698</v>
      </c>
      <c r="C1389" s="28" t="s">
        <v>121</v>
      </c>
      <c r="D1389" s="27" t="s">
        <v>2672</v>
      </c>
      <c r="E1389" s="27"/>
      <c r="F1389" s="29" t="s">
        <v>2699</v>
      </c>
      <c r="G1389" s="30" t="n">
        <v>75017</v>
      </c>
      <c r="H1389" s="31" t="s">
        <v>36</v>
      </c>
      <c r="I1389" s="32" t="n">
        <v>145833648</v>
      </c>
      <c r="J1389" s="33" t="n">
        <v>121</v>
      </c>
      <c r="K1389" s="33" t="n">
        <v>1</v>
      </c>
      <c r="L1389" s="34"/>
      <c r="M1389" s="35"/>
      <c r="N1389" s="36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9"/>
      <c r="Z1389" s="39"/>
      <c r="AA1389" s="28"/>
      <c r="AMJ1389" s="0"/>
    </row>
    <row r="1390" s="2" customFormat="true" ht="12.75" hidden="false" customHeight="true" outlineLevel="0" collapsed="false">
      <c r="A1390" s="27" t="s">
        <v>2700</v>
      </c>
      <c r="B1390" s="27" t="s">
        <v>55</v>
      </c>
      <c r="C1390" s="28" t="s">
        <v>138</v>
      </c>
      <c r="D1390" s="27" t="s">
        <v>2672</v>
      </c>
      <c r="E1390" s="27"/>
      <c r="F1390" s="29" t="s">
        <v>2701</v>
      </c>
      <c r="G1390" s="30" t="n">
        <v>75017</v>
      </c>
      <c r="H1390" s="31" t="s">
        <v>36</v>
      </c>
      <c r="I1390" s="32" t="n">
        <v>143802805</v>
      </c>
      <c r="J1390" s="33" t="n">
        <v>324</v>
      </c>
      <c r="K1390" s="33" t="n">
        <v>1</v>
      </c>
      <c r="L1390" s="34"/>
      <c r="M1390" s="35"/>
      <c r="N1390" s="36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9"/>
      <c r="Z1390" s="39"/>
      <c r="AA1390" s="28"/>
      <c r="AMJ1390" s="0"/>
    </row>
    <row r="1391" s="2" customFormat="true" ht="12.75" hidden="false" customHeight="true" outlineLevel="0" collapsed="false">
      <c r="A1391" s="27" t="s">
        <v>2702</v>
      </c>
      <c r="B1391" s="27" t="s">
        <v>112</v>
      </c>
      <c r="C1391" s="28" t="s">
        <v>121</v>
      </c>
      <c r="D1391" s="27" t="s">
        <v>2672</v>
      </c>
      <c r="E1391" s="27"/>
      <c r="F1391" s="29" t="s">
        <v>2703</v>
      </c>
      <c r="G1391" s="30" t="n">
        <v>75017</v>
      </c>
      <c r="H1391" s="31" t="s">
        <v>36</v>
      </c>
      <c r="I1391" s="32"/>
      <c r="J1391" s="33" t="n">
        <v>139</v>
      </c>
      <c r="K1391" s="33" t="n">
        <v>1</v>
      </c>
      <c r="L1391" s="34"/>
      <c r="M1391" s="35"/>
      <c r="N1391" s="36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9"/>
      <c r="Z1391" s="39"/>
      <c r="AA1391" s="28"/>
      <c r="AMJ1391" s="0"/>
    </row>
    <row r="1392" s="2" customFormat="true" ht="12.75" hidden="false" customHeight="true" outlineLevel="0" collapsed="false">
      <c r="A1392" s="27" t="s">
        <v>2704</v>
      </c>
      <c r="B1392" s="27" t="s">
        <v>417</v>
      </c>
      <c r="C1392" s="28" t="s">
        <v>41</v>
      </c>
      <c r="D1392" s="27" t="s">
        <v>2672</v>
      </c>
      <c r="E1392" s="27"/>
      <c r="F1392" s="29" t="s">
        <v>2705</v>
      </c>
      <c r="G1392" s="30" t="n">
        <v>75017</v>
      </c>
      <c r="H1392" s="31" t="s">
        <v>36</v>
      </c>
      <c r="I1392" s="32" t="n">
        <v>179625646</v>
      </c>
      <c r="J1392" s="33" t="n">
        <v>305</v>
      </c>
      <c r="K1392" s="33" t="n">
        <v>2</v>
      </c>
      <c r="L1392" s="34"/>
      <c r="M1392" s="35"/>
      <c r="N1392" s="36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9"/>
      <c r="Z1392" s="39"/>
      <c r="AA1392" s="28"/>
      <c r="AMJ1392" s="0"/>
    </row>
    <row r="1393" s="2" customFormat="true" ht="12.75" hidden="false" customHeight="true" outlineLevel="0" collapsed="false">
      <c r="A1393" s="27" t="s">
        <v>2706</v>
      </c>
      <c r="B1393" s="27" t="s">
        <v>55</v>
      </c>
      <c r="C1393" s="28" t="s">
        <v>77</v>
      </c>
      <c r="D1393" s="27" t="s">
        <v>2672</v>
      </c>
      <c r="E1393" s="27"/>
      <c r="F1393" s="29" t="s">
        <v>2707</v>
      </c>
      <c r="G1393" s="30" t="n">
        <v>75017</v>
      </c>
      <c r="H1393" s="31" t="s">
        <v>36</v>
      </c>
      <c r="I1393" s="32" t="n">
        <v>143805768</v>
      </c>
      <c r="J1393" s="33" t="n">
        <v>305</v>
      </c>
      <c r="K1393" s="33" t="n">
        <v>0</v>
      </c>
      <c r="L1393" s="34"/>
      <c r="M1393" s="35"/>
      <c r="N1393" s="36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9"/>
      <c r="Z1393" s="39"/>
      <c r="AA1393" s="28"/>
      <c r="AMJ1393" s="0"/>
    </row>
    <row r="1394" s="2" customFormat="true" ht="12.75" hidden="false" customHeight="true" outlineLevel="0" collapsed="false">
      <c r="A1394" s="27" t="s">
        <v>2708</v>
      </c>
      <c r="B1394" s="27" t="s">
        <v>232</v>
      </c>
      <c r="C1394" s="28" t="s">
        <v>41</v>
      </c>
      <c r="D1394" s="27" t="s">
        <v>2672</v>
      </c>
      <c r="E1394" s="27" t="s">
        <v>2709</v>
      </c>
      <c r="F1394" s="29" t="s">
        <v>2710</v>
      </c>
      <c r="G1394" s="30" t="n">
        <v>75017</v>
      </c>
      <c r="H1394" s="31" t="s">
        <v>36</v>
      </c>
      <c r="I1394" s="32" t="n">
        <v>156687030</v>
      </c>
      <c r="J1394" s="33" t="n">
        <v>161</v>
      </c>
      <c r="K1394" s="33" t="n">
        <v>1</v>
      </c>
      <c r="L1394" s="34"/>
      <c r="M1394" s="35"/>
      <c r="N1394" s="36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9"/>
      <c r="Z1394" s="39"/>
      <c r="AA1394" s="28"/>
      <c r="AMJ1394" s="0"/>
    </row>
    <row r="1395" s="2" customFormat="true" ht="12.75" hidden="false" customHeight="true" outlineLevel="0" collapsed="false">
      <c r="A1395" s="27" t="s">
        <v>2711</v>
      </c>
      <c r="B1395" s="27" t="s">
        <v>377</v>
      </c>
      <c r="C1395" s="28" t="s">
        <v>33</v>
      </c>
      <c r="D1395" s="27" t="s">
        <v>2672</v>
      </c>
      <c r="E1395" s="27" t="s">
        <v>2709</v>
      </c>
      <c r="F1395" s="29" t="s">
        <v>2710</v>
      </c>
      <c r="G1395" s="30" t="n">
        <v>75017</v>
      </c>
      <c r="H1395" s="31" t="s">
        <v>36</v>
      </c>
      <c r="I1395" s="32" t="n">
        <v>156687030</v>
      </c>
      <c r="J1395" s="33" t="n">
        <v>55</v>
      </c>
      <c r="K1395" s="33" t="n">
        <v>0</v>
      </c>
      <c r="L1395" s="34"/>
      <c r="M1395" s="35"/>
      <c r="N1395" s="36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9"/>
      <c r="Z1395" s="39"/>
      <c r="AA1395" s="28"/>
      <c r="AC1395" s="2" t="s">
        <v>38</v>
      </c>
      <c r="AMJ1395" s="0"/>
    </row>
    <row r="1396" s="2" customFormat="true" ht="12.75" hidden="false" customHeight="true" outlineLevel="0" collapsed="false">
      <c r="A1396" s="27" t="s">
        <v>2712</v>
      </c>
      <c r="B1396" s="27" t="s">
        <v>2713</v>
      </c>
      <c r="C1396" s="28" t="s">
        <v>33</v>
      </c>
      <c r="D1396" s="27" t="s">
        <v>2672</v>
      </c>
      <c r="E1396" s="27" t="s">
        <v>2709</v>
      </c>
      <c r="F1396" s="29" t="s">
        <v>2710</v>
      </c>
      <c r="G1396" s="30" t="n">
        <v>75017</v>
      </c>
      <c r="H1396" s="31" t="s">
        <v>36</v>
      </c>
      <c r="I1396" s="32" t="n">
        <v>156687013</v>
      </c>
      <c r="J1396" s="33" t="n">
        <v>50</v>
      </c>
      <c r="K1396" s="33" t="n">
        <v>2</v>
      </c>
      <c r="L1396" s="34"/>
      <c r="M1396" s="35"/>
      <c r="N1396" s="36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9"/>
      <c r="Z1396" s="39"/>
      <c r="AA1396" s="28"/>
      <c r="AC1396" s="2" t="s">
        <v>38</v>
      </c>
      <c r="AMJ1396" s="0"/>
    </row>
    <row r="1397" s="2" customFormat="true" ht="12.75" hidden="false" customHeight="true" outlineLevel="0" collapsed="false">
      <c r="A1397" s="27" t="s">
        <v>2714</v>
      </c>
      <c r="B1397" s="27" t="s">
        <v>374</v>
      </c>
      <c r="C1397" s="28" t="s">
        <v>33</v>
      </c>
      <c r="D1397" s="27" t="s">
        <v>2672</v>
      </c>
      <c r="E1397" s="27" t="s">
        <v>2709</v>
      </c>
      <c r="F1397" s="29" t="s">
        <v>2710</v>
      </c>
      <c r="G1397" s="30" t="n">
        <v>75017</v>
      </c>
      <c r="H1397" s="31" t="s">
        <v>36</v>
      </c>
      <c r="I1397" s="32" t="n">
        <v>156687013</v>
      </c>
      <c r="J1397" s="33" t="n">
        <v>42</v>
      </c>
      <c r="K1397" s="33" t="n">
        <v>1</v>
      </c>
      <c r="L1397" s="34"/>
      <c r="M1397" s="35"/>
      <c r="N1397" s="36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9"/>
      <c r="Z1397" s="39"/>
      <c r="AA1397" s="28"/>
      <c r="AC1397" s="2" t="s">
        <v>38</v>
      </c>
      <c r="AMJ1397" s="0"/>
    </row>
    <row r="1398" s="2" customFormat="true" ht="12.75" hidden="false" customHeight="true" outlineLevel="0" collapsed="false">
      <c r="A1398" s="27" t="s">
        <v>2715</v>
      </c>
      <c r="B1398" s="27" t="s">
        <v>116</v>
      </c>
      <c r="C1398" s="28" t="s">
        <v>33</v>
      </c>
      <c r="D1398" s="27" t="s">
        <v>2672</v>
      </c>
      <c r="E1398" s="27" t="s">
        <v>2709</v>
      </c>
      <c r="F1398" s="29" t="s">
        <v>2710</v>
      </c>
      <c r="G1398" s="30" t="n">
        <v>75017</v>
      </c>
      <c r="H1398" s="31" t="s">
        <v>36</v>
      </c>
      <c r="I1398" s="32" t="n">
        <v>156687013</v>
      </c>
      <c r="J1398" s="33" t="n">
        <v>41</v>
      </c>
      <c r="K1398" s="33" t="n">
        <v>1</v>
      </c>
      <c r="L1398" s="34"/>
      <c r="M1398" s="35"/>
      <c r="N1398" s="36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9"/>
      <c r="Z1398" s="39"/>
      <c r="AA1398" s="28"/>
      <c r="AC1398" s="2" t="s">
        <v>38</v>
      </c>
      <c r="AMJ1398" s="0"/>
    </row>
    <row r="1399" s="2" customFormat="true" ht="12.75" hidden="false" customHeight="true" outlineLevel="0" collapsed="false">
      <c r="A1399" s="27" t="s">
        <v>717</v>
      </c>
      <c r="B1399" s="27" t="s">
        <v>2716</v>
      </c>
      <c r="C1399" s="28" t="s">
        <v>33</v>
      </c>
      <c r="D1399" s="27" t="s">
        <v>2672</v>
      </c>
      <c r="E1399" s="27" t="s">
        <v>2709</v>
      </c>
      <c r="F1399" s="29" t="s">
        <v>2710</v>
      </c>
      <c r="G1399" s="30" t="n">
        <v>75017</v>
      </c>
      <c r="H1399" s="31" t="s">
        <v>36</v>
      </c>
      <c r="I1399" s="32" t="n">
        <v>156687030</v>
      </c>
      <c r="J1399" s="33" t="n">
        <v>38</v>
      </c>
      <c r="K1399" s="33" t="n">
        <v>1</v>
      </c>
      <c r="L1399" s="34"/>
      <c r="M1399" s="35"/>
      <c r="N1399" s="36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9"/>
      <c r="Z1399" s="39"/>
      <c r="AA1399" s="28"/>
      <c r="AC1399" s="2" t="s">
        <v>38</v>
      </c>
      <c r="AMJ1399" s="0"/>
    </row>
    <row r="1400" s="2" customFormat="true" ht="12.75" hidden="false" customHeight="true" outlineLevel="0" collapsed="false">
      <c r="A1400" s="27" t="s">
        <v>2717</v>
      </c>
      <c r="B1400" s="27" t="s">
        <v>2718</v>
      </c>
      <c r="C1400" s="28" t="s">
        <v>33</v>
      </c>
      <c r="D1400" s="27" t="s">
        <v>2672</v>
      </c>
      <c r="E1400" s="27" t="s">
        <v>2709</v>
      </c>
      <c r="F1400" s="29" t="s">
        <v>2710</v>
      </c>
      <c r="G1400" s="30" t="n">
        <v>75017</v>
      </c>
      <c r="H1400" s="31" t="s">
        <v>36</v>
      </c>
      <c r="I1400" s="32" t="n">
        <v>156687013</v>
      </c>
      <c r="J1400" s="33" t="n">
        <v>38</v>
      </c>
      <c r="K1400" s="33" t="n">
        <v>2</v>
      </c>
      <c r="L1400" s="34"/>
      <c r="M1400" s="35"/>
      <c r="N1400" s="36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9"/>
      <c r="Z1400" s="39"/>
      <c r="AA1400" s="28"/>
      <c r="AC1400" s="2" t="s">
        <v>38</v>
      </c>
      <c r="AMJ1400" s="0"/>
    </row>
    <row r="1401" s="2" customFormat="true" ht="12.75" hidden="false" customHeight="true" outlineLevel="0" collapsed="false">
      <c r="A1401" s="27" t="s">
        <v>2719</v>
      </c>
      <c r="B1401" s="27" t="s">
        <v>1266</v>
      </c>
      <c r="C1401" s="28" t="s">
        <v>33</v>
      </c>
      <c r="D1401" s="27" t="s">
        <v>2672</v>
      </c>
      <c r="E1401" s="27" t="s">
        <v>2709</v>
      </c>
      <c r="F1401" s="29" t="s">
        <v>2710</v>
      </c>
      <c r="G1401" s="30" t="n">
        <v>75017</v>
      </c>
      <c r="H1401" s="31" t="s">
        <v>36</v>
      </c>
      <c r="I1401" s="32" t="n">
        <v>156687013</v>
      </c>
      <c r="J1401" s="33" t="n">
        <v>38</v>
      </c>
      <c r="K1401" s="33" t="n">
        <v>1</v>
      </c>
      <c r="L1401" s="34"/>
      <c r="M1401" s="35"/>
      <c r="N1401" s="36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9"/>
      <c r="Z1401" s="39"/>
      <c r="AA1401" s="28"/>
      <c r="AC1401" s="2" t="s">
        <v>38</v>
      </c>
      <c r="AMJ1401" s="0"/>
    </row>
    <row r="1402" s="2" customFormat="true" ht="12.75" hidden="false" customHeight="true" outlineLevel="0" collapsed="false">
      <c r="A1402" s="27" t="s">
        <v>2720</v>
      </c>
      <c r="B1402" s="27" t="s">
        <v>106</v>
      </c>
      <c r="C1402" s="28" t="s">
        <v>33</v>
      </c>
      <c r="D1402" s="27" t="s">
        <v>2672</v>
      </c>
      <c r="E1402" s="27" t="s">
        <v>2709</v>
      </c>
      <c r="F1402" s="29" t="s">
        <v>2710</v>
      </c>
      <c r="G1402" s="30" t="n">
        <v>75017</v>
      </c>
      <c r="H1402" s="31" t="s">
        <v>36</v>
      </c>
      <c r="I1402" s="32" t="n">
        <v>156687030</v>
      </c>
      <c r="J1402" s="33" t="n">
        <v>38</v>
      </c>
      <c r="K1402" s="33" t="n">
        <v>1</v>
      </c>
      <c r="L1402" s="34"/>
      <c r="M1402" s="35"/>
      <c r="N1402" s="36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9"/>
      <c r="Z1402" s="39"/>
      <c r="AA1402" s="28"/>
      <c r="AC1402" s="2" t="s">
        <v>38</v>
      </c>
      <c r="AMJ1402" s="0"/>
    </row>
    <row r="1403" s="2" customFormat="true" ht="12.75" hidden="false" customHeight="true" outlineLevel="0" collapsed="false">
      <c r="A1403" s="27" t="s">
        <v>2721</v>
      </c>
      <c r="B1403" s="27" t="s">
        <v>475</v>
      </c>
      <c r="C1403" s="28" t="s">
        <v>33</v>
      </c>
      <c r="D1403" s="27" t="s">
        <v>2672</v>
      </c>
      <c r="E1403" s="27" t="s">
        <v>2709</v>
      </c>
      <c r="F1403" s="29" t="s">
        <v>2710</v>
      </c>
      <c r="G1403" s="30" t="n">
        <v>75017</v>
      </c>
      <c r="H1403" s="31" t="s">
        <v>36</v>
      </c>
      <c r="I1403" s="32" t="n">
        <v>156687030</v>
      </c>
      <c r="J1403" s="33" t="n">
        <v>38</v>
      </c>
      <c r="K1403" s="33" t="n">
        <v>1</v>
      </c>
      <c r="L1403" s="34"/>
      <c r="M1403" s="35"/>
      <c r="N1403" s="36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9"/>
      <c r="Z1403" s="39"/>
      <c r="AA1403" s="28"/>
      <c r="AC1403" s="2" t="s">
        <v>38</v>
      </c>
      <c r="AMJ1403" s="0"/>
    </row>
    <row r="1404" s="2" customFormat="true" ht="12.75" hidden="false" customHeight="true" outlineLevel="0" collapsed="false">
      <c r="A1404" s="27" t="s">
        <v>2722</v>
      </c>
      <c r="B1404" s="27" t="s">
        <v>2590</v>
      </c>
      <c r="C1404" s="28" t="s">
        <v>33</v>
      </c>
      <c r="D1404" s="27" t="s">
        <v>2672</v>
      </c>
      <c r="E1404" s="27" t="s">
        <v>2709</v>
      </c>
      <c r="F1404" s="29" t="s">
        <v>2710</v>
      </c>
      <c r="G1404" s="30" t="n">
        <v>75017</v>
      </c>
      <c r="H1404" s="31" t="s">
        <v>36</v>
      </c>
      <c r="I1404" s="32" t="n">
        <v>156687013</v>
      </c>
      <c r="J1404" s="33" t="n">
        <v>38</v>
      </c>
      <c r="K1404" s="33" t="n">
        <v>1</v>
      </c>
      <c r="L1404" s="34"/>
      <c r="M1404" s="35"/>
      <c r="N1404" s="36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9"/>
      <c r="Z1404" s="39"/>
      <c r="AA1404" s="28"/>
      <c r="AC1404" s="2" t="s">
        <v>38</v>
      </c>
      <c r="AMJ1404" s="0"/>
    </row>
    <row r="1405" s="2" customFormat="true" ht="12.75" hidden="false" customHeight="true" outlineLevel="0" collapsed="false">
      <c r="A1405" s="27" t="s">
        <v>2723</v>
      </c>
      <c r="B1405" s="27" t="s">
        <v>2724</v>
      </c>
      <c r="C1405" s="28" t="s">
        <v>33</v>
      </c>
      <c r="D1405" s="27" t="s">
        <v>2672</v>
      </c>
      <c r="E1405" s="27" t="s">
        <v>2709</v>
      </c>
      <c r="F1405" s="29" t="s">
        <v>2710</v>
      </c>
      <c r="G1405" s="30" t="n">
        <v>75017</v>
      </c>
      <c r="H1405" s="31" t="s">
        <v>36</v>
      </c>
      <c r="I1405" s="32" t="n">
        <v>156687030</v>
      </c>
      <c r="J1405" s="33" t="n">
        <v>0</v>
      </c>
      <c r="K1405" s="33" t="n">
        <v>0</v>
      </c>
      <c r="L1405" s="34"/>
      <c r="M1405" s="35"/>
      <c r="N1405" s="36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9"/>
      <c r="Z1405" s="39"/>
      <c r="AA1405" s="28"/>
      <c r="AC1405" s="2" t="s">
        <v>1484</v>
      </c>
      <c r="AMJ1405" s="0"/>
    </row>
    <row r="1406" s="2" customFormat="true" ht="12.75" hidden="false" customHeight="true" outlineLevel="0" collapsed="false">
      <c r="A1406" s="27" t="s">
        <v>2725</v>
      </c>
      <c r="B1406" s="27" t="s">
        <v>309</v>
      </c>
      <c r="C1406" s="28" t="s">
        <v>178</v>
      </c>
      <c r="D1406" s="27" t="s">
        <v>2672</v>
      </c>
      <c r="E1406" s="27"/>
      <c r="F1406" s="29" t="s">
        <v>2726</v>
      </c>
      <c r="G1406" s="30" t="n">
        <v>75017</v>
      </c>
      <c r="H1406" s="31" t="s">
        <v>36</v>
      </c>
      <c r="I1406" s="32" t="n">
        <v>140088800</v>
      </c>
      <c r="J1406" s="33" t="n">
        <v>181</v>
      </c>
      <c r="K1406" s="33" t="n">
        <v>1</v>
      </c>
      <c r="L1406" s="34"/>
      <c r="M1406" s="35"/>
      <c r="N1406" s="36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9"/>
      <c r="Z1406" s="39"/>
      <c r="AA1406" s="28"/>
      <c r="AMJ1406" s="0"/>
    </row>
    <row r="1407" s="2" customFormat="true" ht="12.75" hidden="false" customHeight="true" outlineLevel="0" collapsed="false">
      <c r="A1407" s="27" t="s">
        <v>2727</v>
      </c>
      <c r="B1407" s="27" t="s">
        <v>229</v>
      </c>
      <c r="C1407" s="28" t="s">
        <v>138</v>
      </c>
      <c r="D1407" s="27" t="s">
        <v>2672</v>
      </c>
      <c r="E1407" s="27"/>
      <c r="F1407" s="29" t="s">
        <v>2726</v>
      </c>
      <c r="G1407" s="30" t="n">
        <v>75017</v>
      </c>
      <c r="H1407" s="31" t="s">
        <v>36</v>
      </c>
      <c r="I1407" s="32" t="n">
        <v>147633794</v>
      </c>
      <c r="J1407" s="33" t="n">
        <v>100</v>
      </c>
      <c r="K1407" s="33" t="n">
        <v>7</v>
      </c>
      <c r="L1407" s="34" t="n">
        <v>3</v>
      </c>
      <c r="M1407" s="35" t="s">
        <v>164</v>
      </c>
      <c r="N1407" s="36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39"/>
      <c r="Z1407" s="39"/>
      <c r="AA1407" s="28" t="n">
        <v>3</v>
      </c>
      <c r="AMJ1407" s="0"/>
    </row>
    <row r="1408" s="2" customFormat="true" ht="12.75" hidden="false" customHeight="true" outlineLevel="0" collapsed="false">
      <c r="A1408" s="27" t="s">
        <v>2728</v>
      </c>
      <c r="B1408" s="27" t="s">
        <v>151</v>
      </c>
      <c r="C1408" s="28" t="s">
        <v>121</v>
      </c>
      <c r="D1408" s="27" t="s">
        <v>2672</v>
      </c>
      <c r="E1408" s="27"/>
      <c r="F1408" s="29" t="s">
        <v>2729</v>
      </c>
      <c r="G1408" s="30" t="n">
        <v>75017</v>
      </c>
      <c r="H1408" s="31" t="s">
        <v>36</v>
      </c>
      <c r="I1408" s="32" t="n">
        <v>143806489</v>
      </c>
      <c r="J1408" s="33" t="n">
        <v>191</v>
      </c>
      <c r="K1408" s="33" t="n">
        <v>9</v>
      </c>
      <c r="L1408" s="34" t="n">
        <v>2</v>
      </c>
      <c r="M1408" s="35" t="s">
        <v>164</v>
      </c>
      <c r="N1408" s="36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39"/>
      <c r="Z1408" s="39"/>
      <c r="AA1408" s="28" t="n">
        <v>3</v>
      </c>
      <c r="AMJ1408" s="0"/>
    </row>
    <row r="1409" s="2" customFormat="true" ht="12.75" hidden="false" customHeight="true" outlineLevel="0" collapsed="false">
      <c r="A1409" s="27" t="s">
        <v>528</v>
      </c>
      <c r="B1409" s="27" t="s">
        <v>2730</v>
      </c>
      <c r="C1409" s="28" t="s">
        <v>33</v>
      </c>
      <c r="D1409" s="27" t="s">
        <v>2672</v>
      </c>
      <c r="E1409" s="27"/>
      <c r="F1409" s="29" t="s">
        <v>2731</v>
      </c>
      <c r="G1409" s="30" t="n">
        <v>75017</v>
      </c>
      <c r="H1409" s="31" t="s">
        <v>36</v>
      </c>
      <c r="I1409" s="32" t="n">
        <v>145743240</v>
      </c>
      <c r="J1409" s="33" t="n">
        <v>62</v>
      </c>
      <c r="K1409" s="33" t="n">
        <v>0</v>
      </c>
      <c r="L1409" s="34"/>
      <c r="M1409" s="35"/>
      <c r="N1409" s="36"/>
      <c r="O1409" s="37"/>
      <c r="P1409" s="37"/>
      <c r="Q1409" s="37"/>
      <c r="R1409" s="37"/>
      <c r="S1409" s="37"/>
      <c r="T1409" s="37"/>
      <c r="U1409" s="37"/>
      <c r="V1409" s="37"/>
      <c r="W1409" s="37"/>
      <c r="X1409" s="37"/>
      <c r="Y1409" s="39"/>
      <c r="Z1409" s="39"/>
      <c r="AA1409" s="28"/>
      <c r="AC1409" s="2" t="s">
        <v>38</v>
      </c>
      <c r="AMJ1409" s="0"/>
    </row>
    <row r="1410" s="2" customFormat="true" ht="12.75" hidden="false" customHeight="true" outlineLevel="0" collapsed="false">
      <c r="A1410" s="27" t="s">
        <v>2732</v>
      </c>
      <c r="B1410" s="27" t="s">
        <v>532</v>
      </c>
      <c r="C1410" s="28" t="s">
        <v>121</v>
      </c>
      <c r="D1410" s="27" t="s">
        <v>2672</v>
      </c>
      <c r="E1410" s="27"/>
      <c r="F1410" s="29" t="s">
        <v>2733</v>
      </c>
      <c r="G1410" s="30" t="n">
        <v>75017</v>
      </c>
      <c r="H1410" s="31" t="s">
        <v>36</v>
      </c>
      <c r="I1410" s="32" t="n">
        <v>153922565</v>
      </c>
      <c r="J1410" s="33" t="n">
        <v>179</v>
      </c>
      <c r="K1410" s="33" t="n">
        <v>8</v>
      </c>
      <c r="L1410" s="34" t="n">
        <v>2</v>
      </c>
      <c r="M1410" s="35" t="s">
        <v>164</v>
      </c>
      <c r="N1410" s="36"/>
      <c r="O1410" s="41"/>
      <c r="P1410" s="41"/>
      <c r="Q1410" s="41"/>
      <c r="R1410" s="41"/>
      <c r="S1410" s="41"/>
      <c r="T1410" s="41"/>
      <c r="U1410" s="41"/>
      <c r="V1410" s="41"/>
      <c r="W1410" s="41"/>
      <c r="X1410" s="41"/>
      <c r="Y1410" s="39"/>
      <c r="Z1410" s="39"/>
      <c r="AA1410" s="28" t="n">
        <v>3</v>
      </c>
      <c r="AMJ1410" s="0"/>
    </row>
    <row r="1411" s="2" customFormat="true" ht="12.75" hidden="false" customHeight="true" outlineLevel="0" collapsed="false">
      <c r="A1411" s="27" t="s">
        <v>2734</v>
      </c>
      <c r="B1411" s="27" t="s">
        <v>88</v>
      </c>
      <c r="C1411" s="28" t="s">
        <v>41</v>
      </c>
      <c r="D1411" s="27" t="s">
        <v>2672</v>
      </c>
      <c r="E1411" s="27"/>
      <c r="F1411" s="29" t="s">
        <v>2735</v>
      </c>
      <c r="G1411" s="30" t="n">
        <v>75017</v>
      </c>
      <c r="H1411" s="31" t="s">
        <v>36</v>
      </c>
      <c r="I1411" s="32"/>
      <c r="J1411" s="33" t="n">
        <v>265</v>
      </c>
      <c r="K1411" s="33" t="n">
        <v>6</v>
      </c>
      <c r="L1411" s="34" t="n">
        <v>3</v>
      </c>
      <c r="M1411" s="35" t="s">
        <v>164</v>
      </c>
      <c r="N1411" s="36"/>
      <c r="O1411" s="41"/>
      <c r="P1411" s="41"/>
      <c r="Q1411" s="41"/>
      <c r="R1411" s="41"/>
      <c r="S1411" s="41"/>
      <c r="T1411" s="41"/>
      <c r="U1411" s="41"/>
      <c r="V1411" s="41"/>
      <c r="W1411" s="41"/>
      <c r="X1411" s="41"/>
      <c r="Y1411" s="39"/>
      <c r="Z1411" s="39"/>
      <c r="AA1411" s="28" t="n">
        <v>3</v>
      </c>
      <c r="AMJ1411" s="0"/>
    </row>
    <row r="1412" s="2" customFormat="true" ht="12.75" hidden="false" customHeight="true" outlineLevel="0" collapsed="false">
      <c r="A1412" s="27" t="s">
        <v>2736</v>
      </c>
      <c r="B1412" s="27" t="s">
        <v>1286</v>
      </c>
      <c r="C1412" s="28" t="s">
        <v>41</v>
      </c>
      <c r="D1412" s="27" t="s">
        <v>2672</v>
      </c>
      <c r="E1412" s="27"/>
      <c r="F1412" s="29" t="s">
        <v>2735</v>
      </c>
      <c r="G1412" s="30" t="n">
        <v>75017</v>
      </c>
      <c r="H1412" s="31" t="s">
        <v>36</v>
      </c>
      <c r="I1412" s="32"/>
      <c r="J1412" s="33" t="n">
        <v>224</v>
      </c>
      <c r="K1412" s="33" t="n">
        <v>1</v>
      </c>
      <c r="L1412" s="34" t="n">
        <v>2</v>
      </c>
      <c r="M1412" s="35" t="s">
        <v>164</v>
      </c>
      <c r="N1412" s="36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39"/>
      <c r="Z1412" s="39"/>
      <c r="AA1412" s="28"/>
      <c r="AMJ1412" s="0"/>
    </row>
    <row r="1413" s="2" customFormat="true" ht="12.75" hidden="false" customHeight="true" outlineLevel="0" collapsed="false">
      <c r="A1413" s="27" t="s">
        <v>2737</v>
      </c>
      <c r="B1413" s="27" t="s">
        <v>669</v>
      </c>
      <c r="C1413" s="28" t="s">
        <v>33</v>
      </c>
      <c r="D1413" s="27" t="s">
        <v>2672</v>
      </c>
      <c r="E1413" s="27"/>
      <c r="F1413" s="29" t="s">
        <v>2738</v>
      </c>
      <c r="G1413" s="30" t="n">
        <v>75017</v>
      </c>
      <c r="H1413" s="31" t="s">
        <v>36</v>
      </c>
      <c r="I1413" s="32"/>
      <c r="J1413" s="33" t="n">
        <v>76</v>
      </c>
      <c r="K1413" s="33" t="n">
        <v>1</v>
      </c>
      <c r="L1413" s="34"/>
      <c r="M1413" s="35"/>
      <c r="N1413" s="36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9"/>
      <c r="Z1413" s="39"/>
      <c r="AA1413" s="28"/>
      <c r="AC1413" s="2" t="s">
        <v>197</v>
      </c>
      <c r="AMJ1413" s="0"/>
    </row>
    <row r="1414" s="2" customFormat="true" ht="12.75" hidden="false" customHeight="true" outlineLevel="0" collapsed="false">
      <c r="A1414" s="27" t="s">
        <v>2739</v>
      </c>
      <c r="B1414" s="27" t="s">
        <v>63</v>
      </c>
      <c r="C1414" s="28" t="s">
        <v>41</v>
      </c>
      <c r="D1414" s="27" t="s">
        <v>2672</v>
      </c>
      <c r="E1414" s="27" t="s">
        <v>2740</v>
      </c>
      <c r="F1414" s="29" t="s">
        <v>2741</v>
      </c>
      <c r="G1414" s="30" t="n">
        <v>75017</v>
      </c>
      <c r="H1414" s="31" t="s">
        <v>36</v>
      </c>
      <c r="I1414" s="32" t="n">
        <v>145783600</v>
      </c>
      <c r="J1414" s="33" t="n">
        <v>400</v>
      </c>
      <c r="K1414" s="33"/>
      <c r="L1414" s="34"/>
      <c r="M1414" s="35"/>
      <c r="N1414" s="36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9"/>
      <c r="Z1414" s="39"/>
      <c r="AA1414" s="28"/>
      <c r="AMJ1414" s="0"/>
    </row>
    <row r="1415" s="2" customFormat="true" ht="12.75" hidden="false" customHeight="true" outlineLevel="0" collapsed="false">
      <c r="A1415" s="27" t="s">
        <v>2742</v>
      </c>
      <c r="B1415" s="27" t="s">
        <v>63</v>
      </c>
      <c r="C1415" s="28" t="s">
        <v>41</v>
      </c>
      <c r="D1415" s="27" t="s">
        <v>2672</v>
      </c>
      <c r="E1415" s="27" t="s">
        <v>2740</v>
      </c>
      <c r="F1415" s="29" t="s">
        <v>2741</v>
      </c>
      <c r="G1415" s="30" t="n">
        <v>75017</v>
      </c>
      <c r="H1415" s="31" t="s">
        <v>36</v>
      </c>
      <c r="I1415" s="32" t="n">
        <v>145783600</v>
      </c>
      <c r="J1415" s="33" t="n">
        <v>400</v>
      </c>
      <c r="K1415" s="33"/>
      <c r="L1415" s="34"/>
      <c r="M1415" s="35"/>
      <c r="N1415" s="36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9"/>
      <c r="Z1415" s="39"/>
      <c r="AA1415" s="28"/>
      <c r="AMJ1415" s="0"/>
    </row>
    <row r="1416" s="2" customFormat="true" ht="12.75" hidden="false" customHeight="true" outlineLevel="0" collapsed="false">
      <c r="A1416" s="27" t="s">
        <v>474</v>
      </c>
      <c r="B1416" s="27" t="s">
        <v>234</v>
      </c>
      <c r="C1416" s="28" t="s">
        <v>41</v>
      </c>
      <c r="D1416" s="27" t="s">
        <v>2672</v>
      </c>
      <c r="E1416" s="27" t="s">
        <v>2740</v>
      </c>
      <c r="F1416" s="29" t="s">
        <v>2741</v>
      </c>
      <c r="G1416" s="30" t="n">
        <v>75017</v>
      </c>
      <c r="H1416" s="31" t="s">
        <v>36</v>
      </c>
      <c r="I1416" s="32" t="n">
        <v>145783600</v>
      </c>
      <c r="J1416" s="33" t="n">
        <v>75</v>
      </c>
      <c r="K1416" s="33" t="n">
        <v>1</v>
      </c>
      <c r="L1416" s="34"/>
      <c r="M1416" s="35"/>
      <c r="N1416" s="36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9"/>
      <c r="Z1416" s="39"/>
      <c r="AA1416" s="28"/>
      <c r="AMJ1416" s="0"/>
    </row>
    <row r="1417" s="2" customFormat="true" ht="12.75" hidden="false" customHeight="true" outlineLevel="0" collapsed="false">
      <c r="A1417" s="27" t="s">
        <v>2743</v>
      </c>
      <c r="B1417" s="27" t="s">
        <v>1685</v>
      </c>
      <c r="C1417" s="28" t="s">
        <v>41</v>
      </c>
      <c r="D1417" s="27" t="s">
        <v>2672</v>
      </c>
      <c r="E1417" s="27" t="s">
        <v>2740</v>
      </c>
      <c r="F1417" s="29" t="s">
        <v>2741</v>
      </c>
      <c r="G1417" s="30" t="n">
        <v>75017</v>
      </c>
      <c r="H1417" s="31" t="s">
        <v>36</v>
      </c>
      <c r="I1417" s="32" t="n">
        <v>145783600</v>
      </c>
      <c r="J1417" s="33" t="n">
        <v>0</v>
      </c>
      <c r="K1417" s="33" t="n">
        <v>1</v>
      </c>
      <c r="L1417" s="34"/>
      <c r="M1417" s="35"/>
      <c r="N1417" s="36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9"/>
      <c r="Z1417" s="39"/>
      <c r="AA1417" s="28"/>
      <c r="AMJ1417" s="0"/>
    </row>
    <row r="1418" s="2" customFormat="true" ht="12.75" hidden="false" customHeight="true" outlineLevel="0" collapsed="false">
      <c r="A1418" s="27" t="s">
        <v>2744</v>
      </c>
      <c r="B1418" s="27" t="s">
        <v>234</v>
      </c>
      <c r="C1418" s="28" t="s">
        <v>41</v>
      </c>
      <c r="D1418" s="27" t="s">
        <v>2672</v>
      </c>
      <c r="E1418" s="27" t="s">
        <v>2740</v>
      </c>
      <c r="F1418" s="29" t="s">
        <v>2741</v>
      </c>
      <c r="G1418" s="30" t="n">
        <v>75017</v>
      </c>
      <c r="H1418" s="31" t="s">
        <v>36</v>
      </c>
      <c r="I1418" s="32" t="n">
        <v>145783600</v>
      </c>
      <c r="J1418" s="33"/>
      <c r="K1418" s="33"/>
      <c r="L1418" s="34"/>
      <c r="M1418" s="35"/>
      <c r="N1418" s="36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9"/>
      <c r="Z1418" s="39"/>
      <c r="AA1418" s="28"/>
      <c r="AMJ1418" s="0"/>
    </row>
    <row r="1419" s="2" customFormat="true" ht="12.75" hidden="false" customHeight="true" outlineLevel="0" collapsed="false">
      <c r="A1419" s="27" t="s">
        <v>2745</v>
      </c>
      <c r="B1419" s="27" t="s">
        <v>2746</v>
      </c>
      <c r="C1419" s="28" t="s">
        <v>33</v>
      </c>
      <c r="D1419" s="27" t="s">
        <v>2672</v>
      </c>
      <c r="E1419" s="27" t="s">
        <v>2740</v>
      </c>
      <c r="F1419" s="29" t="s">
        <v>2741</v>
      </c>
      <c r="G1419" s="30" t="n">
        <v>75017</v>
      </c>
      <c r="H1419" s="31" t="s">
        <v>36</v>
      </c>
      <c r="I1419" s="32" t="n">
        <v>140530572</v>
      </c>
      <c r="J1419" s="33" t="n">
        <v>63</v>
      </c>
      <c r="K1419" s="33" t="n">
        <v>1</v>
      </c>
      <c r="L1419" s="34"/>
      <c r="M1419" s="35"/>
      <c r="N1419" s="36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9"/>
      <c r="Z1419" s="39"/>
      <c r="AA1419" s="28"/>
      <c r="AC1419" s="2" t="s">
        <v>38</v>
      </c>
      <c r="AMJ1419" s="0"/>
    </row>
    <row r="1420" s="2" customFormat="true" ht="12.75" hidden="false" customHeight="true" outlineLevel="0" collapsed="false">
      <c r="A1420" s="27" t="s">
        <v>2747</v>
      </c>
      <c r="B1420" s="27" t="s">
        <v>830</v>
      </c>
      <c r="C1420" s="28" t="s">
        <v>41</v>
      </c>
      <c r="D1420" s="27" t="s">
        <v>2672</v>
      </c>
      <c r="E1420" s="27"/>
      <c r="F1420" s="29" t="s">
        <v>2748</v>
      </c>
      <c r="G1420" s="30" t="n">
        <v>75017</v>
      </c>
      <c r="H1420" s="31" t="s">
        <v>36</v>
      </c>
      <c r="I1420" s="32" t="n">
        <v>158050140</v>
      </c>
      <c r="J1420" s="33" t="n">
        <v>228</v>
      </c>
      <c r="K1420" s="33" t="n">
        <v>0</v>
      </c>
      <c r="L1420" s="34"/>
      <c r="M1420" s="35"/>
      <c r="N1420" s="36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9"/>
      <c r="Z1420" s="39"/>
      <c r="AA1420" s="28"/>
      <c r="AMJ1420" s="0"/>
    </row>
    <row r="1421" s="2" customFormat="true" ht="12.75" hidden="false" customHeight="true" outlineLevel="0" collapsed="false">
      <c r="A1421" s="27" t="s">
        <v>2749</v>
      </c>
      <c r="B1421" s="27" t="s">
        <v>2750</v>
      </c>
      <c r="C1421" s="28" t="s">
        <v>41</v>
      </c>
      <c r="D1421" s="27" t="s">
        <v>2672</v>
      </c>
      <c r="E1421" s="27"/>
      <c r="F1421" s="29" t="s">
        <v>2751</v>
      </c>
      <c r="G1421" s="30" t="n">
        <v>75017</v>
      </c>
      <c r="H1421" s="31" t="s">
        <v>36</v>
      </c>
      <c r="I1421" s="32"/>
      <c r="J1421" s="33" t="n">
        <v>293</v>
      </c>
      <c r="K1421" s="33" t="n">
        <v>1</v>
      </c>
      <c r="L1421" s="34"/>
      <c r="M1421" s="35"/>
      <c r="N1421" s="36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9"/>
      <c r="Z1421" s="39"/>
      <c r="AA1421" s="28"/>
      <c r="AMJ1421" s="0"/>
    </row>
    <row r="1422" s="2" customFormat="true" ht="12.75" hidden="false" customHeight="true" outlineLevel="0" collapsed="false">
      <c r="A1422" s="27" t="s">
        <v>2752</v>
      </c>
      <c r="B1422" s="27" t="s">
        <v>1521</v>
      </c>
      <c r="C1422" s="28" t="s">
        <v>41</v>
      </c>
      <c r="D1422" s="27" t="s">
        <v>2672</v>
      </c>
      <c r="E1422" s="27"/>
      <c r="F1422" s="29" t="s">
        <v>2753</v>
      </c>
      <c r="G1422" s="30" t="n">
        <v>75017</v>
      </c>
      <c r="H1422" s="31" t="s">
        <v>36</v>
      </c>
      <c r="I1422" s="32" t="n">
        <v>143803042</v>
      </c>
      <c r="J1422" s="33" t="n">
        <v>215</v>
      </c>
      <c r="K1422" s="33" t="n">
        <v>1</v>
      </c>
      <c r="L1422" s="34"/>
      <c r="M1422" s="35"/>
      <c r="N1422" s="36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9"/>
      <c r="Z1422" s="39"/>
      <c r="AA1422" s="28"/>
      <c r="AMJ1422" s="0"/>
    </row>
    <row r="1423" s="2" customFormat="true" ht="12.75" hidden="false" customHeight="true" outlineLevel="0" collapsed="false">
      <c r="A1423" s="27" t="s">
        <v>2754</v>
      </c>
      <c r="B1423" s="27" t="s">
        <v>1266</v>
      </c>
      <c r="C1423" s="28" t="s">
        <v>138</v>
      </c>
      <c r="D1423" s="27" t="s">
        <v>2672</v>
      </c>
      <c r="E1423" s="27"/>
      <c r="F1423" s="29" t="s">
        <v>2755</v>
      </c>
      <c r="G1423" s="30" t="n">
        <v>75017</v>
      </c>
      <c r="H1423" s="31" t="s">
        <v>36</v>
      </c>
      <c r="I1423" s="32" t="n">
        <v>145726027</v>
      </c>
      <c r="J1423" s="33" t="n">
        <v>243</v>
      </c>
      <c r="K1423" s="33" t="n">
        <v>1</v>
      </c>
      <c r="L1423" s="34"/>
      <c r="M1423" s="35"/>
      <c r="N1423" s="36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9"/>
      <c r="Z1423" s="39"/>
      <c r="AA1423" s="28"/>
      <c r="AMJ1423" s="0"/>
    </row>
    <row r="1424" s="2" customFormat="true" ht="12.75" hidden="false" customHeight="true" outlineLevel="0" collapsed="false">
      <c r="A1424" s="27" t="s">
        <v>2756</v>
      </c>
      <c r="B1424" s="27" t="s">
        <v>96</v>
      </c>
      <c r="C1424" s="28" t="s">
        <v>41</v>
      </c>
      <c r="D1424" s="27" t="s">
        <v>2672</v>
      </c>
      <c r="E1424" s="27"/>
      <c r="F1424" s="29" t="s">
        <v>2757</v>
      </c>
      <c r="G1424" s="30" t="n">
        <v>75017</v>
      </c>
      <c r="H1424" s="31" t="s">
        <v>36</v>
      </c>
      <c r="I1424" s="32" t="n">
        <v>145745852</v>
      </c>
      <c r="J1424" s="33" t="n">
        <v>213</v>
      </c>
      <c r="K1424" s="33" t="n">
        <v>1</v>
      </c>
      <c r="L1424" s="34"/>
      <c r="M1424" s="35"/>
      <c r="N1424" s="36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9"/>
      <c r="Z1424" s="39"/>
      <c r="AA1424" s="28"/>
      <c r="AMJ1424" s="0"/>
    </row>
    <row r="1425" s="2" customFormat="true" ht="12.75" hidden="false" customHeight="true" outlineLevel="0" collapsed="false">
      <c r="A1425" s="27" t="s">
        <v>2758</v>
      </c>
      <c r="B1425" s="27" t="s">
        <v>870</v>
      </c>
      <c r="C1425" s="28" t="s">
        <v>41</v>
      </c>
      <c r="D1425" s="27" t="s">
        <v>2672</v>
      </c>
      <c r="E1425" s="27"/>
      <c r="F1425" s="29" t="s">
        <v>2757</v>
      </c>
      <c r="G1425" s="30" t="n">
        <v>75017</v>
      </c>
      <c r="H1425" s="31" t="s">
        <v>36</v>
      </c>
      <c r="I1425" s="32" t="n">
        <v>145745852</v>
      </c>
      <c r="J1425" s="33" t="n">
        <v>212</v>
      </c>
      <c r="K1425" s="33" t="n">
        <v>1</v>
      </c>
      <c r="L1425" s="34"/>
      <c r="M1425" s="35"/>
      <c r="N1425" s="36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9"/>
      <c r="Z1425" s="39"/>
      <c r="AA1425" s="28"/>
      <c r="AMJ1425" s="0"/>
    </row>
    <row r="1426" s="2" customFormat="true" ht="12.75" hidden="false" customHeight="true" outlineLevel="0" collapsed="false">
      <c r="A1426" s="27" t="s">
        <v>2759</v>
      </c>
      <c r="B1426" s="27" t="s">
        <v>88</v>
      </c>
      <c r="C1426" s="28" t="s">
        <v>41</v>
      </c>
      <c r="D1426" s="27" t="s">
        <v>2672</v>
      </c>
      <c r="E1426" s="27"/>
      <c r="F1426" s="29" t="s">
        <v>2760</v>
      </c>
      <c r="G1426" s="30" t="n">
        <v>75017</v>
      </c>
      <c r="H1426" s="31" t="s">
        <v>36</v>
      </c>
      <c r="I1426" s="32" t="n">
        <v>145723002</v>
      </c>
      <c r="J1426" s="33" t="n">
        <v>315</v>
      </c>
      <c r="K1426" s="33" t="n">
        <v>39</v>
      </c>
      <c r="L1426" s="34" t="n">
        <v>2</v>
      </c>
      <c r="M1426" s="43" t="s">
        <v>155</v>
      </c>
      <c r="N1426" s="36"/>
      <c r="O1426" s="41"/>
      <c r="P1426" s="41"/>
      <c r="Q1426" s="41"/>
      <c r="R1426" s="41"/>
      <c r="S1426" s="41"/>
      <c r="T1426" s="41"/>
      <c r="U1426" s="41"/>
      <c r="V1426" s="41"/>
      <c r="W1426" s="41"/>
      <c r="X1426" s="41"/>
      <c r="Y1426" s="39" t="n">
        <v>45131.6458333333</v>
      </c>
      <c r="Z1426" s="39" t="n">
        <v>45237.4166666667</v>
      </c>
      <c r="AA1426" s="28" t="n">
        <v>3</v>
      </c>
      <c r="AMJ1426" s="0"/>
    </row>
    <row r="1427" s="2" customFormat="true" ht="12.75" hidden="false" customHeight="true" outlineLevel="0" collapsed="false">
      <c r="A1427" s="27" t="s">
        <v>2761</v>
      </c>
      <c r="B1427" s="27" t="s">
        <v>428</v>
      </c>
      <c r="C1427" s="28" t="s">
        <v>41</v>
      </c>
      <c r="D1427" s="27" t="s">
        <v>2672</v>
      </c>
      <c r="E1427" s="27"/>
      <c r="F1427" s="29" t="s">
        <v>2762</v>
      </c>
      <c r="G1427" s="30" t="n">
        <v>75017</v>
      </c>
      <c r="H1427" s="31" t="s">
        <v>36</v>
      </c>
      <c r="I1427" s="32" t="n">
        <v>147664632</v>
      </c>
      <c r="J1427" s="33" t="n">
        <v>234</v>
      </c>
      <c r="K1427" s="33" t="n">
        <v>0</v>
      </c>
      <c r="L1427" s="34"/>
      <c r="M1427" s="35"/>
      <c r="N1427" s="36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9"/>
      <c r="Z1427" s="39"/>
      <c r="AA1427" s="28"/>
      <c r="AMJ1427" s="0"/>
    </row>
    <row r="1428" s="2" customFormat="true" ht="12.75" hidden="false" customHeight="true" outlineLevel="0" collapsed="false">
      <c r="A1428" s="27" t="s">
        <v>2763</v>
      </c>
      <c r="B1428" s="27" t="s">
        <v>245</v>
      </c>
      <c r="C1428" s="28" t="s">
        <v>41</v>
      </c>
      <c r="D1428" s="27" t="s">
        <v>2672</v>
      </c>
      <c r="E1428" s="27"/>
      <c r="F1428" s="29" t="s">
        <v>2764</v>
      </c>
      <c r="G1428" s="30" t="n">
        <v>75017</v>
      </c>
      <c r="H1428" s="31" t="s">
        <v>36</v>
      </c>
      <c r="I1428" s="32" t="n">
        <v>142675550</v>
      </c>
      <c r="J1428" s="33" t="n">
        <v>357</v>
      </c>
      <c r="K1428" s="33" t="n">
        <v>1</v>
      </c>
      <c r="L1428" s="34"/>
      <c r="M1428" s="35"/>
      <c r="N1428" s="36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9"/>
      <c r="Z1428" s="39"/>
      <c r="AA1428" s="28"/>
      <c r="AMJ1428" s="0"/>
    </row>
    <row r="1429" s="2" customFormat="true" ht="12.75" hidden="false" customHeight="true" outlineLevel="0" collapsed="false">
      <c r="A1429" s="27" t="s">
        <v>2765</v>
      </c>
      <c r="B1429" s="27" t="s">
        <v>1529</v>
      </c>
      <c r="C1429" s="28" t="s">
        <v>33</v>
      </c>
      <c r="D1429" s="27" t="s">
        <v>2672</v>
      </c>
      <c r="E1429" s="27"/>
      <c r="F1429" s="29" t="s">
        <v>2766</v>
      </c>
      <c r="G1429" s="30" t="n">
        <v>75017</v>
      </c>
      <c r="H1429" s="31" t="s">
        <v>36</v>
      </c>
      <c r="I1429" s="32" t="n">
        <v>140687000</v>
      </c>
      <c r="J1429" s="33" t="n">
        <v>400</v>
      </c>
      <c r="K1429" s="33"/>
      <c r="L1429" s="34"/>
      <c r="M1429" s="35"/>
      <c r="N1429" s="36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9"/>
      <c r="Z1429" s="39"/>
      <c r="AA1429" s="28"/>
      <c r="AC1429" s="2" t="s">
        <v>38</v>
      </c>
      <c r="AMJ1429" s="0"/>
    </row>
    <row r="1430" s="2" customFormat="true" ht="12.75" hidden="false" customHeight="true" outlineLevel="0" collapsed="false">
      <c r="A1430" s="27" t="s">
        <v>2767</v>
      </c>
      <c r="B1430" s="27" t="s">
        <v>714</v>
      </c>
      <c r="C1430" s="28" t="s">
        <v>138</v>
      </c>
      <c r="D1430" s="27" t="s">
        <v>2672</v>
      </c>
      <c r="E1430" s="27"/>
      <c r="F1430" s="29" t="s">
        <v>2768</v>
      </c>
      <c r="G1430" s="30" t="n">
        <v>75017</v>
      </c>
      <c r="H1430" s="31" t="s">
        <v>36</v>
      </c>
      <c r="I1430" s="32" t="n">
        <v>143809664</v>
      </c>
      <c r="J1430" s="33" t="n">
        <v>306</v>
      </c>
      <c r="K1430" s="33" t="n">
        <v>3</v>
      </c>
      <c r="L1430" s="34"/>
      <c r="M1430" s="35"/>
      <c r="N1430" s="36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9"/>
      <c r="Z1430" s="39"/>
      <c r="AA1430" s="28"/>
      <c r="AMJ1430" s="0"/>
    </row>
    <row r="1431" s="2" customFormat="true" ht="12.75" hidden="false" customHeight="true" outlineLevel="0" collapsed="false">
      <c r="A1431" s="27" t="s">
        <v>2769</v>
      </c>
      <c r="B1431" s="27" t="s">
        <v>2011</v>
      </c>
      <c r="C1431" s="28" t="s">
        <v>41</v>
      </c>
      <c r="D1431" s="27" t="s">
        <v>2672</v>
      </c>
      <c r="E1431" s="27"/>
      <c r="F1431" s="29" t="s">
        <v>2770</v>
      </c>
      <c r="G1431" s="30" t="n">
        <v>75017</v>
      </c>
      <c r="H1431" s="31" t="s">
        <v>36</v>
      </c>
      <c r="I1431" s="32" t="n">
        <v>145625656</v>
      </c>
      <c r="J1431" s="33" t="n">
        <v>242</v>
      </c>
      <c r="K1431" s="33" t="n">
        <v>6</v>
      </c>
      <c r="L1431" s="34"/>
      <c r="M1431" s="35"/>
      <c r="N1431" s="36"/>
      <c r="O1431" s="37"/>
      <c r="P1431" s="37"/>
      <c r="Q1431" s="37"/>
      <c r="R1431" s="37"/>
      <c r="S1431" s="37"/>
      <c r="T1431" s="37"/>
      <c r="U1431" s="37"/>
      <c r="V1431" s="37"/>
      <c r="W1431" s="37"/>
      <c r="X1431" s="37"/>
      <c r="Y1431" s="39"/>
      <c r="Z1431" s="39"/>
      <c r="AA1431" s="28"/>
      <c r="AMJ1431" s="0"/>
    </row>
    <row r="1432" s="2" customFormat="true" ht="12.75" hidden="false" customHeight="true" outlineLevel="0" collapsed="false">
      <c r="A1432" s="27" t="s">
        <v>2771</v>
      </c>
      <c r="B1432" s="27" t="s">
        <v>332</v>
      </c>
      <c r="C1432" s="28" t="s">
        <v>41</v>
      </c>
      <c r="D1432" s="27" t="s">
        <v>2672</v>
      </c>
      <c r="E1432" s="27"/>
      <c r="F1432" s="29" t="s">
        <v>2770</v>
      </c>
      <c r="G1432" s="30" t="n">
        <v>75017</v>
      </c>
      <c r="H1432" s="31" t="s">
        <v>36</v>
      </c>
      <c r="I1432" s="32" t="n">
        <v>145625656</v>
      </c>
      <c r="J1432" s="33" t="n">
        <v>213</v>
      </c>
      <c r="K1432" s="33" t="n">
        <v>8</v>
      </c>
      <c r="L1432" s="34"/>
      <c r="M1432" s="35"/>
      <c r="N1432" s="36"/>
      <c r="O1432" s="37"/>
      <c r="P1432" s="37"/>
      <c r="Q1432" s="37"/>
      <c r="R1432" s="37"/>
      <c r="S1432" s="37"/>
      <c r="T1432" s="37"/>
      <c r="U1432" s="37"/>
      <c r="V1432" s="37"/>
      <c r="W1432" s="37"/>
      <c r="X1432" s="37"/>
      <c r="Y1432" s="39"/>
      <c r="Z1432" s="39"/>
      <c r="AA1432" s="28"/>
      <c r="AMJ1432" s="0"/>
    </row>
    <row r="1433" s="2" customFormat="true" ht="12.75" hidden="false" customHeight="true" outlineLevel="0" collapsed="false">
      <c r="A1433" s="27" t="s">
        <v>2641</v>
      </c>
      <c r="B1433" s="27" t="s">
        <v>2772</v>
      </c>
      <c r="C1433" s="28" t="s">
        <v>33</v>
      </c>
      <c r="D1433" s="27" t="s">
        <v>2672</v>
      </c>
      <c r="E1433" s="27"/>
      <c r="F1433" s="29" t="s">
        <v>2773</v>
      </c>
      <c r="G1433" s="30" t="n">
        <v>75017</v>
      </c>
      <c r="H1433" s="31" t="s">
        <v>36</v>
      </c>
      <c r="I1433" s="32"/>
      <c r="J1433" s="33" t="n">
        <v>58</v>
      </c>
      <c r="K1433" s="33" t="n">
        <v>1</v>
      </c>
      <c r="L1433" s="34"/>
      <c r="M1433" s="35"/>
      <c r="N1433" s="36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9"/>
      <c r="Z1433" s="39"/>
      <c r="AA1433" s="28"/>
      <c r="AC1433" s="2" t="s">
        <v>38</v>
      </c>
      <c r="AMJ1433" s="0"/>
    </row>
    <row r="1434" s="2" customFormat="true" ht="12.75" hidden="false" customHeight="true" outlineLevel="0" collapsed="false">
      <c r="A1434" s="27" t="s">
        <v>2774</v>
      </c>
      <c r="B1434" s="27" t="s">
        <v>1118</v>
      </c>
      <c r="C1434" s="28" t="s">
        <v>41</v>
      </c>
      <c r="D1434" s="27" t="s">
        <v>2672</v>
      </c>
      <c r="E1434" s="27"/>
      <c r="F1434" s="29" t="s">
        <v>2775</v>
      </c>
      <c r="G1434" s="30" t="n">
        <v>75017</v>
      </c>
      <c r="H1434" s="31" t="s">
        <v>36</v>
      </c>
      <c r="I1434" s="32" t="n">
        <v>188468819</v>
      </c>
      <c r="J1434" s="33" t="n">
        <v>400</v>
      </c>
      <c r="K1434" s="33"/>
      <c r="L1434" s="34"/>
      <c r="M1434" s="35"/>
      <c r="N1434" s="36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9"/>
      <c r="Z1434" s="39"/>
      <c r="AA1434" s="28"/>
      <c r="AMJ1434" s="0"/>
    </row>
    <row r="1435" s="2" customFormat="true" ht="12.75" hidden="false" customHeight="true" outlineLevel="0" collapsed="false">
      <c r="A1435" s="27" t="s">
        <v>2776</v>
      </c>
      <c r="B1435" s="27" t="s">
        <v>669</v>
      </c>
      <c r="C1435" s="28" t="s">
        <v>33</v>
      </c>
      <c r="D1435" s="27" t="s">
        <v>2672</v>
      </c>
      <c r="E1435" s="27"/>
      <c r="F1435" s="29" t="s">
        <v>2777</v>
      </c>
      <c r="G1435" s="30" t="n">
        <v>75017</v>
      </c>
      <c r="H1435" s="31" t="s">
        <v>36</v>
      </c>
      <c r="I1435" s="32" t="n">
        <v>143594663</v>
      </c>
      <c r="J1435" s="33" t="n">
        <v>57</v>
      </c>
      <c r="K1435" s="33" t="n">
        <v>1</v>
      </c>
      <c r="L1435" s="34"/>
      <c r="M1435" s="35"/>
      <c r="N1435" s="36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9"/>
      <c r="Z1435" s="39"/>
      <c r="AA1435" s="28"/>
      <c r="AC1435" s="2" t="s">
        <v>38</v>
      </c>
      <c r="AMJ1435" s="0"/>
    </row>
    <row r="1436" s="2" customFormat="true" ht="12.75" hidden="false" customHeight="true" outlineLevel="0" collapsed="false">
      <c r="A1436" s="27" t="s">
        <v>2778</v>
      </c>
      <c r="B1436" s="27" t="s">
        <v>493</v>
      </c>
      <c r="C1436" s="28" t="s">
        <v>33</v>
      </c>
      <c r="D1436" s="27" t="s">
        <v>2672</v>
      </c>
      <c r="E1436" s="27"/>
      <c r="F1436" s="29" t="s">
        <v>2777</v>
      </c>
      <c r="G1436" s="30" t="n">
        <v>75017</v>
      </c>
      <c r="H1436" s="31" t="s">
        <v>36</v>
      </c>
      <c r="I1436" s="32" t="n">
        <v>143594663</v>
      </c>
      <c r="J1436" s="33" t="n">
        <v>55</v>
      </c>
      <c r="K1436" s="33" t="n">
        <v>0</v>
      </c>
      <c r="L1436" s="34"/>
      <c r="M1436" s="35"/>
      <c r="N1436" s="36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9"/>
      <c r="Z1436" s="39"/>
      <c r="AA1436" s="28"/>
      <c r="AC1436" s="2" t="s">
        <v>38</v>
      </c>
      <c r="AMJ1436" s="0"/>
    </row>
    <row r="1437" s="2" customFormat="true" ht="12.75" hidden="false" customHeight="true" outlineLevel="0" collapsed="false">
      <c r="A1437" s="27" t="s">
        <v>2779</v>
      </c>
      <c r="B1437" s="27" t="s">
        <v>1299</v>
      </c>
      <c r="C1437" s="28" t="s">
        <v>33</v>
      </c>
      <c r="D1437" s="27" t="s">
        <v>2672</v>
      </c>
      <c r="E1437" s="27"/>
      <c r="F1437" s="29" t="s">
        <v>2780</v>
      </c>
      <c r="G1437" s="30" t="n">
        <v>75017</v>
      </c>
      <c r="H1437" s="31" t="s">
        <v>36</v>
      </c>
      <c r="I1437" s="32" t="n">
        <v>142277305</v>
      </c>
      <c r="J1437" s="33" t="n">
        <v>54</v>
      </c>
      <c r="K1437" s="33" t="n">
        <v>0</v>
      </c>
      <c r="L1437" s="34"/>
      <c r="M1437" s="35"/>
      <c r="N1437" s="36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9"/>
      <c r="Z1437" s="39"/>
      <c r="AA1437" s="28"/>
      <c r="AC1437" s="2" t="s">
        <v>38</v>
      </c>
      <c r="AMJ1437" s="0"/>
    </row>
    <row r="1438" s="2" customFormat="true" ht="12.75" hidden="false" customHeight="true" outlineLevel="0" collapsed="false">
      <c r="A1438" s="27" t="s">
        <v>2781</v>
      </c>
      <c r="B1438" s="27" t="s">
        <v>151</v>
      </c>
      <c r="C1438" s="28" t="s">
        <v>77</v>
      </c>
      <c r="D1438" s="27" t="s">
        <v>2672</v>
      </c>
      <c r="E1438" s="27"/>
      <c r="F1438" s="29" t="s">
        <v>2782</v>
      </c>
      <c r="G1438" s="30" t="n">
        <v>75017</v>
      </c>
      <c r="H1438" s="31" t="s">
        <v>36</v>
      </c>
      <c r="I1438" s="32" t="n">
        <v>771216768</v>
      </c>
      <c r="J1438" s="33" t="n">
        <v>109</v>
      </c>
      <c r="K1438" s="33" t="n">
        <v>1</v>
      </c>
      <c r="L1438" s="34"/>
      <c r="M1438" s="35"/>
      <c r="N1438" s="36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9"/>
      <c r="Z1438" s="39"/>
      <c r="AA1438" s="28"/>
      <c r="AMJ1438" s="0"/>
    </row>
    <row r="1439" s="2" customFormat="true" ht="12.75" hidden="false" customHeight="true" outlineLevel="0" collapsed="false">
      <c r="A1439" s="27" t="s">
        <v>2783</v>
      </c>
      <c r="B1439" s="27" t="s">
        <v>598</v>
      </c>
      <c r="C1439" s="28" t="s">
        <v>138</v>
      </c>
      <c r="D1439" s="27" t="s">
        <v>2672</v>
      </c>
      <c r="E1439" s="27"/>
      <c r="F1439" s="29" t="s">
        <v>2784</v>
      </c>
      <c r="G1439" s="30" t="n">
        <v>75017</v>
      </c>
      <c r="H1439" s="31" t="s">
        <v>36</v>
      </c>
      <c r="I1439" s="32"/>
      <c r="J1439" s="33" t="n">
        <v>268</v>
      </c>
      <c r="K1439" s="33" t="n">
        <v>6</v>
      </c>
      <c r="L1439" s="34" t="n">
        <v>2</v>
      </c>
      <c r="M1439" s="35" t="s">
        <v>164</v>
      </c>
      <c r="N1439" s="36"/>
      <c r="O1439" s="41"/>
      <c r="P1439" s="41"/>
      <c r="Q1439" s="41"/>
      <c r="R1439" s="41"/>
      <c r="S1439" s="41"/>
      <c r="T1439" s="41"/>
      <c r="U1439" s="41"/>
      <c r="V1439" s="41"/>
      <c r="W1439" s="41"/>
      <c r="X1439" s="41"/>
      <c r="Y1439" s="39"/>
      <c r="Z1439" s="39"/>
      <c r="AA1439" s="28" t="n">
        <v>3</v>
      </c>
      <c r="AMJ1439" s="0"/>
    </row>
    <row r="1440" s="2" customFormat="true" ht="12.75" hidden="false" customHeight="true" outlineLevel="0" collapsed="false">
      <c r="A1440" s="27" t="s">
        <v>2785</v>
      </c>
      <c r="B1440" s="27" t="s">
        <v>2786</v>
      </c>
      <c r="C1440" s="28" t="s">
        <v>138</v>
      </c>
      <c r="D1440" s="27" t="s">
        <v>2672</v>
      </c>
      <c r="E1440" s="27"/>
      <c r="F1440" s="29" t="s">
        <v>2784</v>
      </c>
      <c r="G1440" s="30" t="n">
        <v>75017</v>
      </c>
      <c r="H1440" s="31" t="s">
        <v>36</v>
      </c>
      <c r="I1440" s="32" t="n">
        <v>145745215</v>
      </c>
      <c r="J1440" s="33" t="n">
        <v>233</v>
      </c>
      <c r="K1440" s="33" t="n">
        <v>1</v>
      </c>
      <c r="L1440" s="34"/>
      <c r="M1440" s="35"/>
      <c r="N1440" s="36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9"/>
      <c r="Z1440" s="39"/>
      <c r="AA1440" s="28"/>
      <c r="AMJ1440" s="0"/>
    </row>
    <row r="1441" s="2" customFormat="true" ht="12.75" hidden="false" customHeight="true" outlineLevel="0" collapsed="false">
      <c r="A1441" s="27" t="s">
        <v>2787</v>
      </c>
      <c r="B1441" s="27" t="s">
        <v>601</v>
      </c>
      <c r="C1441" s="28" t="s">
        <v>33</v>
      </c>
      <c r="D1441" s="27" t="s">
        <v>2672</v>
      </c>
      <c r="E1441" s="27"/>
      <c r="F1441" s="29" t="s">
        <v>2784</v>
      </c>
      <c r="G1441" s="30" t="n">
        <v>75017</v>
      </c>
      <c r="H1441" s="31" t="s">
        <v>36</v>
      </c>
      <c r="I1441" s="32" t="n">
        <v>143223325</v>
      </c>
      <c r="J1441" s="33" t="n">
        <v>51</v>
      </c>
      <c r="K1441" s="33" t="n">
        <v>1</v>
      </c>
      <c r="L1441" s="34"/>
      <c r="M1441" s="35"/>
      <c r="N1441" s="36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9"/>
      <c r="Z1441" s="39"/>
      <c r="AA1441" s="28"/>
      <c r="AC1441" s="2" t="s">
        <v>38</v>
      </c>
      <c r="AMJ1441" s="0"/>
    </row>
    <row r="1442" s="2" customFormat="true" ht="12.75" hidden="false" customHeight="true" outlineLevel="0" collapsed="false">
      <c r="A1442" s="27" t="s">
        <v>2788</v>
      </c>
      <c r="B1442" s="27" t="s">
        <v>2789</v>
      </c>
      <c r="C1442" s="28" t="s">
        <v>138</v>
      </c>
      <c r="D1442" s="27" t="s">
        <v>2672</v>
      </c>
      <c r="E1442" s="27"/>
      <c r="F1442" s="29" t="s">
        <v>2790</v>
      </c>
      <c r="G1442" s="30" t="n">
        <v>75017</v>
      </c>
      <c r="H1442" s="31" t="s">
        <v>36</v>
      </c>
      <c r="I1442" s="32" t="n">
        <v>147041411</v>
      </c>
      <c r="J1442" s="33" t="n">
        <v>148</v>
      </c>
      <c r="K1442" s="33" t="n">
        <v>2</v>
      </c>
      <c r="L1442" s="34"/>
      <c r="M1442" s="35"/>
      <c r="N1442" s="36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9"/>
      <c r="Z1442" s="39"/>
      <c r="AA1442" s="28"/>
      <c r="AMJ1442" s="0"/>
    </row>
    <row r="1443" s="2" customFormat="true" ht="12.75" hidden="false" customHeight="true" outlineLevel="0" collapsed="false">
      <c r="A1443" s="27" t="s">
        <v>2791</v>
      </c>
      <c r="B1443" s="27" t="s">
        <v>63</v>
      </c>
      <c r="C1443" s="28" t="s">
        <v>138</v>
      </c>
      <c r="D1443" s="27" t="s">
        <v>2672</v>
      </c>
      <c r="E1443" s="27"/>
      <c r="F1443" s="29" t="s">
        <v>2792</v>
      </c>
      <c r="G1443" s="30" t="n">
        <v>75017</v>
      </c>
      <c r="H1443" s="31" t="s">
        <v>36</v>
      </c>
      <c r="I1443" s="32" t="n">
        <v>147205961</v>
      </c>
      <c r="J1443" s="33" t="n">
        <v>97</v>
      </c>
      <c r="K1443" s="33" t="n">
        <v>2</v>
      </c>
      <c r="L1443" s="34" t="n">
        <v>1</v>
      </c>
      <c r="M1443" s="35" t="s">
        <v>164</v>
      </c>
      <c r="N1443" s="36"/>
      <c r="O1443" s="41"/>
      <c r="P1443" s="41"/>
      <c r="Q1443" s="41"/>
      <c r="R1443" s="41"/>
      <c r="S1443" s="41"/>
      <c r="T1443" s="41"/>
      <c r="U1443" s="41"/>
      <c r="V1443" s="41"/>
      <c r="W1443" s="41"/>
      <c r="X1443" s="41"/>
      <c r="Y1443" s="39"/>
      <c r="Z1443" s="39"/>
      <c r="AA1443" s="28" t="n">
        <v>3</v>
      </c>
      <c r="AMJ1443" s="0"/>
    </row>
    <row r="1444" s="2" customFormat="true" ht="12.75" hidden="false" customHeight="true" outlineLevel="0" collapsed="false">
      <c r="A1444" s="27" t="s">
        <v>2793</v>
      </c>
      <c r="B1444" s="27" t="s">
        <v>1258</v>
      </c>
      <c r="C1444" s="28" t="s">
        <v>41</v>
      </c>
      <c r="D1444" s="27" t="s">
        <v>2672</v>
      </c>
      <c r="E1444" s="27"/>
      <c r="F1444" s="29" t="s">
        <v>2792</v>
      </c>
      <c r="G1444" s="30" t="n">
        <v>75017</v>
      </c>
      <c r="H1444" s="31" t="s">
        <v>36</v>
      </c>
      <c r="I1444" s="32"/>
      <c r="J1444" s="33" t="n">
        <v>263</v>
      </c>
      <c r="K1444" s="33" t="n">
        <v>1</v>
      </c>
      <c r="L1444" s="34"/>
      <c r="M1444" s="35"/>
      <c r="N1444" s="36"/>
      <c r="O1444" s="37"/>
      <c r="P1444" s="37"/>
      <c r="Q1444" s="37"/>
      <c r="R1444" s="37"/>
      <c r="S1444" s="37"/>
      <c r="T1444" s="37"/>
      <c r="U1444" s="37"/>
      <c r="V1444" s="37"/>
      <c r="W1444" s="37"/>
      <c r="X1444" s="37"/>
      <c r="Y1444" s="39"/>
      <c r="Z1444" s="39"/>
      <c r="AA1444" s="28"/>
      <c r="AMJ1444" s="0"/>
    </row>
    <row r="1445" s="2" customFormat="true" ht="12.75" hidden="false" customHeight="true" outlineLevel="0" collapsed="false">
      <c r="A1445" s="27" t="s">
        <v>2794</v>
      </c>
      <c r="B1445" s="27" t="s">
        <v>1118</v>
      </c>
      <c r="C1445" s="28" t="s">
        <v>41</v>
      </c>
      <c r="D1445" s="27" t="s">
        <v>2672</v>
      </c>
      <c r="E1445" s="27"/>
      <c r="F1445" s="29" t="s">
        <v>2795</v>
      </c>
      <c r="G1445" s="30" t="n">
        <v>75017</v>
      </c>
      <c r="H1445" s="31" t="s">
        <v>36</v>
      </c>
      <c r="I1445" s="32" t="n">
        <v>144099090</v>
      </c>
      <c r="J1445" s="33" t="n">
        <v>243</v>
      </c>
      <c r="K1445" s="33" t="n">
        <v>1</v>
      </c>
      <c r="L1445" s="34"/>
      <c r="M1445" s="35"/>
      <c r="N1445" s="36"/>
      <c r="O1445" s="37"/>
      <c r="P1445" s="37"/>
      <c r="Q1445" s="37"/>
      <c r="R1445" s="37"/>
      <c r="S1445" s="37"/>
      <c r="T1445" s="37"/>
      <c r="U1445" s="37"/>
      <c r="V1445" s="37"/>
      <c r="W1445" s="37"/>
      <c r="X1445" s="37"/>
      <c r="Y1445" s="39"/>
      <c r="Z1445" s="39"/>
      <c r="AA1445" s="28"/>
      <c r="AMJ1445" s="0"/>
    </row>
    <row r="1446" s="2" customFormat="true" ht="12.75" hidden="false" customHeight="true" outlineLevel="0" collapsed="false">
      <c r="A1446" s="27" t="s">
        <v>2796</v>
      </c>
      <c r="B1446" s="27" t="s">
        <v>2797</v>
      </c>
      <c r="C1446" s="28" t="s">
        <v>41</v>
      </c>
      <c r="D1446" s="27" t="s">
        <v>2672</v>
      </c>
      <c r="E1446" s="27"/>
      <c r="F1446" s="29" t="s">
        <v>2798</v>
      </c>
      <c r="G1446" s="30" t="n">
        <v>75017</v>
      </c>
      <c r="H1446" s="31" t="s">
        <v>36</v>
      </c>
      <c r="I1446" s="32" t="n">
        <v>143807105</v>
      </c>
      <c r="J1446" s="33" t="n">
        <v>436</v>
      </c>
      <c r="K1446" s="33" t="n">
        <v>10</v>
      </c>
      <c r="L1446" s="34"/>
      <c r="M1446" s="35" t="s">
        <v>164</v>
      </c>
      <c r="N1446" s="36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9"/>
      <c r="Z1446" s="39"/>
      <c r="AA1446" s="28"/>
      <c r="AMJ1446" s="0"/>
    </row>
    <row r="1447" s="2" customFormat="true" ht="12.75" hidden="false" customHeight="true" outlineLevel="0" collapsed="false">
      <c r="A1447" s="27" t="s">
        <v>2799</v>
      </c>
      <c r="B1447" s="27" t="s">
        <v>1118</v>
      </c>
      <c r="C1447" s="28" t="s">
        <v>41</v>
      </c>
      <c r="D1447" s="27" t="s">
        <v>2672</v>
      </c>
      <c r="E1447" s="27"/>
      <c r="F1447" s="29" t="s">
        <v>2800</v>
      </c>
      <c r="G1447" s="30" t="n">
        <v>75017</v>
      </c>
      <c r="H1447" s="31" t="s">
        <v>36</v>
      </c>
      <c r="I1447" s="32" t="n">
        <v>145720903</v>
      </c>
      <c r="J1447" s="33" t="n">
        <v>216</v>
      </c>
      <c r="K1447" s="33" t="n">
        <v>1</v>
      </c>
      <c r="L1447" s="34"/>
      <c r="M1447" s="35"/>
      <c r="N1447" s="36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9"/>
      <c r="Z1447" s="39"/>
      <c r="AA1447" s="28"/>
      <c r="AMJ1447" s="0"/>
    </row>
    <row r="1448" s="2" customFormat="true" ht="12.75" hidden="false" customHeight="true" outlineLevel="0" collapsed="false">
      <c r="A1448" s="27" t="s">
        <v>1257</v>
      </c>
      <c r="B1448" s="27" t="s">
        <v>157</v>
      </c>
      <c r="C1448" s="28" t="s">
        <v>41</v>
      </c>
      <c r="D1448" s="27" t="s">
        <v>2672</v>
      </c>
      <c r="E1448" s="27"/>
      <c r="F1448" s="29" t="s">
        <v>2801</v>
      </c>
      <c r="G1448" s="30" t="n">
        <v>75017</v>
      </c>
      <c r="H1448" s="31" t="s">
        <v>36</v>
      </c>
      <c r="I1448" s="32" t="n">
        <v>143808353</v>
      </c>
      <c r="J1448" s="33" t="n">
        <v>254</v>
      </c>
      <c r="K1448" s="33" t="n">
        <v>11</v>
      </c>
      <c r="L1448" s="34"/>
      <c r="M1448" s="35" t="s">
        <v>164</v>
      </c>
      <c r="N1448" s="36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9"/>
      <c r="Z1448" s="39"/>
      <c r="AA1448" s="28"/>
      <c r="AMJ1448" s="0"/>
    </row>
    <row r="1449" s="2" customFormat="true" ht="12.75" hidden="false" customHeight="true" outlineLevel="0" collapsed="false">
      <c r="A1449" s="27" t="s">
        <v>2802</v>
      </c>
      <c r="B1449" s="27" t="s">
        <v>2803</v>
      </c>
      <c r="C1449" s="28" t="s">
        <v>33</v>
      </c>
      <c r="D1449" s="27" t="s">
        <v>2672</v>
      </c>
      <c r="E1449" s="27"/>
      <c r="F1449" s="29" t="s">
        <v>2804</v>
      </c>
      <c r="G1449" s="30" t="n">
        <v>75017</v>
      </c>
      <c r="H1449" s="31" t="s">
        <v>36</v>
      </c>
      <c r="I1449" s="32" t="n">
        <v>146222613</v>
      </c>
      <c r="J1449" s="33" t="n">
        <v>52</v>
      </c>
      <c r="K1449" s="33" t="n">
        <v>1</v>
      </c>
      <c r="L1449" s="34"/>
      <c r="M1449" s="35"/>
      <c r="N1449" s="36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9"/>
      <c r="Z1449" s="39"/>
      <c r="AA1449" s="28"/>
      <c r="AC1449" s="2" t="s">
        <v>38</v>
      </c>
      <c r="AMJ1449" s="0"/>
    </row>
    <row r="1450" s="2" customFormat="true" ht="12.75" hidden="false" customHeight="true" outlineLevel="0" collapsed="false">
      <c r="A1450" s="27" t="s">
        <v>2805</v>
      </c>
      <c r="B1450" s="27" t="s">
        <v>435</v>
      </c>
      <c r="C1450" s="28" t="s">
        <v>41</v>
      </c>
      <c r="D1450" s="27" t="s">
        <v>2672</v>
      </c>
      <c r="E1450" s="27"/>
      <c r="F1450" s="29" t="s">
        <v>2806</v>
      </c>
      <c r="G1450" s="30" t="n">
        <v>75017</v>
      </c>
      <c r="H1450" s="31" t="s">
        <v>36</v>
      </c>
      <c r="I1450" s="32" t="n">
        <v>140053246</v>
      </c>
      <c r="J1450" s="33" t="n">
        <v>218</v>
      </c>
      <c r="K1450" s="33" t="n">
        <v>1</v>
      </c>
      <c r="L1450" s="34"/>
      <c r="M1450" s="35"/>
      <c r="N1450" s="36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9"/>
      <c r="Z1450" s="39"/>
      <c r="AA1450" s="28"/>
      <c r="AMJ1450" s="0"/>
    </row>
    <row r="1451" s="2" customFormat="true" ht="12.75" hidden="false" customHeight="true" outlineLevel="0" collapsed="false">
      <c r="A1451" s="27" t="s">
        <v>682</v>
      </c>
      <c r="B1451" s="27" t="s">
        <v>1521</v>
      </c>
      <c r="C1451" s="28" t="s">
        <v>138</v>
      </c>
      <c r="D1451" s="27" t="s">
        <v>2672</v>
      </c>
      <c r="E1451" s="27"/>
      <c r="F1451" s="29" t="s">
        <v>2807</v>
      </c>
      <c r="G1451" s="30" t="n">
        <v>75017</v>
      </c>
      <c r="H1451" s="31" t="s">
        <v>36</v>
      </c>
      <c r="I1451" s="32" t="n">
        <v>142276870</v>
      </c>
      <c r="J1451" s="33" t="n">
        <v>125</v>
      </c>
      <c r="K1451" s="33" t="n">
        <v>1</v>
      </c>
      <c r="L1451" s="34"/>
      <c r="M1451" s="35"/>
      <c r="N1451" s="36" t="s">
        <v>2594</v>
      </c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9"/>
      <c r="Z1451" s="39"/>
      <c r="AA1451" s="28"/>
      <c r="AMJ1451" s="0"/>
    </row>
    <row r="1452" s="2" customFormat="true" ht="12.75" hidden="false" customHeight="true" outlineLevel="0" collapsed="false">
      <c r="A1452" s="27" t="s">
        <v>2808</v>
      </c>
      <c r="B1452" s="27" t="s">
        <v>2809</v>
      </c>
      <c r="C1452" s="28" t="s">
        <v>41</v>
      </c>
      <c r="D1452" s="27" t="s">
        <v>2672</v>
      </c>
      <c r="E1452" s="27"/>
      <c r="F1452" s="29" t="s">
        <v>2810</v>
      </c>
      <c r="G1452" s="30" t="n">
        <v>75017</v>
      </c>
      <c r="H1452" s="31" t="s">
        <v>36</v>
      </c>
      <c r="I1452" s="32" t="n">
        <v>142273868</v>
      </c>
      <c r="J1452" s="33" t="n">
        <v>150</v>
      </c>
      <c r="K1452" s="33" t="n">
        <v>5</v>
      </c>
      <c r="L1452" s="34" t="n">
        <v>2</v>
      </c>
      <c r="M1452" s="35" t="s">
        <v>164</v>
      </c>
      <c r="N1452" s="36"/>
      <c r="O1452" s="41"/>
      <c r="P1452" s="41"/>
      <c r="Q1452" s="41"/>
      <c r="R1452" s="41"/>
      <c r="S1452" s="41"/>
      <c r="T1452" s="41"/>
      <c r="U1452" s="41"/>
      <c r="V1452" s="41"/>
      <c r="W1452" s="41"/>
      <c r="X1452" s="41"/>
      <c r="Y1452" s="39"/>
      <c r="Z1452" s="39"/>
      <c r="AA1452" s="28"/>
      <c r="AMJ1452" s="0"/>
    </row>
    <row r="1453" s="2" customFormat="true" ht="12.75" hidden="false" customHeight="true" outlineLevel="0" collapsed="false">
      <c r="A1453" s="27" t="s">
        <v>2811</v>
      </c>
      <c r="B1453" s="27" t="s">
        <v>344</v>
      </c>
      <c r="C1453" s="28" t="s">
        <v>208</v>
      </c>
      <c r="D1453" s="27" t="s">
        <v>2672</v>
      </c>
      <c r="E1453" s="27"/>
      <c r="F1453" s="29" t="s">
        <v>2810</v>
      </c>
      <c r="G1453" s="30" t="n">
        <v>75017</v>
      </c>
      <c r="H1453" s="31" t="s">
        <v>36</v>
      </c>
      <c r="I1453" s="32" t="n">
        <v>142273868</v>
      </c>
      <c r="J1453" s="33" t="n">
        <v>197</v>
      </c>
      <c r="K1453" s="33" t="n">
        <v>8</v>
      </c>
      <c r="L1453" s="34" t="n">
        <v>1</v>
      </c>
      <c r="M1453" s="35" t="s">
        <v>164</v>
      </c>
      <c r="N1453" s="36"/>
      <c r="O1453" s="41"/>
      <c r="P1453" s="41"/>
      <c r="Q1453" s="41"/>
      <c r="R1453" s="41"/>
      <c r="S1453" s="41"/>
      <c r="T1453" s="41"/>
      <c r="U1453" s="41"/>
      <c r="V1453" s="41"/>
      <c r="W1453" s="41"/>
      <c r="X1453" s="41"/>
      <c r="Y1453" s="39"/>
      <c r="Z1453" s="39"/>
      <c r="AA1453" s="28" t="n">
        <v>3</v>
      </c>
      <c r="AMJ1453" s="0"/>
    </row>
    <row r="1454" s="2" customFormat="true" ht="12.75" hidden="false" customHeight="true" outlineLevel="0" collapsed="false">
      <c r="A1454" s="27" t="s">
        <v>2812</v>
      </c>
      <c r="B1454" s="27" t="s">
        <v>490</v>
      </c>
      <c r="C1454" s="28" t="s">
        <v>121</v>
      </c>
      <c r="D1454" s="27" t="s">
        <v>2672</v>
      </c>
      <c r="E1454" s="27"/>
      <c r="F1454" s="29" t="s">
        <v>2813</v>
      </c>
      <c r="G1454" s="30" t="n">
        <v>75017</v>
      </c>
      <c r="H1454" s="31" t="s">
        <v>36</v>
      </c>
      <c r="I1454" s="32" t="n">
        <v>145744595</v>
      </c>
      <c r="J1454" s="33" t="n">
        <v>105</v>
      </c>
      <c r="K1454" s="33" t="n">
        <v>1</v>
      </c>
      <c r="L1454" s="34"/>
      <c r="M1454" s="35"/>
      <c r="N1454" s="36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9"/>
      <c r="Z1454" s="39"/>
      <c r="AA1454" s="28"/>
      <c r="AMJ1454" s="0"/>
    </row>
    <row r="1455" s="2" customFormat="true" ht="12.75" hidden="false" customHeight="true" outlineLevel="0" collapsed="false">
      <c r="A1455" s="27" t="s">
        <v>2814</v>
      </c>
      <c r="B1455" s="27" t="s">
        <v>2815</v>
      </c>
      <c r="C1455" s="28" t="s">
        <v>138</v>
      </c>
      <c r="D1455" s="27" t="s">
        <v>2672</v>
      </c>
      <c r="E1455" s="27"/>
      <c r="F1455" s="29" t="s">
        <v>2816</v>
      </c>
      <c r="G1455" s="30" t="n">
        <v>75017</v>
      </c>
      <c r="H1455" s="31" t="s">
        <v>36</v>
      </c>
      <c r="I1455" s="32" t="n">
        <v>145610595</v>
      </c>
      <c r="J1455" s="33" t="n">
        <v>67</v>
      </c>
      <c r="K1455" s="33" t="n">
        <v>1</v>
      </c>
      <c r="L1455" s="34"/>
      <c r="M1455" s="35"/>
      <c r="N1455" s="36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9"/>
      <c r="Z1455" s="39"/>
      <c r="AA1455" s="28"/>
      <c r="AMJ1455" s="0"/>
    </row>
    <row r="1456" s="2" customFormat="true" ht="12.75" hidden="false" customHeight="true" outlineLevel="0" collapsed="false">
      <c r="A1456" s="27" t="s">
        <v>2817</v>
      </c>
      <c r="B1456" s="27" t="s">
        <v>2818</v>
      </c>
      <c r="C1456" s="28" t="s">
        <v>41</v>
      </c>
      <c r="D1456" s="27" t="s">
        <v>2672</v>
      </c>
      <c r="E1456" s="27"/>
      <c r="F1456" s="29" t="s">
        <v>2816</v>
      </c>
      <c r="G1456" s="30" t="n">
        <v>75017</v>
      </c>
      <c r="H1456" s="31" t="s">
        <v>36</v>
      </c>
      <c r="I1456" s="32" t="n">
        <v>143591907</v>
      </c>
      <c r="J1456" s="33" t="n">
        <v>178</v>
      </c>
      <c r="K1456" s="33" t="n">
        <v>1</v>
      </c>
      <c r="L1456" s="34"/>
      <c r="M1456" s="35"/>
      <c r="N1456" s="36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9"/>
      <c r="Z1456" s="39"/>
      <c r="AA1456" s="28"/>
      <c r="AMJ1456" s="0"/>
    </row>
    <row r="1457" s="2" customFormat="true" ht="12.75" hidden="false" customHeight="true" outlineLevel="0" collapsed="false">
      <c r="A1457" s="27" t="s">
        <v>2819</v>
      </c>
      <c r="B1457" s="27" t="s">
        <v>2366</v>
      </c>
      <c r="C1457" s="28" t="s">
        <v>33</v>
      </c>
      <c r="D1457" s="27" t="s">
        <v>2672</v>
      </c>
      <c r="E1457" s="27"/>
      <c r="F1457" s="29" t="s">
        <v>2816</v>
      </c>
      <c r="G1457" s="30" t="n">
        <v>75017</v>
      </c>
      <c r="H1457" s="31" t="s">
        <v>36</v>
      </c>
      <c r="I1457" s="32" t="n">
        <v>143592928</v>
      </c>
      <c r="J1457" s="33" t="n">
        <v>61</v>
      </c>
      <c r="K1457" s="33" t="n">
        <v>1</v>
      </c>
      <c r="L1457" s="34"/>
      <c r="M1457" s="35"/>
      <c r="N1457" s="36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9"/>
      <c r="Z1457" s="39"/>
      <c r="AA1457" s="28"/>
      <c r="AC1457" s="2" t="s">
        <v>38</v>
      </c>
      <c r="AMJ1457" s="0"/>
    </row>
    <row r="1458" s="2" customFormat="true" ht="12.75" hidden="false" customHeight="true" outlineLevel="0" collapsed="false">
      <c r="A1458" s="27" t="s">
        <v>2820</v>
      </c>
      <c r="B1458" s="27" t="s">
        <v>1297</v>
      </c>
      <c r="C1458" s="28" t="s">
        <v>33</v>
      </c>
      <c r="D1458" s="27" t="s">
        <v>2672</v>
      </c>
      <c r="E1458" s="27"/>
      <c r="F1458" s="29" t="s">
        <v>2816</v>
      </c>
      <c r="G1458" s="30" t="n">
        <v>75017</v>
      </c>
      <c r="H1458" s="31" t="s">
        <v>36</v>
      </c>
      <c r="I1458" s="32" t="n">
        <v>142890404</v>
      </c>
      <c r="J1458" s="33" t="n">
        <v>51</v>
      </c>
      <c r="K1458" s="33" t="n">
        <v>2</v>
      </c>
      <c r="L1458" s="34"/>
      <c r="M1458" s="35"/>
      <c r="N1458" s="36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9"/>
      <c r="Z1458" s="39"/>
      <c r="AA1458" s="28"/>
      <c r="AC1458" s="2" t="s">
        <v>416</v>
      </c>
      <c r="AD1458" s="2" t="s">
        <v>109</v>
      </c>
      <c r="AE1458" s="2" t="s">
        <v>110</v>
      </c>
      <c r="AMJ1458" s="0"/>
    </row>
    <row r="1459" s="2" customFormat="true" ht="12.75" hidden="false" customHeight="true" outlineLevel="0" collapsed="false">
      <c r="A1459" s="27" t="s">
        <v>2821</v>
      </c>
      <c r="B1459" s="27" t="s">
        <v>691</v>
      </c>
      <c r="C1459" s="28" t="s">
        <v>77</v>
      </c>
      <c r="D1459" s="27" t="s">
        <v>2672</v>
      </c>
      <c r="E1459" s="27"/>
      <c r="F1459" s="29" t="s">
        <v>2822</v>
      </c>
      <c r="G1459" s="30" t="n">
        <v>75017</v>
      </c>
      <c r="H1459" s="31" t="s">
        <v>36</v>
      </c>
      <c r="I1459" s="32" t="n">
        <v>147640089</v>
      </c>
      <c r="J1459" s="33" t="n">
        <v>240</v>
      </c>
      <c r="K1459" s="33" t="n">
        <v>1</v>
      </c>
      <c r="L1459" s="34"/>
      <c r="M1459" s="35"/>
      <c r="N1459" s="36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9"/>
      <c r="Z1459" s="39"/>
      <c r="AA1459" s="28"/>
      <c r="AMJ1459" s="0"/>
    </row>
    <row r="1460" s="2" customFormat="true" ht="12.75" hidden="false" customHeight="true" outlineLevel="0" collapsed="false">
      <c r="A1460" s="27" t="s">
        <v>2823</v>
      </c>
      <c r="B1460" s="27" t="s">
        <v>1949</v>
      </c>
      <c r="C1460" s="28" t="s">
        <v>138</v>
      </c>
      <c r="D1460" s="27" t="s">
        <v>2672</v>
      </c>
      <c r="E1460" s="27"/>
      <c r="F1460" s="29" t="s">
        <v>2824</v>
      </c>
      <c r="G1460" s="30" t="n">
        <v>75017</v>
      </c>
      <c r="H1460" s="31" t="s">
        <v>36</v>
      </c>
      <c r="I1460" s="32"/>
      <c r="J1460" s="33" t="n">
        <v>103</v>
      </c>
      <c r="K1460" s="33" t="n">
        <v>3</v>
      </c>
      <c r="L1460" s="34"/>
      <c r="M1460" s="35"/>
      <c r="N1460" s="36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9"/>
      <c r="Z1460" s="39"/>
      <c r="AA1460" s="28"/>
      <c r="AMJ1460" s="0"/>
    </row>
    <row r="1461" s="2" customFormat="true" ht="12.75" hidden="false" customHeight="true" outlineLevel="0" collapsed="false">
      <c r="A1461" s="27" t="s">
        <v>2825</v>
      </c>
      <c r="B1461" s="27" t="s">
        <v>1564</v>
      </c>
      <c r="C1461" s="28" t="s">
        <v>77</v>
      </c>
      <c r="D1461" s="27" t="s">
        <v>2672</v>
      </c>
      <c r="E1461" s="27"/>
      <c r="F1461" s="29" t="s">
        <v>2824</v>
      </c>
      <c r="G1461" s="30" t="n">
        <v>75017</v>
      </c>
      <c r="H1461" s="31" t="s">
        <v>36</v>
      </c>
      <c r="I1461" s="32"/>
      <c r="J1461" s="33" t="n">
        <v>247</v>
      </c>
      <c r="K1461" s="33" t="n">
        <v>1</v>
      </c>
      <c r="L1461" s="34"/>
      <c r="M1461" s="35"/>
      <c r="N1461" s="36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9"/>
      <c r="Z1461" s="39"/>
      <c r="AA1461" s="28"/>
      <c r="AMJ1461" s="0"/>
    </row>
    <row r="1462" s="2" customFormat="true" ht="12.75" hidden="false" customHeight="true" outlineLevel="0" collapsed="false">
      <c r="A1462" s="27" t="s">
        <v>2826</v>
      </c>
      <c r="B1462" s="27" t="s">
        <v>1094</v>
      </c>
      <c r="C1462" s="28" t="s">
        <v>178</v>
      </c>
      <c r="D1462" s="27" t="s">
        <v>2672</v>
      </c>
      <c r="E1462" s="27"/>
      <c r="F1462" s="29" t="s">
        <v>2827</v>
      </c>
      <c r="G1462" s="30" t="n">
        <v>75017</v>
      </c>
      <c r="H1462" s="31" t="s">
        <v>36</v>
      </c>
      <c r="I1462" s="32" t="n">
        <v>145747980</v>
      </c>
      <c r="J1462" s="33" t="n">
        <v>165</v>
      </c>
      <c r="K1462" s="33" t="n">
        <v>1</v>
      </c>
      <c r="L1462" s="34"/>
      <c r="M1462" s="35"/>
      <c r="N1462" s="36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9"/>
      <c r="Z1462" s="39"/>
      <c r="AA1462" s="28"/>
      <c r="AMJ1462" s="0"/>
    </row>
    <row r="1463" s="2" customFormat="true" ht="12.75" hidden="false" customHeight="true" outlineLevel="0" collapsed="false">
      <c r="A1463" s="27" t="s">
        <v>2828</v>
      </c>
      <c r="B1463" s="27" t="s">
        <v>2829</v>
      </c>
      <c r="C1463" s="28" t="s">
        <v>33</v>
      </c>
      <c r="D1463" s="27" t="s">
        <v>2672</v>
      </c>
      <c r="E1463" s="27"/>
      <c r="F1463" s="29" t="s">
        <v>2827</v>
      </c>
      <c r="G1463" s="30" t="n">
        <v>75017</v>
      </c>
      <c r="H1463" s="31" t="s">
        <v>36</v>
      </c>
      <c r="I1463" s="32" t="n">
        <v>145747980</v>
      </c>
      <c r="J1463" s="33" t="n">
        <v>62</v>
      </c>
      <c r="K1463" s="33" t="n">
        <v>3</v>
      </c>
      <c r="L1463" s="34"/>
      <c r="M1463" s="35"/>
      <c r="N1463" s="36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9"/>
      <c r="Z1463" s="39"/>
      <c r="AA1463" s="28"/>
      <c r="AC1463" s="2" t="s">
        <v>413</v>
      </c>
      <c r="AMJ1463" s="0"/>
    </row>
    <row r="1464" s="2" customFormat="true" ht="12.75" hidden="false" customHeight="true" outlineLevel="0" collapsed="false">
      <c r="A1464" s="27" t="s">
        <v>2830</v>
      </c>
      <c r="B1464" s="27" t="s">
        <v>329</v>
      </c>
      <c r="C1464" s="28" t="s">
        <v>33</v>
      </c>
      <c r="D1464" s="27" t="s">
        <v>2672</v>
      </c>
      <c r="E1464" s="27"/>
      <c r="F1464" s="29" t="s">
        <v>2831</v>
      </c>
      <c r="G1464" s="30" t="n">
        <v>75017</v>
      </c>
      <c r="H1464" s="31" t="s">
        <v>36</v>
      </c>
      <c r="I1464" s="32" t="n">
        <v>140680209</v>
      </c>
      <c r="J1464" s="33" t="n">
        <v>56</v>
      </c>
      <c r="K1464" s="33" t="n">
        <v>0</v>
      </c>
      <c r="L1464" s="34"/>
      <c r="M1464" s="35"/>
      <c r="N1464" s="36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9"/>
      <c r="Z1464" s="39"/>
      <c r="AA1464" s="28"/>
      <c r="AC1464" s="2" t="s">
        <v>197</v>
      </c>
      <c r="AMJ1464" s="0"/>
    </row>
    <row r="1465" s="2" customFormat="true" ht="12.75" hidden="false" customHeight="true" outlineLevel="0" collapsed="false">
      <c r="A1465" s="27" t="s">
        <v>2832</v>
      </c>
      <c r="B1465" s="27" t="s">
        <v>2833</v>
      </c>
      <c r="C1465" s="28" t="s">
        <v>138</v>
      </c>
      <c r="D1465" s="27" t="s">
        <v>2672</v>
      </c>
      <c r="E1465" s="27"/>
      <c r="F1465" s="29" t="s">
        <v>2834</v>
      </c>
      <c r="G1465" s="30" t="n">
        <v>75017</v>
      </c>
      <c r="H1465" s="31" t="s">
        <v>36</v>
      </c>
      <c r="I1465" s="32" t="n">
        <v>145721888</v>
      </c>
      <c r="J1465" s="33" t="n">
        <v>160</v>
      </c>
      <c r="K1465" s="33" t="n">
        <v>1</v>
      </c>
      <c r="L1465" s="34"/>
      <c r="M1465" s="35" t="s">
        <v>164</v>
      </c>
      <c r="N1465" s="36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9"/>
      <c r="Z1465" s="39"/>
      <c r="AA1465" s="28"/>
      <c r="AMJ1465" s="0"/>
    </row>
    <row r="1466" s="2" customFormat="true" ht="12.75" hidden="false" customHeight="true" outlineLevel="0" collapsed="false">
      <c r="A1466" s="27" t="s">
        <v>2835</v>
      </c>
      <c r="B1466" s="27" t="s">
        <v>1034</v>
      </c>
      <c r="C1466" s="28" t="s">
        <v>138</v>
      </c>
      <c r="D1466" s="27" t="s">
        <v>2672</v>
      </c>
      <c r="E1466" s="27"/>
      <c r="F1466" s="29" t="s">
        <v>2834</v>
      </c>
      <c r="G1466" s="30" t="n">
        <v>75017</v>
      </c>
      <c r="H1466" s="31" t="s">
        <v>36</v>
      </c>
      <c r="I1466" s="32" t="n">
        <v>145721888</v>
      </c>
      <c r="J1466" s="33" t="n">
        <v>90</v>
      </c>
      <c r="K1466" s="33" t="n">
        <v>2</v>
      </c>
      <c r="L1466" s="34"/>
      <c r="M1466" s="35" t="s">
        <v>164</v>
      </c>
      <c r="N1466" s="36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9"/>
      <c r="Z1466" s="39"/>
      <c r="AA1466" s="28"/>
      <c r="AMJ1466" s="0"/>
    </row>
    <row r="1467" s="2" customFormat="true" ht="12.75" hidden="false" customHeight="true" outlineLevel="0" collapsed="false">
      <c r="A1467" s="27" t="s">
        <v>2836</v>
      </c>
      <c r="B1467" s="27" t="s">
        <v>2837</v>
      </c>
      <c r="C1467" s="28" t="s">
        <v>138</v>
      </c>
      <c r="D1467" s="27" t="s">
        <v>2672</v>
      </c>
      <c r="E1467" s="27"/>
      <c r="F1467" s="29" t="s">
        <v>2834</v>
      </c>
      <c r="G1467" s="30" t="n">
        <v>75017</v>
      </c>
      <c r="H1467" s="31" t="s">
        <v>36</v>
      </c>
      <c r="I1467" s="32" t="n">
        <v>145721888</v>
      </c>
      <c r="J1467" s="33" t="n">
        <v>59</v>
      </c>
      <c r="K1467" s="33" t="n">
        <v>4</v>
      </c>
      <c r="L1467" s="34"/>
      <c r="M1467" s="35" t="s">
        <v>164</v>
      </c>
      <c r="N1467" s="36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9"/>
      <c r="Z1467" s="39"/>
      <c r="AA1467" s="28"/>
      <c r="AMJ1467" s="0"/>
    </row>
    <row r="1468" s="2" customFormat="true" ht="12.75" hidden="false" customHeight="true" outlineLevel="0" collapsed="false">
      <c r="A1468" s="27" t="s">
        <v>2838</v>
      </c>
      <c r="B1468" s="27" t="s">
        <v>409</v>
      </c>
      <c r="C1468" s="28" t="s">
        <v>41</v>
      </c>
      <c r="D1468" s="27" t="s">
        <v>2672</v>
      </c>
      <c r="E1468" s="27"/>
      <c r="F1468" s="29" t="s">
        <v>2839</v>
      </c>
      <c r="G1468" s="30" t="n">
        <v>75017</v>
      </c>
      <c r="H1468" s="31" t="s">
        <v>36</v>
      </c>
      <c r="I1468" s="32" t="n">
        <v>145725515</v>
      </c>
      <c r="J1468" s="33" t="n">
        <v>214</v>
      </c>
      <c r="K1468" s="33" t="n">
        <v>0</v>
      </c>
      <c r="L1468" s="34"/>
      <c r="M1468" s="35"/>
      <c r="N1468" s="36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9"/>
      <c r="Z1468" s="39"/>
      <c r="AA1468" s="28"/>
      <c r="AMJ1468" s="0"/>
    </row>
    <row r="1469" s="2" customFormat="true" ht="12.75" hidden="false" customHeight="true" outlineLevel="0" collapsed="false">
      <c r="A1469" s="27" t="s">
        <v>2840</v>
      </c>
      <c r="B1469" s="27" t="s">
        <v>2841</v>
      </c>
      <c r="C1469" s="28" t="s">
        <v>33</v>
      </c>
      <c r="D1469" s="27" t="s">
        <v>2672</v>
      </c>
      <c r="E1469" s="27"/>
      <c r="F1469" s="29" t="s">
        <v>2839</v>
      </c>
      <c r="G1469" s="30" t="n">
        <v>75017</v>
      </c>
      <c r="H1469" s="31" t="s">
        <v>36</v>
      </c>
      <c r="I1469" s="32" t="n">
        <v>142670510</v>
      </c>
      <c r="J1469" s="33" t="n">
        <v>68</v>
      </c>
      <c r="K1469" s="33" t="n">
        <v>1</v>
      </c>
      <c r="L1469" s="34"/>
      <c r="M1469" s="35"/>
      <c r="N1469" s="36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9"/>
      <c r="Z1469" s="39"/>
      <c r="AA1469" s="28"/>
      <c r="AC1469" s="2" t="s">
        <v>197</v>
      </c>
      <c r="AMJ1469" s="0"/>
    </row>
    <row r="1470" s="2" customFormat="true" ht="12.75" hidden="false" customHeight="true" outlineLevel="0" collapsed="false">
      <c r="A1470" s="27" t="s">
        <v>2842</v>
      </c>
      <c r="B1470" s="27" t="s">
        <v>222</v>
      </c>
      <c r="C1470" s="28" t="s">
        <v>41</v>
      </c>
      <c r="D1470" s="27" t="s">
        <v>2672</v>
      </c>
      <c r="E1470" s="27"/>
      <c r="F1470" s="29" t="s">
        <v>2843</v>
      </c>
      <c r="G1470" s="30" t="n">
        <v>75017</v>
      </c>
      <c r="H1470" s="31" t="s">
        <v>36</v>
      </c>
      <c r="I1470" s="32" t="n">
        <v>142672493</v>
      </c>
      <c r="J1470" s="33" t="n">
        <v>168</v>
      </c>
      <c r="K1470" s="33" t="n">
        <v>1</v>
      </c>
      <c r="L1470" s="34"/>
      <c r="M1470" s="35"/>
      <c r="N1470" s="36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9"/>
      <c r="Z1470" s="39"/>
      <c r="AA1470" s="28"/>
      <c r="AMJ1470" s="0"/>
    </row>
    <row r="1471" s="2" customFormat="true" ht="12.75" hidden="false" customHeight="true" outlineLevel="0" collapsed="false">
      <c r="A1471" s="27" t="s">
        <v>2844</v>
      </c>
      <c r="B1471" s="27" t="s">
        <v>344</v>
      </c>
      <c r="C1471" s="28" t="s">
        <v>41</v>
      </c>
      <c r="D1471" s="27" t="s">
        <v>2672</v>
      </c>
      <c r="E1471" s="27"/>
      <c r="F1471" s="29" t="s">
        <v>2845</v>
      </c>
      <c r="G1471" s="30" t="n">
        <v>75017</v>
      </c>
      <c r="H1471" s="31" t="s">
        <v>36</v>
      </c>
      <c r="I1471" s="32" t="n">
        <v>143806940</v>
      </c>
      <c r="J1471" s="33" t="n">
        <v>183</v>
      </c>
      <c r="K1471" s="33" t="n">
        <v>1</v>
      </c>
      <c r="L1471" s="34"/>
      <c r="M1471" s="35"/>
      <c r="N1471" s="36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9"/>
      <c r="Z1471" s="39"/>
      <c r="AA1471" s="28"/>
      <c r="AMJ1471" s="0"/>
    </row>
    <row r="1472" s="2" customFormat="true" ht="12.75" hidden="false" customHeight="true" outlineLevel="0" collapsed="false">
      <c r="A1472" s="27" t="s">
        <v>2846</v>
      </c>
      <c r="B1472" s="27" t="s">
        <v>1094</v>
      </c>
      <c r="C1472" s="28" t="s">
        <v>33</v>
      </c>
      <c r="D1472" s="27" t="s">
        <v>2672</v>
      </c>
      <c r="E1472" s="27"/>
      <c r="F1472" s="29" t="s">
        <v>2847</v>
      </c>
      <c r="G1472" s="30" t="n">
        <v>75017</v>
      </c>
      <c r="H1472" s="31" t="s">
        <v>36</v>
      </c>
      <c r="I1472" s="32" t="n">
        <v>142257628</v>
      </c>
      <c r="J1472" s="33" t="n">
        <v>55</v>
      </c>
      <c r="K1472" s="33" t="n">
        <v>1</v>
      </c>
      <c r="L1472" s="34"/>
      <c r="M1472" s="35"/>
      <c r="N1472" s="36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9"/>
      <c r="Z1472" s="39"/>
      <c r="AA1472" s="28"/>
      <c r="AC1472" s="2" t="s">
        <v>38</v>
      </c>
      <c r="AMJ1472" s="0"/>
    </row>
    <row r="1473" s="2" customFormat="true" ht="12.75" hidden="false" customHeight="true" outlineLevel="0" collapsed="false">
      <c r="A1473" s="27" t="s">
        <v>2848</v>
      </c>
      <c r="B1473" s="27" t="s">
        <v>2849</v>
      </c>
      <c r="C1473" s="28" t="s">
        <v>138</v>
      </c>
      <c r="D1473" s="27" t="s">
        <v>2672</v>
      </c>
      <c r="E1473" s="27"/>
      <c r="F1473" s="29" t="s">
        <v>2850</v>
      </c>
      <c r="G1473" s="30" t="n">
        <v>75017</v>
      </c>
      <c r="H1473" s="31" t="s">
        <v>36</v>
      </c>
      <c r="I1473" s="32" t="n">
        <v>147227426</v>
      </c>
      <c r="J1473" s="33" t="n">
        <v>140</v>
      </c>
      <c r="K1473" s="33" t="n">
        <v>2</v>
      </c>
      <c r="L1473" s="34" t="n">
        <v>3</v>
      </c>
      <c r="M1473" s="35" t="s">
        <v>164</v>
      </c>
      <c r="N1473" s="36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39"/>
      <c r="Z1473" s="39"/>
      <c r="AA1473" s="28" t="n">
        <v>3</v>
      </c>
      <c r="AMJ1473" s="0"/>
    </row>
    <row r="1474" s="2" customFormat="true" ht="12.75" hidden="false" customHeight="true" outlineLevel="0" collapsed="false">
      <c r="A1474" s="27" t="s">
        <v>2851</v>
      </c>
      <c r="B1474" s="27" t="s">
        <v>160</v>
      </c>
      <c r="C1474" s="28" t="s">
        <v>138</v>
      </c>
      <c r="D1474" s="27" t="s">
        <v>2672</v>
      </c>
      <c r="E1474" s="27"/>
      <c r="F1474" s="29" t="s">
        <v>2852</v>
      </c>
      <c r="G1474" s="30" t="n">
        <v>75017</v>
      </c>
      <c r="H1474" s="31" t="s">
        <v>36</v>
      </c>
      <c r="I1474" s="32" t="n">
        <v>143599797</v>
      </c>
      <c r="J1474" s="33" t="n">
        <v>232</v>
      </c>
      <c r="K1474" s="33" t="n">
        <v>3</v>
      </c>
      <c r="L1474" s="34"/>
      <c r="M1474" s="35"/>
      <c r="N1474" s="36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9"/>
      <c r="Z1474" s="39"/>
      <c r="AA1474" s="28"/>
      <c r="AMJ1474" s="0"/>
    </row>
    <row r="1475" s="2" customFormat="true" ht="12.75" hidden="false" customHeight="true" outlineLevel="0" collapsed="false">
      <c r="A1475" s="27" t="s">
        <v>2853</v>
      </c>
      <c r="B1475" s="27" t="s">
        <v>55</v>
      </c>
      <c r="C1475" s="28" t="s">
        <v>138</v>
      </c>
      <c r="D1475" s="27" t="s">
        <v>2672</v>
      </c>
      <c r="E1475" s="27"/>
      <c r="F1475" s="29" t="s">
        <v>2852</v>
      </c>
      <c r="G1475" s="30" t="n">
        <v>75017</v>
      </c>
      <c r="H1475" s="31" t="s">
        <v>36</v>
      </c>
      <c r="I1475" s="32" t="n">
        <v>143599797</v>
      </c>
      <c r="J1475" s="33" t="n">
        <v>47</v>
      </c>
      <c r="K1475" s="33" t="n">
        <v>3</v>
      </c>
      <c r="L1475" s="34"/>
      <c r="M1475" s="35"/>
      <c r="N1475" s="36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9"/>
      <c r="Z1475" s="39"/>
      <c r="AA1475" s="28"/>
      <c r="AMJ1475" s="0"/>
    </row>
    <row r="1476" s="2" customFormat="true" ht="12.75" hidden="false" customHeight="true" outlineLevel="0" collapsed="false">
      <c r="A1476" s="27" t="s">
        <v>2854</v>
      </c>
      <c r="B1476" s="27" t="s">
        <v>2855</v>
      </c>
      <c r="C1476" s="28" t="s">
        <v>138</v>
      </c>
      <c r="D1476" s="27" t="s">
        <v>2672</v>
      </c>
      <c r="E1476" s="27"/>
      <c r="F1476" s="29" t="s">
        <v>2852</v>
      </c>
      <c r="G1476" s="30" t="n">
        <v>75017</v>
      </c>
      <c r="H1476" s="31" t="s">
        <v>36</v>
      </c>
      <c r="I1476" s="32"/>
      <c r="J1476" s="33" t="n">
        <v>33</v>
      </c>
      <c r="K1476" s="33" t="n">
        <v>11</v>
      </c>
      <c r="L1476" s="34"/>
      <c r="M1476" s="35" t="s">
        <v>164</v>
      </c>
      <c r="N1476" s="36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9"/>
      <c r="Z1476" s="39"/>
      <c r="AA1476" s="28"/>
      <c r="AMJ1476" s="0"/>
    </row>
    <row r="1477" s="2" customFormat="true" ht="12.75" hidden="false" customHeight="true" outlineLevel="0" collapsed="false">
      <c r="A1477" s="27" t="s">
        <v>2856</v>
      </c>
      <c r="B1477" s="27" t="s">
        <v>1733</v>
      </c>
      <c r="C1477" s="28" t="s">
        <v>41</v>
      </c>
      <c r="D1477" s="27" t="s">
        <v>2672</v>
      </c>
      <c r="E1477" s="27"/>
      <c r="F1477" s="29" t="s">
        <v>2852</v>
      </c>
      <c r="G1477" s="30" t="n">
        <v>75017</v>
      </c>
      <c r="H1477" s="31" t="s">
        <v>36</v>
      </c>
      <c r="I1477" s="32" t="n">
        <v>143599797</v>
      </c>
      <c r="J1477" s="33" t="n">
        <v>170</v>
      </c>
      <c r="K1477" s="33" t="n">
        <v>1</v>
      </c>
      <c r="L1477" s="34"/>
      <c r="M1477" s="35"/>
      <c r="N1477" s="36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9"/>
      <c r="Z1477" s="39"/>
      <c r="AA1477" s="28"/>
      <c r="AMJ1477" s="0"/>
    </row>
    <row r="1478" s="2" customFormat="true" ht="12.75" hidden="false" customHeight="true" outlineLevel="0" collapsed="false">
      <c r="A1478" s="27" t="s">
        <v>2857</v>
      </c>
      <c r="B1478" s="27" t="s">
        <v>63</v>
      </c>
      <c r="C1478" s="28" t="s">
        <v>33</v>
      </c>
      <c r="D1478" s="27" t="s">
        <v>2672</v>
      </c>
      <c r="E1478" s="27"/>
      <c r="F1478" s="29" t="s">
        <v>2858</v>
      </c>
      <c r="G1478" s="30" t="n">
        <v>75017</v>
      </c>
      <c r="H1478" s="31" t="s">
        <v>36</v>
      </c>
      <c r="I1478" s="32" t="n">
        <v>140530571</v>
      </c>
      <c r="J1478" s="33" t="n">
        <v>51</v>
      </c>
      <c r="K1478" s="33" t="n">
        <v>1</v>
      </c>
      <c r="L1478" s="34"/>
      <c r="M1478" s="35"/>
      <c r="N1478" s="36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9"/>
      <c r="Z1478" s="39"/>
      <c r="AA1478" s="28"/>
      <c r="AC1478" s="2" t="s">
        <v>38</v>
      </c>
      <c r="AMJ1478" s="0"/>
    </row>
    <row r="1479" s="2" customFormat="true" ht="12.75" hidden="false" customHeight="true" outlineLevel="0" collapsed="false">
      <c r="A1479" s="27" t="s">
        <v>2859</v>
      </c>
      <c r="B1479" s="27" t="s">
        <v>443</v>
      </c>
      <c r="C1479" s="28" t="s">
        <v>41</v>
      </c>
      <c r="D1479" s="27" t="s">
        <v>2672</v>
      </c>
      <c r="E1479" s="27"/>
      <c r="F1479" s="29" t="s">
        <v>2860</v>
      </c>
      <c r="G1479" s="30" t="n">
        <v>75017</v>
      </c>
      <c r="H1479" s="31" t="s">
        <v>36</v>
      </c>
      <c r="I1479" s="32" t="n">
        <v>146227889</v>
      </c>
      <c r="J1479" s="33" t="n">
        <v>244</v>
      </c>
      <c r="K1479" s="33" t="n">
        <v>5</v>
      </c>
      <c r="L1479" s="34"/>
      <c r="M1479" s="35" t="s">
        <v>164</v>
      </c>
      <c r="N1479" s="36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9"/>
      <c r="Z1479" s="39"/>
      <c r="AA1479" s="28"/>
      <c r="AMJ1479" s="0"/>
    </row>
    <row r="1480" s="2" customFormat="true" ht="12.75" hidden="false" customHeight="true" outlineLevel="0" collapsed="false">
      <c r="A1480" s="27" t="s">
        <v>2861</v>
      </c>
      <c r="B1480" s="27" t="s">
        <v>598</v>
      </c>
      <c r="C1480" s="28" t="s">
        <v>41</v>
      </c>
      <c r="D1480" s="27" t="s">
        <v>2672</v>
      </c>
      <c r="E1480" s="27"/>
      <c r="F1480" s="29" t="s">
        <v>2862</v>
      </c>
      <c r="G1480" s="30" t="n">
        <v>75017</v>
      </c>
      <c r="H1480" s="31" t="s">
        <v>36</v>
      </c>
      <c r="I1480" s="32" t="n">
        <v>147423642</v>
      </c>
      <c r="J1480" s="33" t="n">
        <v>175</v>
      </c>
      <c r="K1480" s="33" t="n">
        <v>1</v>
      </c>
      <c r="L1480" s="34"/>
      <c r="M1480" s="35"/>
      <c r="N1480" s="36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9"/>
      <c r="Z1480" s="39"/>
      <c r="AA1480" s="28"/>
      <c r="AMJ1480" s="0"/>
    </row>
    <row r="1481" s="2" customFormat="true" ht="12.75" hidden="false" customHeight="true" outlineLevel="0" collapsed="false">
      <c r="A1481" s="27" t="s">
        <v>2863</v>
      </c>
      <c r="B1481" s="27" t="s">
        <v>1733</v>
      </c>
      <c r="C1481" s="28" t="s">
        <v>138</v>
      </c>
      <c r="D1481" s="27" t="s">
        <v>2672</v>
      </c>
      <c r="E1481" s="27"/>
      <c r="F1481" s="29" t="s">
        <v>2864</v>
      </c>
      <c r="G1481" s="30" t="n">
        <v>75017</v>
      </c>
      <c r="H1481" s="31" t="s">
        <v>36</v>
      </c>
      <c r="I1481" s="32" t="n">
        <v>143590223</v>
      </c>
      <c r="J1481" s="33" t="n">
        <v>100</v>
      </c>
      <c r="K1481" s="33" t="n">
        <v>3</v>
      </c>
      <c r="L1481" s="34" t="n">
        <v>1</v>
      </c>
      <c r="M1481" s="35" t="s">
        <v>164</v>
      </c>
      <c r="N1481" s="36"/>
      <c r="O1481" s="41"/>
      <c r="P1481" s="41"/>
      <c r="Q1481" s="41"/>
      <c r="R1481" s="41"/>
      <c r="S1481" s="41"/>
      <c r="T1481" s="41"/>
      <c r="U1481" s="41"/>
      <c r="V1481" s="41"/>
      <c r="W1481" s="41"/>
      <c r="X1481" s="41"/>
      <c r="Y1481" s="39"/>
      <c r="Z1481" s="39"/>
      <c r="AA1481" s="28" t="n">
        <v>3</v>
      </c>
      <c r="AMJ1481" s="0"/>
    </row>
    <row r="1482" s="2" customFormat="true" ht="12.75" hidden="false" customHeight="true" outlineLevel="0" collapsed="false">
      <c r="A1482" s="27" t="s">
        <v>2865</v>
      </c>
      <c r="B1482" s="27" t="s">
        <v>2866</v>
      </c>
      <c r="C1482" s="28" t="s">
        <v>41</v>
      </c>
      <c r="D1482" s="27" t="s">
        <v>2672</v>
      </c>
      <c r="E1482" s="27"/>
      <c r="F1482" s="29" t="s">
        <v>2867</v>
      </c>
      <c r="G1482" s="30" t="n">
        <v>75017</v>
      </c>
      <c r="H1482" s="31" t="s">
        <v>36</v>
      </c>
      <c r="I1482" s="32" t="n">
        <v>156688900</v>
      </c>
      <c r="J1482" s="33" t="n">
        <v>241</v>
      </c>
      <c r="K1482" s="33" t="n">
        <v>8</v>
      </c>
      <c r="L1482" s="34"/>
      <c r="M1482" s="35"/>
      <c r="N1482" s="36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9"/>
      <c r="Z1482" s="39"/>
      <c r="AA1482" s="28"/>
      <c r="AMJ1482" s="0"/>
    </row>
    <row r="1483" s="2" customFormat="true" ht="12.75" hidden="false" customHeight="true" outlineLevel="0" collapsed="false">
      <c r="A1483" s="27" t="s">
        <v>2868</v>
      </c>
      <c r="B1483" s="27" t="s">
        <v>195</v>
      </c>
      <c r="C1483" s="28" t="s">
        <v>33</v>
      </c>
      <c r="D1483" s="27" t="s">
        <v>2672</v>
      </c>
      <c r="E1483" s="27"/>
      <c r="F1483" s="29" t="s">
        <v>2867</v>
      </c>
      <c r="G1483" s="30" t="n">
        <v>75017</v>
      </c>
      <c r="H1483" s="31" t="s">
        <v>36</v>
      </c>
      <c r="I1483" s="32" t="n">
        <v>147200046</v>
      </c>
      <c r="J1483" s="33" t="n">
        <v>56</v>
      </c>
      <c r="K1483" s="33" t="n">
        <v>0</v>
      </c>
      <c r="L1483" s="34"/>
      <c r="M1483" s="35"/>
      <c r="N1483" s="36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9"/>
      <c r="Z1483" s="39"/>
      <c r="AA1483" s="28"/>
      <c r="AC1483" s="2" t="s">
        <v>197</v>
      </c>
      <c r="AMJ1483" s="0"/>
    </row>
    <row r="1484" s="2" customFormat="true" ht="12.75" hidden="false" customHeight="true" outlineLevel="0" collapsed="false">
      <c r="A1484" s="27" t="s">
        <v>2869</v>
      </c>
      <c r="B1484" s="27" t="s">
        <v>1962</v>
      </c>
      <c r="C1484" s="28" t="s">
        <v>41</v>
      </c>
      <c r="D1484" s="27" t="s">
        <v>2672</v>
      </c>
      <c r="E1484" s="27"/>
      <c r="F1484" s="29" t="s">
        <v>2870</v>
      </c>
      <c r="G1484" s="30" t="n">
        <v>75017</v>
      </c>
      <c r="H1484" s="31" t="s">
        <v>36</v>
      </c>
      <c r="I1484" s="32" t="n">
        <v>147635274</v>
      </c>
      <c r="J1484" s="33" t="n">
        <v>234</v>
      </c>
      <c r="K1484" s="33" t="n">
        <v>6</v>
      </c>
      <c r="L1484" s="34"/>
      <c r="M1484" s="35"/>
      <c r="N1484" s="36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9"/>
      <c r="Z1484" s="39"/>
      <c r="AA1484" s="28"/>
      <c r="AMJ1484" s="0"/>
    </row>
    <row r="1485" s="2" customFormat="true" ht="12.75" hidden="false" customHeight="true" outlineLevel="0" collapsed="false">
      <c r="A1485" s="27" t="s">
        <v>2871</v>
      </c>
      <c r="B1485" s="27" t="s">
        <v>2872</v>
      </c>
      <c r="C1485" s="28" t="s">
        <v>41</v>
      </c>
      <c r="D1485" s="27" t="s">
        <v>2672</v>
      </c>
      <c r="E1485" s="27"/>
      <c r="F1485" s="29" t="s">
        <v>2873</v>
      </c>
      <c r="G1485" s="30" t="n">
        <v>75017</v>
      </c>
      <c r="H1485" s="31" t="s">
        <v>36</v>
      </c>
      <c r="I1485" s="32" t="n">
        <v>184808037</v>
      </c>
      <c r="J1485" s="33" t="n">
        <v>400</v>
      </c>
      <c r="K1485" s="33"/>
      <c r="L1485" s="34"/>
      <c r="M1485" s="35"/>
      <c r="N1485" s="36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9"/>
      <c r="Z1485" s="39"/>
      <c r="AA1485" s="28"/>
      <c r="AMJ1485" s="0"/>
    </row>
    <row r="1486" s="2" customFormat="true" ht="12.75" hidden="false" customHeight="true" outlineLevel="0" collapsed="false">
      <c r="A1486" s="27" t="s">
        <v>2874</v>
      </c>
      <c r="B1486" s="27" t="s">
        <v>870</v>
      </c>
      <c r="C1486" s="28" t="s">
        <v>41</v>
      </c>
      <c r="D1486" s="27" t="s">
        <v>2672</v>
      </c>
      <c r="E1486" s="27"/>
      <c r="F1486" s="29" t="s">
        <v>2873</v>
      </c>
      <c r="G1486" s="30" t="n">
        <v>75017</v>
      </c>
      <c r="H1486" s="31" t="s">
        <v>36</v>
      </c>
      <c r="I1486" s="32" t="n">
        <v>184808037</v>
      </c>
      <c r="J1486" s="33" t="n">
        <v>0</v>
      </c>
      <c r="K1486" s="33" t="n">
        <v>2</v>
      </c>
      <c r="L1486" s="34"/>
      <c r="M1486" s="35"/>
      <c r="N1486" s="36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9"/>
      <c r="Z1486" s="39"/>
      <c r="AA1486" s="28"/>
      <c r="AMJ1486" s="0"/>
    </row>
    <row r="1487" s="2" customFormat="true" ht="12.75" hidden="false" customHeight="true" outlineLevel="0" collapsed="false">
      <c r="A1487" s="27" t="s">
        <v>2875</v>
      </c>
      <c r="B1487" s="27" t="s">
        <v>406</v>
      </c>
      <c r="C1487" s="28" t="s">
        <v>121</v>
      </c>
      <c r="D1487" s="27" t="s">
        <v>2672</v>
      </c>
      <c r="E1487" s="27"/>
      <c r="F1487" s="29" t="s">
        <v>2873</v>
      </c>
      <c r="G1487" s="30" t="n">
        <v>75017</v>
      </c>
      <c r="H1487" s="31" t="s">
        <v>36</v>
      </c>
      <c r="I1487" s="32" t="n">
        <v>184808037</v>
      </c>
      <c r="J1487" s="33" t="n">
        <v>174</v>
      </c>
      <c r="K1487" s="33" t="n">
        <v>5</v>
      </c>
      <c r="L1487" s="34"/>
      <c r="M1487" s="35"/>
      <c r="N1487" s="36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9"/>
      <c r="Z1487" s="39"/>
      <c r="AA1487" s="28"/>
      <c r="AMJ1487" s="0"/>
    </row>
    <row r="1488" s="2" customFormat="true" ht="12.75" hidden="false" customHeight="true" outlineLevel="0" collapsed="false">
      <c r="A1488" s="27" t="s">
        <v>2876</v>
      </c>
      <c r="B1488" s="27" t="s">
        <v>160</v>
      </c>
      <c r="C1488" s="28" t="s">
        <v>138</v>
      </c>
      <c r="D1488" s="27" t="s">
        <v>2672</v>
      </c>
      <c r="E1488" s="27"/>
      <c r="F1488" s="29" t="s">
        <v>2877</v>
      </c>
      <c r="G1488" s="30" t="n">
        <v>75017</v>
      </c>
      <c r="H1488" s="31" t="s">
        <v>36</v>
      </c>
      <c r="I1488" s="32" t="n">
        <v>146220717</v>
      </c>
      <c r="J1488" s="33" t="n">
        <v>149</v>
      </c>
      <c r="K1488" s="33" t="n">
        <v>1</v>
      </c>
      <c r="L1488" s="34"/>
      <c r="M1488" s="35"/>
      <c r="N1488" s="36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9"/>
      <c r="Z1488" s="39"/>
      <c r="AA1488" s="28"/>
      <c r="AMJ1488" s="0"/>
    </row>
    <row r="1489" s="2" customFormat="true" ht="12.75" hidden="false" customHeight="true" outlineLevel="0" collapsed="false">
      <c r="A1489" s="27" t="s">
        <v>2878</v>
      </c>
      <c r="B1489" s="27" t="s">
        <v>2879</v>
      </c>
      <c r="C1489" s="28" t="s">
        <v>41</v>
      </c>
      <c r="D1489" s="27" t="s">
        <v>2672</v>
      </c>
      <c r="E1489" s="27"/>
      <c r="F1489" s="29" t="s">
        <v>2880</v>
      </c>
      <c r="G1489" s="30" t="n">
        <v>75017</v>
      </c>
      <c r="H1489" s="31" t="s">
        <v>36</v>
      </c>
      <c r="I1489" s="32" t="n">
        <v>153772588</v>
      </c>
      <c r="J1489" s="33" t="n">
        <v>105</v>
      </c>
      <c r="K1489" s="33" t="n">
        <v>3</v>
      </c>
      <c r="L1489" s="34"/>
      <c r="M1489" s="35"/>
      <c r="N1489" s="36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9"/>
      <c r="Z1489" s="39"/>
      <c r="AA1489" s="28"/>
      <c r="AMJ1489" s="0"/>
    </row>
    <row r="1490" s="2" customFormat="true" ht="12.75" hidden="false" customHeight="true" outlineLevel="0" collapsed="false">
      <c r="A1490" s="27" t="s">
        <v>2881</v>
      </c>
      <c r="B1490" s="27" t="s">
        <v>2882</v>
      </c>
      <c r="C1490" s="28" t="s">
        <v>41</v>
      </c>
      <c r="D1490" s="27" t="s">
        <v>2672</v>
      </c>
      <c r="E1490" s="27"/>
      <c r="F1490" s="29" t="s">
        <v>2880</v>
      </c>
      <c r="G1490" s="30" t="n">
        <v>75017</v>
      </c>
      <c r="H1490" s="31" t="s">
        <v>36</v>
      </c>
      <c r="I1490" s="32" t="n">
        <v>153772588</v>
      </c>
      <c r="J1490" s="33" t="n">
        <v>0</v>
      </c>
      <c r="K1490" s="33" t="n">
        <v>2</v>
      </c>
      <c r="L1490" s="34"/>
      <c r="M1490" s="35"/>
      <c r="N1490" s="36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9"/>
      <c r="Z1490" s="39"/>
      <c r="AA1490" s="28"/>
      <c r="AMJ1490" s="0"/>
    </row>
    <row r="1491" s="2" customFormat="true" ht="12.75" hidden="false" customHeight="true" outlineLevel="0" collapsed="false">
      <c r="A1491" s="27" t="s">
        <v>2883</v>
      </c>
      <c r="B1491" s="27" t="s">
        <v>61</v>
      </c>
      <c r="C1491" s="28" t="s">
        <v>41</v>
      </c>
      <c r="D1491" s="27" t="s">
        <v>2672</v>
      </c>
      <c r="E1491" s="27"/>
      <c r="F1491" s="29" t="s">
        <v>2884</v>
      </c>
      <c r="G1491" s="30" t="n">
        <v>75017</v>
      </c>
      <c r="H1491" s="31" t="s">
        <v>36</v>
      </c>
      <c r="I1491" s="32" t="n">
        <v>145740708</v>
      </c>
      <c r="J1491" s="33" t="n">
        <v>237</v>
      </c>
      <c r="K1491" s="33" t="n">
        <v>26</v>
      </c>
      <c r="L1491" s="34" t="n">
        <v>2</v>
      </c>
      <c r="M1491" s="43" t="s">
        <v>155</v>
      </c>
      <c r="N1491" s="36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39" t="n">
        <v>45111.625</v>
      </c>
      <c r="Z1491" s="39" t="n">
        <v>45203.4583333333</v>
      </c>
      <c r="AA1491" s="28" t="n">
        <v>3</v>
      </c>
      <c r="AMJ1491" s="0"/>
    </row>
    <row r="1492" s="2" customFormat="true" ht="12.75" hidden="false" customHeight="true" outlineLevel="0" collapsed="false">
      <c r="A1492" s="27" t="s">
        <v>2885</v>
      </c>
      <c r="B1492" s="27" t="s">
        <v>149</v>
      </c>
      <c r="C1492" s="28" t="s">
        <v>33</v>
      </c>
      <c r="D1492" s="27" t="s">
        <v>2672</v>
      </c>
      <c r="E1492" s="27"/>
      <c r="F1492" s="29" t="s">
        <v>2886</v>
      </c>
      <c r="G1492" s="30" t="n">
        <v>75017</v>
      </c>
      <c r="H1492" s="31" t="s">
        <v>36</v>
      </c>
      <c r="I1492" s="32" t="n">
        <v>981369836</v>
      </c>
      <c r="J1492" s="33" t="n">
        <v>53</v>
      </c>
      <c r="K1492" s="33" t="n">
        <v>1</v>
      </c>
      <c r="L1492" s="34"/>
      <c r="M1492" s="35"/>
      <c r="N1492" s="36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9"/>
      <c r="Z1492" s="39"/>
      <c r="AA1492" s="28"/>
      <c r="AC1492" s="2" t="s">
        <v>197</v>
      </c>
      <c r="AMJ1492" s="0"/>
    </row>
    <row r="1493" s="2" customFormat="true" ht="12.75" hidden="false" customHeight="true" outlineLevel="0" collapsed="false">
      <c r="A1493" s="27" t="s">
        <v>2887</v>
      </c>
      <c r="B1493" s="27" t="s">
        <v>962</v>
      </c>
      <c r="C1493" s="28" t="s">
        <v>41</v>
      </c>
      <c r="D1493" s="27" t="s">
        <v>2672</v>
      </c>
      <c r="E1493" s="27"/>
      <c r="F1493" s="29" t="s">
        <v>2888</v>
      </c>
      <c r="G1493" s="30" t="n">
        <v>75017</v>
      </c>
      <c r="H1493" s="31" t="s">
        <v>36</v>
      </c>
      <c r="I1493" s="32" t="n">
        <v>144074815</v>
      </c>
      <c r="J1493" s="33" t="n">
        <v>324</v>
      </c>
      <c r="K1493" s="33" t="n">
        <v>1</v>
      </c>
      <c r="L1493" s="34"/>
      <c r="M1493" s="35"/>
      <c r="N1493" s="36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9"/>
      <c r="Z1493" s="39"/>
      <c r="AA1493" s="28"/>
      <c r="AMJ1493" s="0"/>
    </row>
    <row r="1494" s="2" customFormat="true" ht="12.75" hidden="false" customHeight="true" outlineLevel="0" collapsed="false">
      <c r="A1494" s="27" t="s">
        <v>2889</v>
      </c>
      <c r="B1494" s="27" t="s">
        <v>664</v>
      </c>
      <c r="C1494" s="28" t="s">
        <v>41</v>
      </c>
      <c r="D1494" s="27" t="s">
        <v>2672</v>
      </c>
      <c r="E1494" s="27"/>
      <c r="F1494" s="29" t="s">
        <v>2890</v>
      </c>
      <c r="G1494" s="30" t="n">
        <v>75017</v>
      </c>
      <c r="H1494" s="31" t="s">
        <v>36</v>
      </c>
      <c r="I1494" s="32" t="n">
        <v>147668999</v>
      </c>
      <c r="J1494" s="33" t="n">
        <v>231</v>
      </c>
      <c r="K1494" s="33" t="n">
        <v>0</v>
      </c>
      <c r="L1494" s="34"/>
      <c r="M1494" s="35"/>
      <c r="N1494" s="36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9"/>
      <c r="Z1494" s="39"/>
      <c r="AA1494" s="28"/>
      <c r="AMJ1494" s="0"/>
    </row>
    <row r="1495" s="2" customFormat="true" ht="12.75" hidden="false" customHeight="true" outlineLevel="0" collapsed="false">
      <c r="A1495" s="27" t="s">
        <v>1336</v>
      </c>
      <c r="B1495" s="27" t="s">
        <v>976</v>
      </c>
      <c r="C1495" s="28" t="s">
        <v>113</v>
      </c>
      <c r="D1495" s="27" t="s">
        <v>2672</v>
      </c>
      <c r="E1495" s="27"/>
      <c r="F1495" s="29" t="s">
        <v>2891</v>
      </c>
      <c r="G1495" s="30" t="n">
        <v>75017</v>
      </c>
      <c r="H1495" s="31" t="s">
        <v>36</v>
      </c>
      <c r="I1495" s="32" t="n">
        <v>142671111</v>
      </c>
      <c r="J1495" s="33" t="n">
        <v>51</v>
      </c>
      <c r="K1495" s="33" t="n">
        <v>1</v>
      </c>
      <c r="L1495" s="34"/>
      <c r="M1495" s="35"/>
      <c r="N1495" s="36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9"/>
      <c r="Z1495" s="39"/>
      <c r="AA1495" s="28"/>
      <c r="AMJ1495" s="0"/>
    </row>
    <row r="1496" s="2" customFormat="true" ht="12.75" hidden="false" customHeight="true" outlineLevel="0" collapsed="false">
      <c r="A1496" s="27" t="s">
        <v>2892</v>
      </c>
      <c r="B1496" s="27" t="s">
        <v>2893</v>
      </c>
      <c r="C1496" s="28" t="s">
        <v>113</v>
      </c>
      <c r="D1496" s="27" t="s">
        <v>2672</v>
      </c>
      <c r="E1496" s="27"/>
      <c r="F1496" s="29" t="s">
        <v>2894</v>
      </c>
      <c r="G1496" s="30" t="n">
        <v>75017</v>
      </c>
      <c r="H1496" s="31" t="s">
        <v>36</v>
      </c>
      <c r="I1496" s="32" t="n">
        <v>142589774</v>
      </c>
      <c r="J1496" s="33" t="n">
        <v>51</v>
      </c>
      <c r="K1496" s="33" t="n">
        <v>1</v>
      </c>
      <c r="L1496" s="34"/>
      <c r="M1496" s="35"/>
      <c r="N1496" s="36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9"/>
      <c r="Z1496" s="39"/>
      <c r="AA1496" s="28"/>
      <c r="AMJ1496" s="0"/>
    </row>
    <row r="1497" s="2" customFormat="true" ht="12.75" hidden="false" customHeight="true" outlineLevel="0" collapsed="false">
      <c r="A1497" s="27" t="s">
        <v>2283</v>
      </c>
      <c r="B1497" s="27" t="s">
        <v>90</v>
      </c>
      <c r="C1497" s="28" t="s">
        <v>41</v>
      </c>
      <c r="D1497" s="27" t="s">
        <v>2672</v>
      </c>
      <c r="E1497" s="27"/>
      <c r="F1497" s="29" t="s">
        <v>2895</v>
      </c>
      <c r="G1497" s="30" t="n">
        <v>75017</v>
      </c>
      <c r="H1497" s="31" t="s">
        <v>36</v>
      </c>
      <c r="I1497" s="32" t="n">
        <v>687737067</v>
      </c>
      <c r="J1497" s="33" t="n">
        <v>261</v>
      </c>
      <c r="K1497" s="33" t="n">
        <v>1</v>
      </c>
      <c r="L1497" s="34"/>
      <c r="M1497" s="35"/>
      <c r="N1497" s="36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9"/>
      <c r="Z1497" s="39"/>
      <c r="AA1497" s="28"/>
      <c r="AMJ1497" s="0"/>
    </row>
    <row r="1498" s="2" customFormat="true" ht="12.75" hidden="false" customHeight="true" outlineLevel="0" collapsed="false">
      <c r="A1498" s="27" t="s">
        <v>2896</v>
      </c>
      <c r="B1498" s="27" t="s">
        <v>443</v>
      </c>
      <c r="C1498" s="28" t="s">
        <v>33</v>
      </c>
      <c r="D1498" s="27" t="s">
        <v>2672</v>
      </c>
      <c r="E1498" s="27"/>
      <c r="F1498" s="29" t="s">
        <v>2895</v>
      </c>
      <c r="G1498" s="30" t="n">
        <v>75017</v>
      </c>
      <c r="H1498" s="31" t="s">
        <v>36</v>
      </c>
      <c r="I1498" s="32" t="n">
        <v>171195951</v>
      </c>
      <c r="J1498" s="33" t="n">
        <v>61</v>
      </c>
      <c r="K1498" s="33" t="n">
        <v>1</v>
      </c>
      <c r="L1498" s="34"/>
      <c r="M1498" s="35"/>
      <c r="N1498" s="36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9"/>
      <c r="Z1498" s="39"/>
      <c r="AA1498" s="28"/>
      <c r="AC1498" s="2" t="s">
        <v>416</v>
      </c>
      <c r="AMJ1498" s="0"/>
    </row>
    <row r="1499" s="2" customFormat="true" ht="12.75" hidden="false" customHeight="true" outlineLevel="0" collapsed="false">
      <c r="A1499" s="27" t="s">
        <v>2897</v>
      </c>
      <c r="B1499" s="27" t="s">
        <v>1094</v>
      </c>
      <c r="C1499" s="28" t="s">
        <v>33</v>
      </c>
      <c r="D1499" s="27" t="s">
        <v>2672</v>
      </c>
      <c r="E1499" s="27"/>
      <c r="F1499" s="29" t="s">
        <v>2895</v>
      </c>
      <c r="G1499" s="30" t="n">
        <v>75017</v>
      </c>
      <c r="H1499" s="31" t="s">
        <v>36</v>
      </c>
      <c r="I1499" s="32" t="n">
        <v>171195951</v>
      </c>
      <c r="J1499" s="33" t="n">
        <v>60</v>
      </c>
      <c r="K1499" s="33" t="n">
        <v>1</v>
      </c>
      <c r="L1499" s="34" t="n">
        <v>1</v>
      </c>
      <c r="M1499" s="35"/>
      <c r="N1499" s="36"/>
      <c r="O1499" s="41"/>
      <c r="P1499" s="41"/>
      <c r="Q1499" s="41"/>
      <c r="R1499" s="41"/>
      <c r="S1499" s="41"/>
      <c r="T1499" s="41"/>
      <c r="U1499" s="41"/>
      <c r="V1499" s="41"/>
      <c r="W1499" s="41"/>
      <c r="X1499" s="41"/>
      <c r="Y1499" s="39"/>
      <c r="Z1499" s="39"/>
      <c r="AA1499" s="28"/>
      <c r="AC1499" s="2" t="s">
        <v>38</v>
      </c>
      <c r="AMJ1499" s="0"/>
    </row>
    <row r="1500" s="2" customFormat="true" ht="12.75" hidden="false" customHeight="true" outlineLevel="0" collapsed="false">
      <c r="A1500" s="27" t="s">
        <v>2898</v>
      </c>
      <c r="B1500" s="27" t="s">
        <v>2654</v>
      </c>
      <c r="C1500" s="28" t="s">
        <v>41</v>
      </c>
      <c r="D1500" s="27" t="s">
        <v>2672</v>
      </c>
      <c r="E1500" s="27"/>
      <c r="F1500" s="29" t="s">
        <v>2899</v>
      </c>
      <c r="G1500" s="30" t="n">
        <v>75017</v>
      </c>
      <c r="H1500" s="31" t="s">
        <v>36</v>
      </c>
      <c r="I1500" s="32" t="n">
        <v>171195951</v>
      </c>
      <c r="J1500" s="33" t="n">
        <v>210</v>
      </c>
      <c r="K1500" s="33" t="n">
        <v>32</v>
      </c>
      <c r="L1500" s="34"/>
      <c r="M1500" s="44" t="s">
        <v>700</v>
      </c>
      <c r="N1500" s="36" t="s">
        <v>2900</v>
      </c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9" t="n">
        <v>45134.4375</v>
      </c>
      <c r="Z1500" s="39"/>
      <c r="AA1500" s="28"/>
      <c r="AMJ1500" s="0"/>
    </row>
    <row r="1501" s="2" customFormat="true" ht="12.75" hidden="false" customHeight="true" outlineLevel="0" collapsed="false">
      <c r="A1501" s="27" t="s">
        <v>2901</v>
      </c>
      <c r="B1501" s="27" t="s">
        <v>103</v>
      </c>
      <c r="C1501" s="28" t="s">
        <v>41</v>
      </c>
      <c r="D1501" s="27" t="s">
        <v>2672</v>
      </c>
      <c r="E1501" s="27"/>
      <c r="F1501" s="29" t="s">
        <v>2902</v>
      </c>
      <c r="G1501" s="30" t="n">
        <v>75017</v>
      </c>
      <c r="H1501" s="31" t="s">
        <v>36</v>
      </c>
      <c r="I1501" s="32" t="n">
        <v>143804210</v>
      </c>
      <c r="J1501" s="33" t="n">
        <v>185</v>
      </c>
      <c r="K1501" s="33" t="n">
        <v>7</v>
      </c>
      <c r="L1501" s="34" t="n">
        <v>1</v>
      </c>
      <c r="M1501" s="35" t="s">
        <v>164</v>
      </c>
      <c r="N1501" s="36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39"/>
      <c r="Z1501" s="39"/>
      <c r="AA1501" s="28"/>
      <c r="AMJ1501" s="0"/>
    </row>
    <row r="1502" s="2" customFormat="true" ht="12.75" hidden="false" customHeight="true" outlineLevel="0" collapsed="false">
      <c r="A1502" s="27" t="s">
        <v>436</v>
      </c>
      <c r="B1502" s="27" t="s">
        <v>195</v>
      </c>
      <c r="C1502" s="28" t="s">
        <v>41</v>
      </c>
      <c r="D1502" s="27" t="s">
        <v>2672</v>
      </c>
      <c r="E1502" s="27"/>
      <c r="F1502" s="29" t="s">
        <v>2903</v>
      </c>
      <c r="G1502" s="30" t="n">
        <v>75017</v>
      </c>
      <c r="H1502" s="31" t="s">
        <v>36</v>
      </c>
      <c r="I1502" s="32"/>
      <c r="J1502" s="33" t="n">
        <v>241</v>
      </c>
      <c r="K1502" s="33" t="n">
        <v>6</v>
      </c>
      <c r="L1502" s="34" t="n">
        <v>2</v>
      </c>
      <c r="M1502" s="35" t="s">
        <v>164</v>
      </c>
      <c r="N1502" s="36"/>
      <c r="O1502" s="41"/>
      <c r="P1502" s="41"/>
      <c r="Q1502" s="41"/>
      <c r="R1502" s="41"/>
      <c r="S1502" s="41"/>
      <c r="T1502" s="41"/>
      <c r="U1502" s="41"/>
      <c r="V1502" s="41"/>
      <c r="W1502" s="41"/>
      <c r="X1502" s="41"/>
      <c r="Y1502" s="39"/>
      <c r="Z1502" s="39"/>
      <c r="AA1502" s="28"/>
      <c r="AMJ1502" s="0"/>
    </row>
    <row r="1503" s="2" customFormat="true" ht="12.75" hidden="false" customHeight="true" outlineLevel="0" collapsed="false">
      <c r="A1503" s="27" t="s">
        <v>2904</v>
      </c>
      <c r="B1503" s="27" t="s">
        <v>417</v>
      </c>
      <c r="C1503" s="28" t="s">
        <v>41</v>
      </c>
      <c r="D1503" s="27" t="s">
        <v>2672</v>
      </c>
      <c r="E1503" s="27"/>
      <c r="F1503" s="29" t="s">
        <v>2903</v>
      </c>
      <c r="G1503" s="30" t="n">
        <v>75017</v>
      </c>
      <c r="H1503" s="31" t="s">
        <v>36</v>
      </c>
      <c r="I1503" s="32"/>
      <c r="J1503" s="33" t="n">
        <v>151</v>
      </c>
      <c r="K1503" s="33" t="n">
        <v>6</v>
      </c>
      <c r="L1503" s="34"/>
      <c r="M1503" s="35"/>
      <c r="N1503" s="36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9"/>
      <c r="Z1503" s="39"/>
      <c r="AA1503" s="28"/>
      <c r="AMJ1503" s="0"/>
    </row>
    <row r="1504" s="2" customFormat="true" ht="12.75" hidden="false" customHeight="true" outlineLevel="0" collapsed="false">
      <c r="A1504" s="27" t="s">
        <v>2905</v>
      </c>
      <c r="B1504" s="27" t="s">
        <v>61</v>
      </c>
      <c r="C1504" s="28" t="s">
        <v>41</v>
      </c>
      <c r="D1504" s="27" t="s">
        <v>2672</v>
      </c>
      <c r="E1504" s="27"/>
      <c r="F1504" s="29" t="s">
        <v>2906</v>
      </c>
      <c r="G1504" s="30" t="n">
        <v>75017</v>
      </c>
      <c r="H1504" s="31" t="s">
        <v>36</v>
      </c>
      <c r="I1504" s="32"/>
      <c r="J1504" s="33" t="n">
        <v>191</v>
      </c>
      <c r="K1504" s="33" t="n">
        <v>2</v>
      </c>
      <c r="L1504" s="34"/>
      <c r="M1504" s="35"/>
      <c r="N1504" s="36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9"/>
      <c r="Z1504" s="39"/>
      <c r="AA1504" s="28"/>
      <c r="AMJ1504" s="0"/>
    </row>
    <row r="1505" s="2" customFormat="true" ht="12.75" hidden="false" customHeight="true" outlineLevel="0" collapsed="false">
      <c r="A1505" s="27" t="s">
        <v>2907</v>
      </c>
      <c r="B1505" s="27" t="s">
        <v>884</v>
      </c>
      <c r="C1505" s="28" t="s">
        <v>138</v>
      </c>
      <c r="D1505" s="27" t="s">
        <v>2672</v>
      </c>
      <c r="E1505" s="27"/>
      <c r="F1505" s="29" t="s">
        <v>2908</v>
      </c>
      <c r="G1505" s="30" t="n">
        <v>75017</v>
      </c>
      <c r="H1505" s="31" t="s">
        <v>36</v>
      </c>
      <c r="I1505" s="32"/>
      <c r="J1505" s="33" t="n">
        <v>102</v>
      </c>
      <c r="K1505" s="33" t="n">
        <v>1</v>
      </c>
      <c r="L1505" s="34"/>
      <c r="M1505" s="35"/>
      <c r="N1505" s="36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9"/>
      <c r="Z1505" s="39"/>
      <c r="AA1505" s="28"/>
      <c r="AMJ1505" s="0"/>
    </row>
    <row r="1506" s="2" customFormat="true" ht="12.75" hidden="false" customHeight="true" outlineLevel="0" collapsed="false">
      <c r="A1506" s="27" t="s">
        <v>2909</v>
      </c>
      <c r="B1506" s="27" t="s">
        <v>516</v>
      </c>
      <c r="C1506" s="28" t="s">
        <v>41</v>
      </c>
      <c r="D1506" s="27" t="s">
        <v>2672</v>
      </c>
      <c r="E1506" s="27"/>
      <c r="F1506" s="29" t="s">
        <v>2908</v>
      </c>
      <c r="G1506" s="30" t="n">
        <v>75017</v>
      </c>
      <c r="H1506" s="31" t="s">
        <v>36</v>
      </c>
      <c r="I1506" s="32"/>
      <c r="J1506" s="33" t="n">
        <v>173</v>
      </c>
      <c r="K1506" s="33" t="n">
        <v>2</v>
      </c>
      <c r="L1506" s="34"/>
      <c r="M1506" s="35"/>
      <c r="N1506" s="36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9"/>
      <c r="Z1506" s="39"/>
      <c r="AA1506" s="28"/>
      <c r="AMJ1506" s="0"/>
    </row>
    <row r="1507" s="2" customFormat="true" ht="12.75" hidden="false" customHeight="true" outlineLevel="0" collapsed="false">
      <c r="A1507" s="27" t="s">
        <v>2910</v>
      </c>
      <c r="B1507" s="27" t="s">
        <v>130</v>
      </c>
      <c r="C1507" s="28" t="s">
        <v>41</v>
      </c>
      <c r="D1507" s="27" t="s">
        <v>2672</v>
      </c>
      <c r="E1507" s="27"/>
      <c r="F1507" s="29" t="s">
        <v>2911</v>
      </c>
      <c r="G1507" s="30" t="n">
        <v>75017</v>
      </c>
      <c r="H1507" s="31" t="s">
        <v>36</v>
      </c>
      <c r="I1507" s="32" t="n">
        <v>144400804</v>
      </c>
      <c r="J1507" s="33" t="n">
        <v>261</v>
      </c>
      <c r="K1507" s="33" t="n">
        <v>1</v>
      </c>
      <c r="L1507" s="34"/>
      <c r="M1507" s="35"/>
      <c r="N1507" s="36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9"/>
      <c r="Z1507" s="39"/>
      <c r="AA1507" s="28"/>
      <c r="AMJ1507" s="0"/>
    </row>
    <row r="1508" s="2" customFormat="true" ht="12.75" hidden="false" customHeight="true" outlineLevel="0" collapsed="false">
      <c r="A1508" s="27" t="s">
        <v>2912</v>
      </c>
      <c r="B1508" s="27" t="s">
        <v>317</v>
      </c>
      <c r="C1508" s="28" t="s">
        <v>33</v>
      </c>
      <c r="D1508" s="27" t="s">
        <v>2672</v>
      </c>
      <c r="E1508" s="27"/>
      <c r="F1508" s="29" t="s">
        <v>2913</v>
      </c>
      <c r="G1508" s="30" t="n">
        <v>75017</v>
      </c>
      <c r="H1508" s="31" t="s">
        <v>36</v>
      </c>
      <c r="I1508" s="32" t="n">
        <v>143250807</v>
      </c>
      <c r="J1508" s="33" t="n">
        <v>59</v>
      </c>
      <c r="K1508" s="33" t="n">
        <v>1</v>
      </c>
      <c r="L1508" s="34"/>
      <c r="M1508" s="35"/>
      <c r="N1508" s="36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9"/>
      <c r="Z1508" s="39"/>
      <c r="AA1508" s="28"/>
      <c r="AC1508" s="2" t="s">
        <v>218</v>
      </c>
      <c r="AMJ1508" s="0"/>
    </row>
    <row r="1509" s="2" customFormat="true" ht="12.75" hidden="false" customHeight="true" outlineLevel="0" collapsed="false">
      <c r="A1509" s="27" t="s">
        <v>2914</v>
      </c>
      <c r="B1509" s="27" t="s">
        <v>2915</v>
      </c>
      <c r="C1509" s="28" t="s">
        <v>138</v>
      </c>
      <c r="D1509" s="27" t="s">
        <v>2672</v>
      </c>
      <c r="E1509" s="27"/>
      <c r="F1509" s="29" t="s">
        <v>2916</v>
      </c>
      <c r="G1509" s="30" t="n">
        <v>75017</v>
      </c>
      <c r="H1509" s="31" t="s">
        <v>36</v>
      </c>
      <c r="I1509" s="32"/>
      <c r="J1509" s="33" t="n">
        <v>122</v>
      </c>
      <c r="K1509" s="33" t="n">
        <v>1</v>
      </c>
      <c r="L1509" s="34" t="n">
        <v>1</v>
      </c>
      <c r="M1509" s="35" t="s">
        <v>164</v>
      </c>
      <c r="N1509" s="36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39"/>
      <c r="Z1509" s="39"/>
      <c r="AA1509" s="28"/>
      <c r="AMJ1509" s="0"/>
    </row>
    <row r="1510" s="2" customFormat="true" ht="12.75" hidden="false" customHeight="true" outlineLevel="0" collapsed="false">
      <c r="A1510" s="27" t="s">
        <v>2917</v>
      </c>
      <c r="B1510" s="27" t="s">
        <v>360</v>
      </c>
      <c r="C1510" s="28" t="s">
        <v>138</v>
      </c>
      <c r="D1510" s="27" t="s">
        <v>2672</v>
      </c>
      <c r="E1510" s="27"/>
      <c r="F1510" s="29" t="s">
        <v>2916</v>
      </c>
      <c r="G1510" s="30" t="n">
        <v>75017</v>
      </c>
      <c r="H1510" s="31" t="s">
        <v>36</v>
      </c>
      <c r="I1510" s="32" t="n">
        <v>145630000</v>
      </c>
      <c r="J1510" s="33" t="n">
        <v>0</v>
      </c>
      <c r="K1510" s="33" t="n">
        <v>2</v>
      </c>
      <c r="L1510" s="34"/>
      <c r="M1510" s="35"/>
      <c r="N1510" s="36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9"/>
      <c r="Z1510" s="39"/>
      <c r="AA1510" s="28"/>
      <c r="AMJ1510" s="0"/>
    </row>
    <row r="1511" s="2" customFormat="true" ht="12.75" hidden="false" customHeight="true" outlineLevel="0" collapsed="false">
      <c r="A1511" s="27" t="s">
        <v>2918</v>
      </c>
      <c r="B1511" s="27" t="s">
        <v>2919</v>
      </c>
      <c r="C1511" s="28" t="s">
        <v>41</v>
      </c>
      <c r="D1511" s="27" t="s">
        <v>2672</v>
      </c>
      <c r="E1511" s="27"/>
      <c r="F1511" s="29" t="s">
        <v>2920</v>
      </c>
      <c r="G1511" s="30" t="n">
        <v>75017</v>
      </c>
      <c r="H1511" s="31" t="s">
        <v>36</v>
      </c>
      <c r="I1511" s="32" t="n">
        <v>145724572</v>
      </c>
      <c r="J1511" s="33" t="n">
        <v>258</v>
      </c>
      <c r="K1511" s="33" t="n">
        <v>5</v>
      </c>
      <c r="L1511" s="34"/>
      <c r="M1511" s="35"/>
      <c r="N1511" s="36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9"/>
      <c r="Z1511" s="39"/>
      <c r="AA1511" s="28"/>
      <c r="AMJ1511" s="0"/>
    </row>
    <row r="1512" s="2" customFormat="true" ht="12.75" hidden="false" customHeight="true" outlineLevel="0" collapsed="false">
      <c r="A1512" s="27" t="s">
        <v>783</v>
      </c>
      <c r="B1512" s="27" t="s">
        <v>1038</v>
      </c>
      <c r="C1512" s="28" t="s">
        <v>121</v>
      </c>
      <c r="D1512" s="27" t="s">
        <v>2672</v>
      </c>
      <c r="E1512" s="27"/>
      <c r="F1512" s="29" t="s">
        <v>2921</v>
      </c>
      <c r="G1512" s="30" t="n">
        <v>75017</v>
      </c>
      <c r="H1512" s="31" t="s">
        <v>36</v>
      </c>
      <c r="I1512" s="32" t="n">
        <v>142277434</v>
      </c>
      <c r="J1512" s="33" t="n">
        <v>139</v>
      </c>
      <c r="K1512" s="33" t="n">
        <v>1</v>
      </c>
      <c r="L1512" s="34"/>
      <c r="M1512" s="35"/>
      <c r="N1512" s="36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9"/>
      <c r="Z1512" s="39"/>
      <c r="AA1512" s="28"/>
      <c r="AMJ1512" s="0"/>
    </row>
    <row r="1513" s="2" customFormat="true" ht="12.75" hidden="false" customHeight="true" outlineLevel="0" collapsed="false">
      <c r="A1513" s="27" t="s">
        <v>2922</v>
      </c>
      <c r="B1513" s="27" t="s">
        <v>2923</v>
      </c>
      <c r="C1513" s="28" t="s">
        <v>33</v>
      </c>
      <c r="D1513" s="27" t="s">
        <v>2672</v>
      </c>
      <c r="E1513" s="27"/>
      <c r="F1513" s="29" t="s">
        <v>2924</v>
      </c>
      <c r="G1513" s="30" t="n">
        <v>75017</v>
      </c>
      <c r="H1513" s="31" t="s">
        <v>36</v>
      </c>
      <c r="I1513" s="32"/>
      <c r="J1513" s="33" t="n">
        <v>52</v>
      </c>
      <c r="K1513" s="33" t="n">
        <v>0</v>
      </c>
      <c r="L1513" s="34"/>
      <c r="M1513" s="35"/>
      <c r="N1513" s="36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9"/>
      <c r="Z1513" s="39"/>
      <c r="AA1513" s="28"/>
      <c r="AC1513" s="2" t="s">
        <v>413</v>
      </c>
      <c r="AMJ1513" s="0"/>
    </row>
    <row r="1514" s="2" customFormat="true" ht="12.75" hidden="false" customHeight="true" outlineLevel="0" collapsed="false">
      <c r="A1514" s="27" t="s">
        <v>2925</v>
      </c>
      <c r="B1514" s="27" t="s">
        <v>133</v>
      </c>
      <c r="C1514" s="28" t="s">
        <v>33</v>
      </c>
      <c r="D1514" s="27" t="s">
        <v>2672</v>
      </c>
      <c r="E1514" s="27"/>
      <c r="F1514" s="29" t="s">
        <v>2926</v>
      </c>
      <c r="G1514" s="30" t="n">
        <v>75017</v>
      </c>
      <c r="H1514" s="31" t="s">
        <v>36</v>
      </c>
      <c r="I1514" s="32"/>
      <c r="J1514" s="33" t="n">
        <v>60</v>
      </c>
      <c r="K1514" s="33" t="n">
        <v>1</v>
      </c>
      <c r="L1514" s="34"/>
      <c r="M1514" s="35"/>
      <c r="N1514" s="36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9"/>
      <c r="Z1514" s="39"/>
      <c r="AA1514" s="28"/>
      <c r="AC1514" s="2" t="s">
        <v>197</v>
      </c>
      <c r="AMJ1514" s="0"/>
    </row>
    <row r="1515" s="2" customFormat="true" ht="12.75" hidden="false" customHeight="true" outlineLevel="0" collapsed="false">
      <c r="A1515" s="27" t="s">
        <v>2927</v>
      </c>
      <c r="B1515" s="27" t="s">
        <v>2171</v>
      </c>
      <c r="C1515" s="28" t="s">
        <v>121</v>
      </c>
      <c r="D1515" s="27" t="s">
        <v>2928</v>
      </c>
      <c r="E1515" s="27"/>
      <c r="F1515" s="29" t="s">
        <v>2929</v>
      </c>
      <c r="G1515" s="30" t="n">
        <v>75016</v>
      </c>
      <c r="H1515" s="31" t="s">
        <v>36</v>
      </c>
      <c r="I1515" s="32" t="n">
        <v>145531327</v>
      </c>
      <c r="J1515" s="33" t="n">
        <v>164</v>
      </c>
      <c r="K1515" s="33" t="n">
        <v>1</v>
      </c>
      <c r="L1515" s="34"/>
      <c r="M1515" s="35"/>
      <c r="N1515" s="36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9"/>
      <c r="Z1515" s="39"/>
      <c r="AA1515" s="28"/>
      <c r="AMJ1515" s="0"/>
    </row>
    <row r="1516" s="2" customFormat="true" ht="12.75" hidden="false" customHeight="true" outlineLevel="0" collapsed="false">
      <c r="A1516" s="27" t="s">
        <v>2930</v>
      </c>
      <c r="B1516" s="27" t="s">
        <v>377</v>
      </c>
      <c r="C1516" s="28" t="s">
        <v>41</v>
      </c>
      <c r="D1516" s="27" t="s">
        <v>2928</v>
      </c>
      <c r="E1516" s="27"/>
      <c r="F1516" s="29" t="s">
        <v>2931</v>
      </c>
      <c r="G1516" s="30" t="n">
        <v>75016</v>
      </c>
      <c r="H1516" s="31" t="s">
        <v>36</v>
      </c>
      <c r="I1516" s="32" t="n">
        <v>954406327</v>
      </c>
      <c r="J1516" s="33" t="n">
        <v>206</v>
      </c>
      <c r="K1516" s="33" t="n">
        <v>1</v>
      </c>
      <c r="L1516" s="34"/>
      <c r="M1516" s="35"/>
      <c r="N1516" s="36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9"/>
      <c r="Z1516" s="39"/>
      <c r="AA1516" s="28"/>
      <c r="AMJ1516" s="0"/>
    </row>
    <row r="1517" s="2" customFormat="true" ht="12.75" hidden="false" customHeight="true" outlineLevel="0" collapsed="false">
      <c r="A1517" s="27" t="s">
        <v>2932</v>
      </c>
      <c r="B1517" s="27" t="s">
        <v>2933</v>
      </c>
      <c r="C1517" s="28" t="s">
        <v>138</v>
      </c>
      <c r="D1517" s="27" t="s">
        <v>2928</v>
      </c>
      <c r="E1517" s="27"/>
      <c r="F1517" s="29" t="s">
        <v>2934</v>
      </c>
      <c r="G1517" s="30" t="n">
        <v>75016</v>
      </c>
      <c r="H1517" s="31" t="s">
        <v>36</v>
      </c>
      <c r="I1517" s="32" t="n">
        <v>147643333</v>
      </c>
      <c r="J1517" s="33" t="n">
        <v>167</v>
      </c>
      <c r="K1517" s="33" t="n">
        <v>2</v>
      </c>
      <c r="L1517" s="34"/>
      <c r="M1517" s="35"/>
      <c r="N1517" s="36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9"/>
      <c r="Z1517" s="39"/>
      <c r="AA1517" s="28"/>
      <c r="AMJ1517" s="0"/>
    </row>
    <row r="1518" s="2" customFormat="true" ht="12.75" hidden="false" customHeight="true" outlineLevel="0" collapsed="false">
      <c r="A1518" s="27" t="s">
        <v>2935</v>
      </c>
      <c r="B1518" s="27" t="s">
        <v>2936</v>
      </c>
      <c r="C1518" s="28" t="s">
        <v>41</v>
      </c>
      <c r="D1518" s="27" t="s">
        <v>2928</v>
      </c>
      <c r="E1518" s="27"/>
      <c r="F1518" s="29" t="s">
        <v>2934</v>
      </c>
      <c r="G1518" s="30" t="n">
        <v>75016</v>
      </c>
      <c r="H1518" s="31" t="s">
        <v>36</v>
      </c>
      <c r="I1518" s="32" t="n">
        <v>147420234</v>
      </c>
      <c r="J1518" s="33" t="n">
        <v>210</v>
      </c>
      <c r="K1518" s="33" t="n">
        <v>1</v>
      </c>
      <c r="L1518" s="34"/>
      <c r="M1518" s="35"/>
      <c r="N1518" s="36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9"/>
      <c r="Z1518" s="39"/>
      <c r="AA1518" s="28"/>
      <c r="AMJ1518" s="0"/>
    </row>
    <row r="1519" s="2" customFormat="true" ht="12.75" hidden="false" customHeight="true" outlineLevel="0" collapsed="false">
      <c r="A1519" s="27" t="s">
        <v>487</v>
      </c>
      <c r="B1519" s="27" t="s">
        <v>1258</v>
      </c>
      <c r="C1519" s="28" t="s">
        <v>41</v>
      </c>
      <c r="D1519" s="27" t="s">
        <v>2928</v>
      </c>
      <c r="E1519" s="27"/>
      <c r="F1519" s="29" t="s">
        <v>2937</v>
      </c>
      <c r="G1519" s="30" t="n">
        <v>75016</v>
      </c>
      <c r="H1519" s="31" t="s">
        <v>36</v>
      </c>
      <c r="I1519" s="32" t="n">
        <v>140701516</v>
      </c>
      <c r="J1519" s="33" t="n">
        <v>210</v>
      </c>
      <c r="K1519" s="33" t="n">
        <v>1</v>
      </c>
      <c r="L1519" s="34"/>
      <c r="M1519" s="35"/>
      <c r="N1519" s="36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9"/>
      <c r="Z1519" s="39"/>
      <c r="AA1519" s="28"/>
      <c r="AMJ1519" s="0"/>
    </row>
    <row r="1520" s="2" customFormat="true" ht="12.75" hidden="false" customHeight="true" outlineLevel="0" collapsed="false">
      <c r="A1520" s="27" t="s">
        <v>2938</v>
      </c>
      <c r="B1520" s="27" t="s">
        <v>769</v>
      </c>
      <c r="C1520" s="28" t="s">
        <v>33</v>
      </c>
      <c r="D1520" s="27" t="s">
        <v>2928</v>
      </c>
      <c r="E1520" s="27"/>
      <c r="F1520" s="29" t="s">
        <v>2939</v>
      </c>
      <c r="G1520" s="30" t="n">
        <v>75016</v>
      </c>
      <c r="H1520" s="31" t="s">
        <v>36</v>
      </c>
      <c r="I1520" s="32" t="n">
        <v>145001199</v>
      </c>
      <c r="J1520" s="33" t="n">
        <v>43</v>
      </c>
      <c r="K1520" s="33" t="n">
        <v>1</v>
      </c>
      <c r="L1520" s="34"/>
      <c r="M1520" s="35"/>
      <c r="N1520" s="36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9"/>
      <c r="Z1520" s="39"/>
      <c r="AA1520" s="28"/>
      <c r="AC1520" s="2" t="s">
        <v>1484</v>
      </c>
      <c r="AMJ1520" s="0"/>
    </row>
    <row r="1521" s="2" customFormat="true" ht="12.75" hidden="false" customHeight="true" outlineLevel="0" collapsed="false">
      <c r="A1521" s="27" t="s">
        <v>2940</v>
      </c>
      <c r="B1521" s="27" t="s">
        <v>2941</v>
      </c>
      <c r="C1521" s="28" t="s">
        <v>33</v>
      </c>
      <c r="D1521" s="27" t="s">
        <v>2928</v>
      </c>
      <c r="E1521" s="27"/>
      <c r="F1521" s="29" t="s">
        <v>2942</v>
      </c>
      <c r="G1521" s="30" t="n">
        <v>75016</v>
      </c>
      <c r="H1521" s="31" t="s">
        <v>36</v>
      </c>
      <c r="I1521" s="32" t="n">
        <v>144059050</v>
      </c>
      <c r="J1521" s="33" t="n">
        <v>61</v>
      </c>
      <c r="K1521" s="33" t="n">
        <v>1</v>
      </c>
      <c r="L1521" s="34"/>
      <c r="M1521" s="35"/>
      <c r="N1521" s="36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9"/>
      <c r="Z1521" s="39"/>
      <c r="AA1521" s="28"/>
      <c r="AC1521" s="2" t="s">
        <v>1484</v>
      </c>
      <c r="AMJ1521" s="0"/>
    </row>
    <row r="1522" s="2" customFormat="true" ht="12.75" hidden="false" customHeight="true" outlineLevel="0" collapsed="false">
      <c r="A1522" s="27" t="s">
        <v>2943</v>
      </c>
      <c r="B1522" s="27" t="s">
        <v>537</v>
      </c>
      <c r="C1522" s="28" t="s">
        <v>41</v>
      </c>
      <c r="D1522" s="27" t="s">
        <v>2928</v>
      </c>
      <c r="E1522" s="27"/>
      <c r="F1522" s="29" t="s">
        <v>2944</v>
      </c>
      <c r="G1522" s="30" t="n">
        <v>75016</v>
      </c>
      <c r="H1522" s="31" t="s">
        <v>36</v>
      </c>
      <c r="I1522" s="32" t="n">
        <v>145015092</v>
      </c>
      <c r="J1522" s="33" t="n">
        <v>281</v>
      </c>
      <c r="K1522" s="33" t="n">
        <v>13</v>
      </c>
      <c r="L1522" s="34" t="n">
        <v>1</v>
      </c>
      <c r="M1522" s="35" t="s">
        <v>716</v>
      </c>
      <c r="N1522" s="36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39" t="n">
        <v>45177.375</v>
      </c>
      <c r="Z1522" s="39"/>
      <c r="AA1522" s="28" t="n">
        <v>3</v>
      </c>
      <c r="AMJ1522" s="0"/>
    </row>
    <row r="1523" s="2" customFormat="true" ht="12.75" hidden="false" customHeight="true" outlineLevel="0" collapsed="false">
      <c r="A1523" s="27" t="s">
        <v>2945</v>
      </c>
      <c r="B1523" s="27" t="s">
        <v>187</v>
      </c>
      <c r="C1523" s="28" t="s">
        <v>33</v>
      </c>
      <c r="D1523" s="27" t="s">
        <v>2928</v>
      </c>
      <c r="E1523" s="27"/>
      <c r="F1523" s="29" t="s">
        <v>2946</v>
      </c>
      <c r="G1523" s="30" t="n">
        <v>75016</v>
      </c>
      <c r="H1523" s="31" t="s">
        <v>36</v>
      </c>
      <c r="I1523" s="32" t="n">
        <v>147554425</v>
      </c>
      <c r="J1523" s="33" t="n">
        <v>58</v>
      </c>
      <c r="K1523" s="33" t="n">
        <v>0</v>
      </c>
      <c r="L1523" s="34"/>
      <c r="M1523" s="35"/>
      <c r="N1523" s="36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9"/>
      <c r="Z1523" s="39"/>
      <c r="AA1523" s="28"/>
      <c r="AC1523" s="2" t="s">
        <v>38</v>
      </c>
      <c r="AMJ1523" s="0"/>
    </row>
    <row r="1524" s="2" customFormat="true" ht="12.75" hidden="false" customHeight="true" outlineLevel="0" collapsed="false">
      <c r="A1524" s="27" t="s">
        <v>1284</v>
      </c>
      <c r="B1524" s="27" t="s">
        <v>329</v>
      </c>
      <c r="C1524" s="28" t="s">
        <v>41</v>
      </c>
      <c r="D1524" s="27" t="s">
        <v>2928</v>
      </c>
      <c r="E1524" s="27"/>
      <c r="F1524" s="29" t="s">
        <v>2947</v>
      </c>
      <c r="G1524" s="30" t="n">
        <v>75016</v>
      </c>
      <c r="H1524" s="31" t="s">
        <v>36</v>
      </c>
      <c r="I1524" s="32" t="n">
        <v>142532020</v>
      </c>
      <c r="J1524" s="33" t="n">
        <v>316</v>
      </c>
      <c r="K1524" s="33" t="n">
        <v>5</v>
      </c>
      <c r="L1524" s="34"/>
      <c r="M1524" s="35"/>
      <c r="N1524" s="36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9"/>
      <c r="Z1524" s="39"/>
      <c r="AA1524" s="28"/>
      <c r="AMJ1524" s="0"/>
    </row>
    <row r="1525" s="2" customFormat="true" ht="12.75" hidden="false" customHeight="true" outlineLevel="0" collapsed="false">
      <c r="A1525" s="27" t="s">
        <v>2948</v>
      </c>
      <c r="B1525" s="27" t="s">
        <v>217</v>
      </c>
      <c r="C1525" s="28" t="s">
        <v>178</v>
      </c>
      <c r="D1525" s="27" t="s">
        <v>2928</v>
      </c>
      <c r="E1525" s="27"/>
      <c r="F1525" s="29" t="s">
        <v>2949</v>
      </c>
      <c r="G1525" s="30" t="n">
        <v>75016</v>
      </c>
      <c r="H1525" s="31" t="s">
        <v>36</v>
      </c>
      <c r="I1525" s="32"/>
      <c r="J1525" s="33" t="n">
        <v>88</v>
      </c>
      <c r="K1525" s="33" t="n">
        <v>2</v>
      </c>
      <c r="L1525" s="34"/>
      <c r="M1525" s="35"/>
      <c r="N1525" s="36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9"/>
      <c r="Z1525" s="39"/>
      <c r="AA1525" s="28"/>
      <c r="AMJ1525" s="0"/>
    </row>
    <row r="1526" s="2" customFormat="true" ht="12.75" hidden="false" customHeight="true" outlineLevel="0" collapsed="false">
      <c r="A1526" s="27" t="s">
        <v>2950</v>
      </c>
      <c r="B1526" s="27" t="s">
        <v>374</v>
      </c>
      <c r="C1526" s="28" t="s">
        <v>121</v>
      </c>
      <c r="D1526" s="27" t="s">
        <v>2928</v>
      </c>
      <c r="E1526" s="27"/>
      <c r="F1526" s="29" t="s">
        <v>2949</v>
      </c>
      <c r="G1526" s="30" t="n">
        <v>75016</v>
      </c>
      <c r="H1526" s="31" t="s">
        <v>36</v>
      </c>
      <c r="I1526" s="32" t="n">
        <v>173703175</v>
      </c>
      <c r="J1526" s="33" t="n">
        <v>184</v>
      </c>
      <c r="K1526" s="33" t="n">
        <v>4</v>
      </c>
      <c r="L1526" s="34"/>
      <c r="M1526" s="35"/>
      <c r="N1526" s="36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9"/>
      <c r="Z1526" s="39"/>
      <c r="AA1526" s="28"/>
      <c r="AMJ1526" s="0"/>
    </row>
    <row r="1527" s="2" customFormat="true" ht="12.75" hidden="false" customHeight="true" outlineLevel="0" collapsed="false">
      <c r="A1527" s="27" t="s">
        <v>2951</v>
      </c>
      <c r="B1527" s="27" t="s">
        <v>1843</v>
      </c>
      <c r="C1527" s="28" t="s">
        <v>121</v>
      </c>
      <c r="D1527" s="27" t="s">
        <v>2928</v>
      </c>
      <c r="E1527" s="27"/>
      <c r="F1527" s="29" t="s">
        <v>2949</v>
      </c>
      <c r="G1527" s="30" t="n">
        <v>75016</v>
      </c>
      <c r="H1527" s="31" t="s">
        <v>36</v>
      </c>
      <c r="I1527" s="32" t="n">
        <v>173703175</v>
      </c>
      <c r="J1527" s="33" t="n">
        <v>99</v>
      </c>
      <c r="K1527" s="33" t="n">
        <v>7</v>
      </c>
      <c r="L1527" s="34"/>
      <c r="M1527" s="35"/>
      <c r="N1527" s="36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9"/>
      <c r="Z1527" s="39"/>
      <c r="AA1527" s="28"/>
      <c r="AMJ1527" s="0"/>
    </row>
    <row r="1528" s="2" customFormat="true" ht="12.75" hidden="false" customHeight="true" outlineLevel="0" collapsed="false">
      <c r="A1528" s="27" t="s">
        <v>2952</v>
      </c>
      <c r="B1528" s="27" t="s">
        <v>329</v>
      </c>
      <c r="C1528" s="28" t="s">
        <v>178</v>
      </c>
      <c r="D1528" s="27" t="s">
        <v>2928</v>
      </c>
      <c r="E1528" s="27"/>
      <c r="F1528" s="29" t="s">
        <v>2953</v>
      </c>
      <c r="G1528" s="30" t="n">
        <v>75016</v>
      </c>
      <c r="H1528" s="31" t="s">
        <v>36</v>
      </c>
      <c r="I1528" s="32" t="n">
        <v>145532762</v>
      </c>
      <c r="J1528" s="33" t="n">
        <v>260</v>
      </c>
      <c r="K1528" s="33" t="n">
        <v>8</v>
      </c>
      <c r="L1528" s="34" t="n">
        <v>2</v>
      </c>
      <c r="M1528" s="35"/>
      <c r="N1528" s="36" t="s">
        <v>118</v>
      </c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39"/>
      <c r="Z1528" s="39"/>
      <c r="AA1528" s="28"/>
      <c r="AMJ1528" s="0"/>
    </row>
    <row r="1529" s="2" customFormat="true" ht="12.75" hidden="false" customHeight="true" outlineLevel="0" collapsed="false">
      <c r="A1529" s="27" t="s">
        <v>2954</v>
      </c>
      <c r="B1529" s="27" t="s">
        <v>1110</v>
      </c>
      <c r="C1529" s="28" t="s">
        <v>138</v>
      </c>
      <c r="D1529" s="27" t="s">
        <v>2928</v>
      </c>
      <c r="E1529" s="27"/>
      <c r="F1529" s="29" t="s">
        <v>2953</v>
      </c>
      <c r="G1529" s="30" t="n">
        <v>75016</v>
      </c>
      <c r="H1529" s="31" t="s">
        <v>36</v>
      </c>
      <c r="I1529" s="32" t="n">
        <v>145538043</v>
      </c>
      <c r="J1529" s="33" t="n">
        <v>244</v>
      </c>
      <c r="K1529" s="33" t="n">
        <v>1</v>
      </c>
      <c r="L1529" s="34"/>
      <c r="M1529" s="35"/>
      <c r="N1529" s="36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9"/>
      <c r="Z1529" s="39"/>
      <c r="AA1529" s="28"/>
      <c r="AMJ1529" s="0"/>
    </row>
    <row r="1530" s="2" customFormat="true" ht="12.75" hidden="false" customHeight="true" outlineLevel="0" collapsed="false">
      <c r="A1530" s="27" t="s">
        <v>2955</v>
      </c>
      <c r="B1530" s="27" t="s">
        <v>1869</v>
      </c>
      <c r="C1530" s="28" t="s">
        <v>41</v>
      </c>
      <c r="D1530" s="27" t="s">
        <v>2928</v>
      </c>
      <c r="E1530" s="27"/>
      <c r="F1530" s="29" t="s">
        <v>2956</v>
      </c>
      <c r="G1530" s="30" t="n">
        <v>75016</v>
      </c>
      <c r="H1530" s="31" t="s">
        <v>36</v>
      </c>
      <c r="I1530" s="32" t="n">
        <v>156621077</v>
      </c>
      <c r="J1530" s="33" t="n">
        <v>0</v>
      </c>
      <c r="K1530" s="33" t="n">
        <v>2</v>
      </c>
      <c r="L1530" s="34"/>
      <c r="M1530" s="35"/>
      <c r="N1530" s="36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9"/>
      <c r="Z1530" s="39"/>
      <c r="AA1530" s="28"/>
      <c r="AMJ1530" s="0"/>
    </row>
    <row r="1531" s="2" customFormat="true" ht="12.75" hidden="false" customHeight="true" outlineLevel="0" collapsed="false">
      <c r="A1531" s="27" t="s">
        <v>2957</v>
      </c>
      <c r="B1531" s="27" t="s">
        <v>1685</v>
      </c>
      <c r="C1531" s="28" t="s">
        <v>41</v>
      </c>
      <c r="D1531" s="27" t="s">
        <v>2928</v>
      </c>
      <c r="E1531" s="27"/>
      <c r="F1531" s="29" t="s">
        <v>2956</v>
      </c>
      <c r="G1531" s="30" t="n">
        <v>75016</v>
      </c>
      <c r="H1531" s="31" t="s">
        <v>36</v>
      </c>
      <c r="I1531" s="32" t="n">
        <v>156621077</v>
      </c>
      <c r="J1531" s="33" t="n">
        <v>0</v>
      </c>
      <c r="K1531" s="33" t="n">
        <v>1</v>
      </c>
      <c r="L1531" s="34"/>
      <c r="M1531" s="35"/>
      <c r="N1531" s="36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9"/>
      <c r="Z1531" s="39"/>
      <c r="AA1531" s="28"/>
      <c r="AMJ1531" s="0"/>
    </row>
    <row r="1532" s="2" customFormat="true" ht="12.75" hidden="false" customHeight="true" outlineLevel="0" collapsed="false">
      <c r="A1532" s="27" t="s">
        <v>2958</v>
      </c>
      <c r="B1532" s="27" t="s">
        <v>1058</v>
      </c>
      <c r="C1532" s="28" t="s">
        <v>138</v>
      </c>
      <c r="D1532" s="27" t="s">
        <v>2928</v>
      </c>
      <c r="E1532" s="27"/>
      <c r="F1532" s="29" t="s">
        <v>2959</v>
      </c>
      <c r="G1532" s="30" t="n">
        <v>75016</v>
      </c>
      <c r="H1532" s="31" t="s">
        <v>36</v>
      </c>
      <c r="I1532" s="32" t="n">
        <v>187446777</v>
      </c>
      <c r="J1532" s="33" t="n">
        <v>146</v>
      </c>
      <c r="K1532" s="33" t="n">
        <v>3</v>
      </c>
      <c r="L1532" s="34"/>
      <c r="M1532" s="35"/>
      <c r="N1532" s="36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9"/>
      <c r="Z1532" s="39"/>
      <c r="AA1532" s="28"/>
      <c r="AMJ1532" s="0"/>
    </row>
    <row r="1533" s="2" customFormat="true" ht="12.75" hidden="false" customHeight="true" outlineLevel="0" collapsed="false">
      <c r="A1533" s="27" t="s">
        <v>2960</v>
      </c>
      <c r="B1533" s="27" t="s">
        <v>234</v>
      </c>
      <c r="C1533" s="28" t="s">
        <v>41</v>
      </c>
      <c r="D1533" s="27" t="s">
        <v>2928</v>
      </c>
      <c r="E1533" s="27"/>
      <c r="F1533" s="29" t="s">
        <v>2959</v>
      </c>
      <c r="G1533" s="30" t="n">
        <v>75016</v>
      </c>
      <c r="H1533" s="31" t="s">
        <v>36</v>
      </c>
      <c r="I1533" s="32" t="n">
        <v>147208200</v>
      </c>
      <c r="J1533" s="33" t="n">
        <v>11</v>
      </c>
      <c r="K1533" s="33" t="n">
        <v>1</v>
      </c>
      <c r="L1533" s="34"/>
      <c r="M1533" s="35"/>
      <c r="N1533" s="36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9"/>
      <c r="Z1533" s="39"/>
      <c r="AA1533" s="28"/>
      <c r="AMJ1533" s="0"/>
    </row>
    <row r="1534" s="2" customFormat="true" ht="12.75" hidden="false" customHeight="true" outlineLevel="0" collapsed="false">
      <c r="A1534" s="27" t="s">
        <v>2961</v>
      </c>
      <c r="B1534" s="27" t="s">
        <v>384</v>
      </c>
      <c r="C1534" s="28" t="s">
        <v>41</v>
      </c>
      <c r="D1534" s="27" t="s">
        <v>2928</v>
      </c>
      <c r="E1534" s="27"/>
      <c r="F1534" s="29" t="s">
        <v>2962</v>
      </c>
      <c r="G1534" s="30" t="n">
        <v>75016</v>
      </c>
      <c r="H1534" s="31" t="s">
        <v>36</v>
      </c>
      <c r="I1534" s="32" t="n">
        <v>145017179</v>
      </c>
      <c r="J1534" s="33" t="n">
        <v>216</v>
      </c>
      <c r="K1534" s="33" t="n">
        <v>1</v>
      </c>
      <c r="L1534" s="34"/>
      <c r="M1534" s="35"/>
      <c r="N1534" s="36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9"/>
      <c r="Z1534" s="39"/>
      <c r="AA1534" s="28"/>
      <c r="AMJ1534" s="0"/>
    </row>
    <row r="1535" s="2" customFormat="true" ht="12.75" hidden="false" customHeight="true" outlineLevel="0" collapsed="false">
      <c r="A1535" s="27" t="s">
        <v>2963</v>
      </c>
      <c r="B1535" s="27" t="s">
        <v>763</v>
      </c>
      <c r="C1535" s="28" t="s">
        <v>138</v>
      </c>
      <c r="D1535" s="27" t="s">
        <v>2928</v>
      </c>
      <c r="E1535" s="27"/>
      <c r="F1535" s="29" t="s">
        <v>2964</v>
      </c>
      <c r="G1535" s="30" t="n">
        <v>75016</v>
      </c>
      <c r="H1535" s="31" t="s">
        <v>36</v>
      </c>
      <c r="I1535" s="32" t="n">
        <v>146412881</v>
      </c>
      <c r="J1535" s="33" t="n">
        <v>64</v>
      </c>
      <c r="K1535" s="33" t="n">
        <v>11</v>
      </c>
      <c r="L1535" s="34"/>
      <c r="M1535" s="35" t="s">
        <v>164</v>
      </c>
      <c r="N1535" s="36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9"/>
      <c r="Z1535" s="39"/>
      <c r="AA1535" s="28"/>
      <c r="AMJ1535" s="0"/>
    </row>
    <row r="1536" s="2" customFormat="true" ht="12.75" hidden="false" customHeight="true" outlineLevel="0" collapsed="false">
      <c r="A1536" s="27" t="s">
        <v>2965</v>
      </c>
      <c r="B1536" s="27" t="s">
        <v>2966</v>
      </c>
      <c r="C1536" s="28" t="s">
        <v>178</v>
      </c>
      <c r="D1536" s="27" t="s">
        <v>2928</v>
      </c>
      <c r="E1536" s="27"/>
      <c r="F1536" s="29" t="s">
        <v>2967</v>
      </c>
      <c r="G1536" s="30" t="n">
        <v>75016</v>
      </c>
      <c r="H1536" s="31" t="s">
        <v>36</v>
      </c>
      <c r="I1536" s="32" t="n">
        <v>145326751</v>
      </c>
      <c r="J1536" s="33" t="n">
        <v>188</v>
      </c>
      <c r="K1536" s="33" t="n">
        <v>1</v>
      </c>
      <c r="L1536" s="34"/>
      <c r="M1536" s="35"/>
      <c r="N1536" s="36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9"/>
      <c r="Z1536" s="39"/>
      <c r="AA1536" s="28"/>
      <c r="AMJ1536" s="0"/>
    </row>
    <row r="1537" s="2" customFormat="true" ht="12.75" hidden="false" customHeight="true" outlineLevel="0" collapsed="false">
      <c r="A1537" s="27" t="s">
        <v>2968</v>
      </c>
      <c r="B1537" s="27" t="s">
        <v>103</v>
      </c>
      <c r="C1537" s="28" t="s">
        <v>121</v>
      </c>
      <c r="D1537" s="27" t="s">
        <v>2928</v>
      </c>
      <c r="E1537" s="27"/>
      <c r="F1537" s="29" t="s">
        <v>2969</v>
      </c>
      <c r="G1537" s="30" t="n">
        <v>75016</v>
      </c>
      <c r="H1537" s="31" t="s">
        <v>36</v>
      </c>
      <c r="I1537" s="32" t="n">
        <v>145531408</v>
      </c>
      <c r="J1537" s="33" t="n">
        <v>175</v>
      </c>
      <c r="K1537" s="33" t="n">
        <v>8</v>
      </c>
      <c r="L1537" s="34" t="n">
        <v>2</v>
      </c>
      <c r="M1537" s="43" t="s">
        <v>155</v>
      </c>
      <c r="N1537" s="36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39" t="n">
        <v>45183.6770833333</v>
      </c>
      <c r="Z1537" s="0"/>
      <c r="AA1537" s="28" t="n">
        <v>3</v>
      </c>
      <c r="AMJ1537" s="0"/>
    </row>
    <row r="1538" s="2" customFormat="true" ht="12.75" hidden="false" customHeight="true" outlineLevel="0" collapsed="false">
      <c r="A1538" s="77" t="s">
        <v>2970</v>
      </c>
      <c r="B1538" s="27" t="s">
        <v>598</v>
      </c>
      <c r="C1538" s="28" t="s">
        <v>41</v>
      </c>
      <c r="D1538" s="27" t="s">
        <v>2928</v>
      </c>
      <c r="E1538" s="27"/>
      <c r="F1538" s="29" t="s">
        <v>2971</v>
      </c>
      <c r="G1538" s="30" t="n">
        <v>75016</v>
      </c>
      <c r="H1538" s="31" t="s">
        <v>36</v>
      </c>
      <c r="I1538" s="32" t="n">
        <v>145500369</v>
      </c>
      <c r="J1538" s="33" t="n">
        <v>155</v>
      </c>
      <c r="K1538" s="33" t="n">
        <v>3</v>
      </c>
      <c r="L1538" s="34" t="n">
        <v>2</v>
      </c>
      <c r="M1538" s="43"/>
      <c r="N1538" s="36" t="s">
        <v>118</v>
      </c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39" t="n">
        <v>45110.5833333333</v>
      </c>
      <c r="Z1538" s="39"/>
      <c r="AA1538" s="28"/>
      <c r="AMJ1538" s="0"/>
    </row>
    <row r="1539" s="2" customFormat="true" ht="12.75" hidden="false" customHeight="true" outlineLevel="0" collapsed="false">
      <c r="A1539" s="27" t="s">
        <v>2972</v>
      </c>
      <c r="B1539" s="27" t="s">
        <v>751</v>
      </c>
      <c r="C1539" s="28" t="s">
        <v>41</v>
      </c>
      <c r="D1539" s="27" t="s">
        <v>2928</v>
      </c>
      <c r="E1539" s="27"/>
      <c r="F1539" s="29" t="s">
        <v>2973</v>
      </c>
      <c r="G1539" s="30" t="n">
        <v>75016</v>
      </c>
      <c r="H1539" s="31" t="s">
        <v>36</v>
      </c>
      <c r="I1539" s="32"/>
      <c r="J1539" s="33" t="n">
        <v>11</v>
      </c>
      <c r="K1539" s="33" t="n">
        <v>1</v>
      </c>
      <c r="L1539" s="34"/>
      <c r="M1539" s="35"/>
      <c r="N1539" s="36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9"/>
      <c r="Z1539" s="39"/>
      <c r="AA1539" s="28"/>
      <c r="AMJ1539" s="0"/>
    </row>
    <row r="1540" s="2" customFormat="true" ht="12.75" hidden="false" customHeight="true" outlineLevel="0" collapsed="false">
      <c r="A1540" s="27" t="s">
        <v>2974</v>
      </c>
      <c r="B1540" s="27" t="s">
        <v>2975</v>
      </c>
      <c r="C1540" s="28" t="s">
        <v>138</v>
      </c>
      <c r="D1540" s="27" t="s">
        <v>2928</v>
      </c>
      <c r="E1540" s="27"/>
      <c r="F1540" s="29" t="s">
        <v>2976</v>
      </c>
      <c r="G1540" s="30" t="n">
        <v>75016</v>
      </c>
      <c r="H1540" s="31" t="s">
        <v>36</v>
      </c>
      <c r="I1540" s="32" t="n">
        <v>145039090</v>
      </c>
      <c r="J1540" s="33" t="n">
        <v>339</v>
      </c>
      <c r="K1540" s="33" t="n">
        <v>1</v>
      </c>
      <c r="L1540" s="34"/>
      <c r="M1540" s="35"/>
      <c r="N1540" s="36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9"/>
      <c r="Z1540" s="39"/>
      <c r="AA1540" s="28"/>
      <c r="AMJ1540" s="0"/>
    </row>
    <row r="1541" s="2" customFormat="true" ht="12.75" hidden="false" customHeight="true" outlineLevel="0" collapsed="false">
      <c r="A1541" s="27" t="s">
        <v>794</v>
      </c>
      <c r="B1541" s="27" t="s">
        <v>760</v>
      </c>
      <c r="C1541" s="28" t="s">
        <v>41</v>
      </c>
      <c r="D1541" s="27" t="s">
        <v>2928</v>
      </c>
      <c r="E1541" s="27"/>
      <c r="F1541" s="29" t="s">
        <v>2977</v>
      </c>
      <c r="G1541" s="30" t="n">
        <v>75016</v>
      </c>
      <c r="H1541" s="31" t="s">
        <v>36</v>
      </c>
      <c r="I1541" s="32" t="n">
        <v>147043243</v>
      </c>
      <c r="J1541" s="33" t="n">
        <v>236</v>
      </c>
      <c r="K1541" s="33" t="n">
        <v>3</v>
      </c>
      <c r="L1541" s="34"/>
      <c r="M1541" s="35"/>
      <c r="N1541" s="36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9"/>
      <c r="Z1541" s="39"/>
      <c r="AA1541" s="28"/>
      <c r="AMJ1541" s="0"/>
    </row>
    <row r="1542" s="2" customFormat="true" ht="12.75" hidden="false" customHeight="true" outlineLevel="0" collapsed="false">
      <c r="A1542" s="27" t="s">
        <v>2978</v>
      </c>
      <c r="B1542" s="27" t="s">
        <v>735</v>
      </c>
      <c r="C1542" s="28" t="s">
        <v>41</v>
      </c>
      <c r="D1542" s="27" t="s">
        <v>2928</v>
      </c>
      <c r="E1542" s="27"/>
      <c r="F1542" s="29" t="s">
        <v>2979</v>
      </c>
      <c r="G1542" s="30" t="n">
        <v>75016</v>
      </c>
      <c r="H1542" s="31" t="s">
        <v>36</v>
      </c>
      <c r="I1542" s="32" t="n">
        <v>975274463</v>
      </c>
      <c r="J1542" s="33" t="n">
        <v>176</v>
      </c>
      <c r="K1542" s="33" t="n">
        <v>2</v>
      </c>
      <c r="L1542" s="34"/>
      <c r="M1542" s="35"/>
      <c r="N1542" s="36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9"/>
      <c r="Z1542" s="39"/>
      <c r="AA1542" s="28"/>
      <c r="AMJ1542" s="0"/>
    </row>
    <row r="1543" s="2" customFormat="true" ht="12.75" hidden="false" customHeight="true" outlineLevel="0" collapsed="false">
      <c r="A1543" s="27" t="s">
        <v>2980</v>
      </c>
      <c r="B1543" s="27" t="s">
        <v>760</v>
      </c>
      <c r="C1543" s="28" t="s">
        <v>33</v>
      </c>
      <c r="D1543" s="27" t="s">
        <v>2928</v>
      </c>
      <c r="E1543" s="27"/>
      <c r="F1543" s="29" t="s">
        <v>2979</v>
      </c>
      <c r="G1543" s="30" t="n">
        <v>75016</v>
      </c>
      <c r="H1543" s="31" t="s">
        <v>36</v>
      </c>
      <c r="I1543" s="32" t="n">
        <v>967060726</v>
      </c>
      <c r="J1543" s="33" t="n">
        <v>66</v>
      </c>
      <c r="K1543" s="33" t="n">
        <v>1</v>
      </c>
      <c r="L1543" s="34"/>
      <c r="M1543" s="35"/>
      <c r="N1543" s="36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9"/>
      <c r="Z1543" s="39"/>
      <c r="AA1543" s="28"/>
      <c r="AC1543" s="2" t="s">
        <v>1484</v>
      </c>
      <c r="AMJ1543" s="0"/>
    </row>
    <row r="1544" s="2" customFormat="true" ht="12.75" hidden="false" customHeight="true" outlineLevel="0" collapsed="false">
      <c r="A1544" s="27" t="s">
        <v>2981</v>
      </c>
      <c r="B1544" s="27" t="s">
        <v>527</v>
      </c>
      <c r="C1544" s="28" t="s">
        <v>41</v>
      </c>
      <c r="D1544" s="27" t="s">
        <v>2928</v>
      </c>
      <c r="E1544" s="27"/>
      <c r="F1544" s="29" t="s">
        <v>2982</v>
      </c>
      <c r="G1544" s="30" t="n">
        <v>75016</v>
      </c>
      <c r="H1544" s="31" t="s">
        <v>36</v>
      </c>
      <c r="I1544" s="32" t="n">
        <v>145002322</v>
      </c>
      <c r="J1544" s="33" t="n">
        <v>115</v>
      </c>
      <c r="K1544" s="33" t="n">
        <v>3</v>
      </c>
      <c r="L1544" s="34"/>
      <c r="M1544" s="35"/>
      <c r="N1544" s="36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9"/>
      <c r="Z1544" s="39"/>
      <c r="AA1544" s="28"/>
      <c r="AMJ1544" s="0"/>
    </row>
    <row r="1545" s="2" customFormat="true" ht="12.75" hidden="false" customHeight="true" outlineLevel="0" collapsed="false">
      <c r="A1545" s="27" t="s">
        <v>2983</v>
      </c>
      <c r="B1545" s="27" t="s">
        <v>187</v>
      </c>
      <c r="C1545" s="28" t="s">
        <v>138</v>
      </c>
      <c r="D1545" s="27" t="s">
        <v>2928</v>
      </c>
      <c r="E1545" s="27"/>
      <c r="F1545" s="29" t="s">
        <v>2984</v>
      </c>
      <c r="G1545" s="30" t="n">
        <v>75016</v>
      </c>
      <c r="H1545" s="31" t="s">
        <v>36</v>
      </c>
      <c r="I1545" s="32"/>
      <c r="J1545" s="33" t="n">
        <v>277</v>
      </c>
      <c r="K1545" s="33" t="n">
        <v>3</v>
      </c>
      <c r="L1545" s="34"/>
      <c r="M1545" s="35"/>
      <c r="N1545" s="36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9"/>
      <c r="Z1545" s="39"/>
      <c r="AA1545" s="28"/>
      <c r="AMJ1545" s="0"/>
    </row>
    <row r="1546" s="2" customFormat="true" ht="12.75" hidden="false" customHeight="true" outlineLevel="0" collapsed="false">
      <c r="A1546" s="27" t="s">
        <v>2985</v>
      </c>
      <c r="B1546" s="27" t="s">
        <v>1843</v>
      </c>
      <c r="C1546" s="28" t="s">
        <v>138</v>
      </c>
      <c r="D1546" s="27" t="s">
        <v>2928</v>
      </c>
      <c r="E1546" s="27"/>
      <c r="F1546" s="29" t="s">
        <v>2986</v>
      </c>
      <c r="G1546" s="30" t="n">
        <v>75016</v>
      </c>
      <c r="H1546" s="31" t="s">
        <v>36</v>
      </c>
      <c r="I1546" s="32" t="n">
        <v>140740011</v>
      </c>
      <c r="J1546" s="33" t="n">
        <v>360</v>
      </c>
      <c r="K1546" s="33" t="n">
        <v>3</v>
      </c>
      <c r="L1546" s="34" t="n">
        <v>3</v>
      </c>
      <c r="M1546" s="35" t="s">
        <v>164</v>
      </c>
      <c r="N1546" s="36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39"/>
      <c r="Z1546" s="39"/>
      <c r="AA1546" s="28" t="n">
        <v>3</v>
      </c>
      <c r="AMJ1546" s="0"/>
    </row>
    <row r="1547" s="2" customFormat="true" ht="12.75" hidden="false" customHeight="true" outlineLevel="0" collapsed="false">
      <c r="A1547" s="27" t="s">
        <v>2987</v>
      </c>
      <c r="B1547" s="27" t="s">
        <v>1118</v>
      </c>
      <c r="C1547" s="28" t="s">
        <v>33</v>
      </c>
      <c r="D1547" s="27" t="s">
        <v>2928</v>
      </c>
      <c r="E1547" s="27"/>
      <c r="F1547" s="29" t="s">
        <v>2988</v>
      </c>
      <c r="G1547" s="30" t="n">
        <v>75016</v>
      </c>
      <c r="H1547" s="31" t="s">
        <v>36</v>
      </c>
      <c r="I1547" s="32" t="n">
        <v>145021285</v>
      </c>
      <c r="J1547" s="33" t="n">
        <v>67</v>
      </c>
      <c r="K1547" s="33" t="n">
        <v>0</v>
      </c>
      <c r="L1547" s="34"/>
      <c r="M1547" s="35"/>
      <c r="N1547" s="36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9"/>
      <c r="Z1547" s="39"/>
      <c r="AA1547" s="28"/>
      <c r="AC1547" s="2" t="s">
        <v>1484</v>
      </c>
      <c r="AMJ1547" s="0"/>
    </row>
    <row r="1548" s="2" customFormat="true" ht="12.75" hidden="false" customHeight="true" outlineLevel="0" collapsed="false">
      <c r="A1548" s="27" t="s">
        <v>2989</v>
      </c>
      <c r="B1548" s="27" t="s">
        <v>2990</v>
      </c>
      <c r="C1548" s="28" t="s">
        <v>138</v>
      </c>
      <c r="D1548" s="27" t="s">
        <v>2928</v>
      </c>
      <c r="E1548" s="27"/>
      <c r="F1548" s="29" t="s">
        <v>2991</v>
      </c>
      <c r="G1548" s="30" t="n">
        <v>75016</v>
      </c>
      <c r="H1548" s="31" t="s">
        <v>36</v>
      </c>
      <c r="I1548" s="32" t="n">
        <v>153640264</v>
      </c>
      <c r="J1548" s="33" t="n">
        <v>221</v>
      </c>
      <c r="K1548" s="33" t="n">
        <v>1</v>
      </c>
      <c r="L1548" s="34"/>
      <c r="M1548" s="35"/>
      <c r="N1548" s="36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9"/>
      <c r="Z1548" s="39"/>
      <c r="AA1548" s="28"/>
      <c r="AMJ1548" s="0"/>
    </row>
    <row r="1549" s="2" customFormat="true" ht="12.75" hidden="false" customHeight="true" outlineLevel="0" collapsed="false">
      <c r="A1549" s="27" t="s">
        <v>2992</v>
      </c>
      <c r="B1549" s="27" t="s">
        <v>55</v>
      </c>
      <c r="C1549" s="28" t="s">
        <v>41</v>
      </c>
      <c r="D1549" s="27" t="s">
        <v>2928</v>
      </c>
      <c r="E1549" s="27"/>
      <c r="F1549" s="29" t="s">
        <v>2993</v>
      </c>
      <c r="G1549" s="30" t="n">
        <v>75016</v>
      </c>
      <c r="H1549" s="31" t="s">
        <v>36</v>
      </c>
      <c r="I1549" s="32" t="n">
        <v>147550850</v>
      </c>
      <c r="J1549" s="33" t="n">
        <v>209</v>
      </c>
      <c r="K1549" s="33" t="n">
        <v>1</v>
      </c>
      <c r="L1549" s="34"/>
      <c r="M1549" s="35"/>
      <c r="N1549" s="36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9"/>
      <c r="Z1549" s="39"/>
      <c r="AA1549" s="28"/>
      <c r="AMJ1549" s="0"/>
    </row>
    <row r="1550" s="2" customFormat="true" ht="12.75" hidden="false" customHeight="true" outlineLevel="0" collapsed="false">
      <c r="A1550" s="27" t="s">
        <v>2994</v>
      </c>
      <c r="B1550" s="27" t="s">
        <v>1685</v>
      </c>
      <c r="C1550" s="28" t="s">
        <v>77</v>
      </c>
      <c r="D1550" s="27" t="s">
        <v>2928</v>
      </c>
      <c r="E1550" s="27"/>
      <c r="F1550" s="29" t="s">
        <v>2995</v>
      </c>
      <c r="G1550" s="30" t="n">
        <v>75016</v>
      </c>
      <c r="H1550" s="31" t="s">
        <v>36</v>
      </c>
      <c r="I1550" s="32" t="n">
        <v>189166776</v>
      </c>
      <c r="J1550" s="33" t="n">
        <v>253</v>
      </c>
      <c r="K1550" s="33" t="n">
        <v>2</v>
      </c>
      <c r="L1550" s="34"/>
      <c r="M1550" s="35"/>
      <c r="N1550" s="36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9"/>
      <c r="Z1550" s="39"/>
      <c r="AA1550" s="28"/>
      <c r="AMJ1550" s="0"/>
    </row>
    <row r="1551" s="2" customFormat="true" ht="12.75" hidden="false" customHeight="true" outlineLevel="0" collapsed="false">
      <c r="A1551" s="27" t="s">
        <v>2996</v>
      </c>
      <c r="B1551" s="27" t="s">
        <v>2997</v>
      </c>
      <c r="C1551" s="28" t="s">
        <v>41</v>
      </c>
      <c r="D1551" s="27" t="s">
        <v>2928</v>
      </c>
      <c r="E1551" s="27"/>
      <c r="F1551" s="29" t="s">
        <v>2998</v>
      </c>
      <c r="G1551" s="30" t="n">
        <v>75016</v>
      </c>
      <c r="H1551" s="31" t="s">
        <v>36</v>
      </c>
      <c r="I1551" s="32"/>
      <c r="J1551" s="33" t="n">
        <v>153</v>
      </c>
      <c r="K1551" s="33" t="n">
        <v>1</v>
      </c>
      <c r="L1551" s="34"/>
      <c r="M1551" s="35"/>
      <c r="N1551" s="36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9"/>
      <c r="Z1551" s="39"/>
      <c r="AA1551" s="28"/>
      <c r="AMJ1551" s="0"/>
    </row>
    <row r="1552" s="2" customFormat="true" ht="12.75" hidden="false" customHeight="true" outlineLevel="0" collapsed="false">
      <c r="A1552" s="27" t="s">
        <v>2999</v>
      </c>
      <c r="B1552" s="27" t="s">
        <v>769</v>
      </c>
      <c r="C1552" s="28" t="s">
        <v>33</v>
      </c>
      <c r="D1552" s="27" t="s">
        <v>2928</v>
      </c>
      <c r="E1552" s="27"/>
      <c r="F1552" s="29" t="s">
        <v>3000</v>
      </c>
      <c r="G1552" s="30" t="n">
        <v>75016</v>
      </c>
      <c r="H1552" s="31" t="s">
        <v>36</v>
      </c>
      <c r="I1552" s="32"/>
      <c r="J1552" s="33" t="n">
        <v>32</v>
      </c>
      <c r="K1552" s="33" t="n">
        <v>1</v>
      </c>
      <c r="L1552" s="34"/>
      <c r="M1552" s="35"/>
      <c r="N1552" s="36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9"/>
      <c r="Z1552" s="39"/>
      <c r="AA1552" s="28"/>
      <c r="AC1552" s="2" t="s">
        <v>1478</v>
      </c>
      <c r="AMJ1552" s="0"/>
    </row>
    <row r="1553" s="2" customFormat="true" ht="12.75" hidden="false" customHeight="true" outlineLevel="0" collapsed="false">
      <c r="A1553" s="27" t="s">
        <v>3001</v>
      </c>
      <c r="B1553" s="27" t="s">
        <v>395</v>
      </c>
      <c r="C1553" s="28" t="s">
        <v>33</v>
      </c>
      <c r="D1553" s="27" t="s">
        <v>2928</v>
      </c>
      <c r="E1553" s="27"/>
      <c r="F1553" s="29" t="s">
        <v>3002</v>
      </c>
      <c r="G1553" s="30" t="n">
        <v>75016</v>
      </c>
      <c r="H1553" s="31" t="s">
        <v>36</v>
      </c>
      <c r="I1553" s="32" t="n">
        <v>144059637</v>
      </c>
      <c r="J1553" s="33" t="n">
        <v>51</v>
      </c>
      <c r="K1553" s="33" t="n">
        <v>1</v>
      </c>
      <c r="L1553" s="34"/>
      <c r="M1553" s="35"/>
      <c r="N1553" s="36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9"/>
      <c r="Z1553" s="39"/>
      <c r="AA1553" s="28"/>
      <c r="AC1553" s="2" t="s">
        <v>38</v>
      </c>
      <c r="AMJ1553" s="0"/>
    </row>
    <row r="1554" s="2" customFormat="true" ht="12.75" hidden="false" customHeight="true" outlineLevel="0" collapsed="false">
      <c r="A1554" s="27" t="s">
        <v>3003</v>
      </c>
      <c r="B1554" s="27" t="s">
        <v>1180</v>
      </c>
      <c r="C1554" s="28" t="s">
        <v>41</v>
      </c>
      <c r="D1554" s="27" t="s">
        <v>2928</v>
      </c>
      <c r="E1554" s="27"/>
      <c r="F1554" s="29" t="s">
        <v>3004</v>
      </c>
      <c r="G1554" s="30" t="n">
        <v>75016</v>
      </c>
      <c r="H1554" s="31" t="s">
        <v>36</v>
      </c>
      <c r="I1554" s="32" t="n">
        <v>145051312</v>
      </c>
      <c r="J1554" s="33" t="n">
        <v>270</v>
      </c>
      <c r="K1554" s="33" t="n">
        <v>1</v>
      </c>
      <c r="L1554" s="34"/>
      <c r="M1554" s="35"/>
      <c r="N1554" s="36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9"/>
      <c r="Z1554" s="39"/>
      <c r="AA1554" s="28"/>
      <c r="AMJ1554" s="0"/>
    </row>
    <row r="1555" s="2" customFormat="true" ht="12.75" hidden="false" customHeight="true" outlineLevel="0" collapsed="false">
      <c r="A1555" s="27" t="s">
        <v>3005</v>
      </c>
      <c r="B1555" s="27" t="s">
        <v>1670</v>
      </c>
      <c r="C1555" s="28" t="s">
        <v>33</v>
      </c>
      <c r="D1555" s="27" t="s">
        <v>2928</v>
      </c>
      <c r="E1555" s="27"/>
      <c r="F1555" s="29" t="s">
        <v>3006</v>
      </c>
      <c r="G1555" s="30" t="n">
        <v>75016</v>
      </c>
      <c r="H1555" s="31" t="s">
        <v>36</v>
      </c>
      <c r="I1555" s="32"/>
      <c r="J1555" s="33" t="n">
        <v>69</v>
      </c>
      <c r="K1555" s="33" t="n">
        <v>1</v>
      </c>
      <c r="L1555" s="34"/>
      <c r="M1555" s="35"/>
      <c r="N1555" s="36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9"/>
      <c r="Z1555" s="39"/>
      <c r="AA1555" s="28"/>
      <c r="AC1555" s="2" t="s">
        <v>38</v>
      </c>
      <c r="AMJ1555" s="0"/>
    </row>
    <row r="1556" s="2" customFormat="true" ht="12.75" hidden="false" customHeight="true" outlineLevel="0" collapsed="false">
      <c r="A1556" s="27" t="s">
        <v>3007</v>
      </c>
      <c r="B1556" s="27" t="s">
        <v>3008</v>
      </c>
      <c r="C1556" s="28" t="s">
        <v>33</v>
      </c>
      <c r="D1556" s="27" t="s">
        <v>2928</v>
      </c>
      <c r="E1556" s="27"/>
      <c r="F1556" s="29" t="s">
        <v>3006</v>
      </c>
      <c r="G1556" s="30" t="n">
        <v>75016</v>
      </c>
      <c r="H1556" s="31" t="s">
        <v>36</v>
      </c>
      <c r="I1556" s="32"/>
      <c r="J1556" s="33" t="n">
        <v>52</v>
      </c>
      <c r="K1556" s="33" t="n">
        <v>1</v>
      </c>
      <c r="L1556" s="34" t="n">
        <v>1</v>
      </c>
      <c r="M1556" s="35"/>
      <c r="N1556" s="36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39"/>
      <c r="Z1556" s="39"/>
      <c r="AA1556" s="28"/>
      <c r="AC1556" s="2" t="s">
        <v>108</v>
      </c>
      <c r="AD1556" s="2" t="s">
        <v>109</v>
      </c>
      <c r="AE1556" s="2" t="s">
        <v>110</v>
      </c>
      <c r="AMJ1556" s="0"/>
    </row>
    <row r="1557" s="2" customFormat="true" ht="12.75" hidden="false" customHeight="true" outlineLevel="0" collapsed="false">
      <c r="A1557" s="27" t="s">
        <v>3009</v>
      </c>
      <c r="B1557" s="27" t="s">
        <v>669</v>
      </c>
      <c r="C1557" s="28" t="s">
        <v>138</v>
      </c>
      <c r="D1557" s="27" t="s">
        <v>2928</v>
      </c>
      <c r="E1557" s="27"/>
      <c r="F1557" s="29" t="s">
        <v>3010</v>
      </c>
      <c r="G1557" s="30" t="n">
        <v>75016</v>
      </c>
      <c r="H1557" s="31" t="s">
        <v>36</v>
      </c>
      <c r="I1557" s="32"/>
      <c r="J1557" s="33" t="n">
        <v>122</v>
      </c>
      <c r="K1557" s="33" t="n">
        <v>1</v>
      </c>
      <c r="L1557" s="34"/>
      <c r="M1557" s="35"/>
      <c r="N1557" s="36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9"/>
      <c r="Z1557" s="39"/>
      <c r="AA1557" s="28"/>
      <c r="AMJ1557" s="0"/>
    </row>
    <row r="1558" s="2" customFormat="true" ht="12.75" hidden="false" customHeight="true" outlineLevel="0" collapsed="false">
      <c r="A1558" s="27" t="s">
        <v>3011</v>
      </c>
      <c r="B1558" s="27" t="s">
        <v>3012</v>
      </c>
      <c r="C1558" s="28" t="s">
        <v>138</v>
      </c>
      <c r="D1558" s="27" t="s">
        <v>2928</v>
      </c>
      <c r="E1558" s="27"/>
      <c r="F1558" s="29" t="s">
        <v>3010</v>
      </c>
      <c r="G1558" s="30" t="n">
        <v>75016</v>
      </c>
      <c r="H1558" s="31" t="s">
        <v>36</v>
      </c>
      <c r="I1558" s="32"/>
      <c r="J1558" s="33" t="n">
        <v>114</v>
      </c>
      <c r="K1558" s="33" t="n">
        <v>1</v>
      </c>
      <c r="L1558" s="34"/>
      <c r="M1558" s="35"/>
      <c r="N1558" s="36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9"/>
      <c r="Z1558" s="39"/>
      <c r="AA1558" s="28"/>
      <c r="AMJ1558" s="0"/>
    </row>
    <row r="1559" s="2" customFormat="true" ht="12.75" hidden="false" customHeight="true" outlineLevel="0" collapsed="false">
      <c r="A1559" s="27" t="s">
        <v>3013</v>
      </c>
      <c r="B1559" s="27" t="s">
        <v>3014</v>
      </c>
      <c r="C1559" s="28" t="s">
        <v>138</v>
      </c>
      <c r="D1559" s="27" t="s">
        <v>2928</v>
      </c>
      <c r="E1559" s="27"/>
      <c r="F1559" s="29" t="s">
        <v>3010</v>
      </c>
      <c r="G1559" s="30" t="n">
        <v>75016</v>
      </c>
      <c r="H1559" s="31" t="s">
        <v>36</v>
      </c>
      <c r="I1559" s="32"/>
      <c r="J1559" s="33" t="n">
        <v>93</v>
      </c>
      <c r="K1559" s="33" t="n">
        <v>1</v>
      </c>
      <c r="L1559" s="34"/>
      <c r="M1559" s="35"/>
      <c r="N1559" s="36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9"/>
      <c r="Z1559" s="39"/>
      <c r="AA1559" s="28"/>
      <c r="AMJ1559" s="0"/>
    </row>
    <row r="1560" s="2" customFormat="true" ht="12.75" hidden="false" customHeight="true" outlineLevel="0" collapsed="false">
      <c r="A1560" s="27" t="s">
        <v>3015</v>
      </c>
      <c r="B1560" s="27" t="s">
        <v>3016</v>
      </c>
      <c r="C1560" s="28" t="s">
        <v>138</v>
      </c>
      <c r="D1560" s="27" t="s">
        <v>2928</v>
      </c>
      <c r="E1560" s="27"/>
      <c r="F1560" s="29" t="s">
        <v>3010</v>
      </c>
      <c r="G1560" s="30" t="n">
        <v>75016</v>
      </c>
      <c r="H1560" s="31" t="s">
        <v>36</v>
      </c>
      <c r="I1560" s="32" t="n">
        <v>142671368</v>
      </c>
      <c r="J1560" s="33" t="n">
        <v>73</v>
      </c>
      <c r="K1560" s="33" t="n">
        <v>3</v>
      </c>
      <c r="L1560" s="34"/>
      <c r="M1560" s="35"/>
      <c r="N1560" s="36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9"/>
      <c r="Z1560" s="39"/>
      <c r="AA1560" s="28"/>
      <c r="AMJ1560" s="0"/>
    </row>
    <row r="1561" s="2" customFormat="true" ht="12.75" hidden="false" customHeight="true" outlineLevel="0" collapsed="false">
      <c r="A1561" s="27" t="s">
        <v>3017</v>
      </c>
      <c r="B1561" s="27" t="s">
        <v>973</v>
      </c>
      <c r="C1561" s="28" t="s">
        <v>41</v>
      </c>
      <c r="D1561" s="27" t="s">
        <v>2928</v>
      </c>
      <c r="E1561" s="27"/>
      <c r="F1561" s="29" t="s">
        <v>3018</v>
      </c>
      <c r="G1561" s="30" t="n">
        <v>75016</v>
      </c>
      <c r="H1561" s="31" t="s">
        <v>36</v>
      </c>
      <c r="I1561" s="32" t="n">
        <v>153238023</v>
      </c>
      <c r="J1561" s="33" t="n">
        <v>202</v>
      </c>
      <c r="K1561" s="33" t="n">
        <v>1</v>
      </c>
      <c r="L1561" s="34"/>
      <c r="M1561" s="35"/>
      <c r="N1561" s="36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9"/>
      <c r="Z1561" s="39"/>
      <c r="AA1561" s="28"/>
      <c r="AMJ1561" s="0"/>
    </row>
    <row r="1562" s="2" customFormat="true" ht="12.75" hidden="false" customHeight="true" outlineLevel="0" collapsed="false">
      <c r="A1562" s="27" t="s">
        <v>882</v>
      </c>
      <c r="B1562" s="27" t="s">
        <v>2302</v>
      </c>
      <c r="C1562" s="28" t="s">
        <v>178</v>
      </c>
      <c r="D1562" s="27" t="s">
        <v>2928</v>
      </c>
      <c r="E1562" s="27"/>
      <c r="F1562" s="29" t="s">
        <v>3019</v>
      </c>
      <c r="G1562" s="30" t="n">
        <v>75016</v>
      </c>
      <c r="H1562" s="31" t="s">
        <v>36</v>
      </c>
      <c r="I1562" s="32" t="n">
        <v>147045052</v>
      </c>
      <c r="J1562" s="33" t="n">
        <v>160</v>
      </c>
      <c r="K1562" s="33" t="n">
        <v>2</v>
      </c>
      <c r="L1562" s="34" t="n">
        <v>1</v>
      </c>
      <c r="M1562" s="35" t="s">
        <v>164</v>
      </c>
      <c r="N1562" s="36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39"/>
      <c r="Z1562" s="39"/>
      <c r="AA1562" s="28" t="n">
        <v>2</v>
      </c>
      <c r="AMJ1562" s="0"/>
    </row>
    <row r="1563" s="2" customFormat="true" ht="12.75" hidden="false" customHeight="true" outlineLevel="0" collapsed="false">
      <c r="A1563" s="27" t="s">
        <v>3020</v>
      </c>
      <c r="B1563" s="27" t="s">
        <v>329</v>
      </c>
      <c r="C1563" s="28" t="s">
        <v>41</v>
      </c>
      <c r="D1563" s="27" t="s">
        <v>2928</v>
      </c>
      <c r="E1563" s="27"/>
      <c r="F1563" s="29" t="s">
        <v>3021</v>
      </c>
      <c r="G1563" s="30" t="n">
        <v>75016</v>
      </c>
      <c r="H1563" s="31" t="s">
        <v>36</v>
      </c>
      <c r="I1563" s="32" t="n">
        <v>153709000</v>
      </c>
      <c r="J1563" s="33" t="n">
        <v>194</v>
      </c>
      <c r="K1563" s="33" t="n">
        <v>1</v>
      </c>
      <c r="L1563" s="34"/>
      <c r="M1563" s="35"/>
      <c r="N1563" s="36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9"/>
      <c r="Z1563" s="39"/>
      <c r="AA1563" s="28"/>
      <c r="AMJ1563" s="0"/>
    </row>
    <row r="1564" s="2" customFormat="true" ht="12.75" hidden="false" customHeight="true" outlineLevel="0" collapsed="false">
      <c r="A1564" s="27" t="s">
        <v>3022</v>
      </c>
      <c r="B1564" s="27" t="s">
        <v>1094</v>
      </c>
      <c r="C1564" s="28" t="s">
        <v>41</v>
      </c>
      <c r="D1564" s="27" t="s">
        <v>2928</v>
      </c>
      <c r="E1564" s="27"/>
      <c r="F1564" s="29" t="s">
        <v>3023</v>
      </c>
      <c r="G1564" s="30" t="n">
        <v>75016</v>
      </c>
      <c r="H1564" s="31" t="s">
        <v>36</v>
      </c>
      <c r="I1564" s="32" t="n">
        <v>153750655</v>
      </c>
      <c r="J1564" s="33" t="n">
        <v>197</v>
      </c>
      <c r="K1564" s="33" t="n">
        <v>1</v>
      </c>
      <c r="L1564" s="34"/>
      <c r="M1564" s="35"/>
      <c r="N1564" s="36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9"/>
      <c r="Z1564" s="39"/>
      <c r="AA1564" s="28"/>
      <c r="AMJ1564" s="0"/>
    </row>
    <row r="1565" s="2" customFormat="true" ht="12.75" hidden="false" customHeight="true" outlineLevel="0" collapsed="false">
      <c r="A1565" s="27" t="s">
        <v>3024</v>
      </c>
      <c r="B1565" s="27" t="s">
        <v>2567</v>
      </c>
      <c r="C1565" s="28" t="s">
        <v>41</v>
      </c>
      <c r="D1565" s="27" t="s">
        <v>2928</v>
      </c>
      <c r="E1565" s="27"/>
      <c r="F1565" s="29" t="s">
        <v>3023</v>
      </c>
      <c r="G1565" s="30" t="n">
        <v>75016</v>
      </c>
      <c r="H1565" s="31" t="s">
        <v>36</v>
      </c>
      <c r="I1565" s="32" t="n">
        <v>153750655</v>
      </c>
      <c r="J1565" s="33" t="n">
        <v>188</v>
      </c>
      <c r="K1565" s="33" t="n">
        <v>1</v>
      </c>
      <c r="L1565" s="34"/>
      <c r="M1565" s="35"/>
      <c r="N1565" s="36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9"/>
      <c r="Z1565" s="39"/>
      <c r="AA1565" s="28"/>
      <c r="AMJ1565" s="0"/>
    </row>
    <row r="1566" s="2" customFormat="true" ht="12.75" hidden="false" customHeight="true" outlineLevel="0" collapsed="false">
      <c r="A1566" s="27" t="s">
        <v>3025</v>
      </c>
      <c r="B1566" s="27" t="s">
        <v>844</v>
      </c>
      <c r="C1566" s="28" t="s">
        <v>33</v>
      </c>
      <c r="D1566" s="27" t="s">
        <v>2928</v>
      </c>
      <c r="E1566" s="27"/>
      <c r="F1566" s="29" t="s">
        <v>3023</v>
      </c>
      <c r="G1566" s="30" t="n">
        <v>75016</v>
      </c>
      <c r="H1566" s="31" t="s">
        <v>36</v>
      </c>
      <c r="I1566" s="32" t="n">
        <v>145028077</v>
      </c>
      <c r="J1566" s="33" t="n">
        <v>73</v>
      </c>
      <c r="K1566" s="33" t="n">
        <v>1</v>
      </c>
      <c r="L1566" s="34"/>
      <c r="M1566" s="35"/>
      <c r="N1566" s="36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9"/>
      <c r="Z1566" s="39"/>
      <c r="AA1566" s="28"/>
      <c r="AC1566" s="2" t="s">
        <v>1478</v>
      </c>
      <c r="AMJ1566" s="0"/>
    </row>
    <row r="1567" s="2" customFormat="true" ht="12.75" hidden="false" customHeight="true" outlineLevel="0" collapsed="false">
      <c r="A1567" s="27" t="s">
        <v>3026</v>
      </c>
      <c r="B1567" s="27" t="s">
        <v>187</v>
      </c>
      <c r="C1567" s="28" t="s">
        <v>33</v>
      </c>
      <c r="D1567" s="27" t="s">
        <v>2928</v>
      </c>
      <c r="E1567" s="27"/>
      <c r="F1567" s="29" t="s">
        <v>3027</v>
      </c>
      <c r="G1567" s="30" t="n">
        <v>75016</v>
      </c>
      <c r="H1567" s="31" t="s">
        <v>36</v>
      </c>
      <c r="I1567" s="32" t="n">
        <v>147049598</v>
      </c>
      <c r="J1567" s="33" t="n">
        <v>60</v>
      </c>
      <c r="K1567" s="33" t="n">
        <v>1</v>
      </c>
      <c r="L1567" s="34"/>
      <c r="M1567" s="35"/>
      <c r="N1567" s="36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9"/>
      <c r="Z1567" s="39"/>
      <c r="AA1567" s="28"/>
      <c r="AC1567" s="2" t="s">
        <v>38</v>
      </c>
      <c r="AMJ1567" s="0"/>
    </row>
    <row r="1568" s="2" customFormat="true" ht="12.75" hidden="false" customHeight="true" outlineLevel="0" collapsed="false">
      <c r="A1568" s="27" t="s">
        <v>3028</v>
      </c>
      <c r="B1568" s="27" t="s">
        <v>1236</v>
      </c>
      <c r="C1568" s="28" t="s">
        <v>41</v>
      </c>
      <c r="D1568" s="27" t="s">
        <v>2928</v>
      </c>
      <c r="E1568" s="27" t="s">
        <v>3029</v>
      </c>
      <c r="F1568" s="29" t="s">
        <v>3030</v>
      </c>
      <c r="G1568" s="30" t="n">
        <v>75016</v>
      </c>
      <c r="H1568" s="31" t="s">
        <v>36</v>
      </c>
      <c r="I1568" s="32" t="n">
        <v>140693435</v>
      </c>
      <c r="J1568" s="33" t="n">
        <v>236</v>
      </c>
      <c r="K1568" s="33" t="n">
        <v>9</v>
      </c>
      <c r="L1568" s="34"/>
      <c r="M1568" s="35"/>
      <c r="N1568" s="36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9"/>
      <c r="Z1568" s="39"/>
      <c r="AA1568" s="28"/>
      <c r="AMJ1568" s="0"/>
    </row>
    <row r="1569" s="2" customFormat="true" ht="12.75" hidden="false" customHeight="true" outlineLevel="0" collapsed="false">
      <c r="A1569" s="27" t="s">
        <v>3031</v>
      </c>
      <c r="B1569" s="27" t="s">
        <v>3032</v>
      </c>
      <c r="C1569" s="28" t="s">
        <v>41</v>
      </c>
      <c r="D1569" s="27" t="s">
        <v>2928</v>
      </c>
      <c r="E1569" s="27" t="s">
        <v>3029</v>
      </c>
      <c r="F1569" s="29" t="s">
        <v>3030</v>
      </c>
      <c r="G1569" s="30" t="n">
        <v>75016</v>
      </c>
      <c r="H1569" s="31" t="s">
        <v>36</v>
      </c>
      <c r="I1569" s="32"/>
      <c r="J1569" s="33" t="n">
        <v>214</v>
      </c>
      <c r="K1569" s="33" t="n">
        <v>1</v>
      </c>
      <c r="L1569" s="34"/>
      <c r="M1569" s="35"/>
      <c r="N1569" s="36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9"/>
      <c r="Z1569" s="39"/>
      <c r="AA1569" s="28"/>
      <c r="AMJ1569" s="0"/>
    </row>
    <row r="1570" s="2" customFormat="true" ht="12.75" hidden="false" customHeight="true" outlineLevel="0" collapsed="false">
      <c r="A1570" s="27" t="s">
        <v>3033</v>
      </c>
      <c r="B1570" s="27" t="s">
        <v>2540</v>
      </c>
      <c r="C1570" s="28" t="s">
        <v>41</v>
      </c>
      <c r="D1570" s="27" t="s">
        <v>2928</v>
      </c>
      <c r="E1570" s="27" t="s">
        <v>3029</v>
      </c>
      <c r="F1570" s="29" t="s">
        <v>3030</v>
      </c>
      <c r="G1570" s="30" t="n">
        <v>75016</v>
      </c>
      <c r="H1570" s="31" t="s">
        <v>36</v>
      </c>
      <c r="I1570" s="32" t="n">
        <v>140693435</v>
      </c>
      <c r="J1570" s="33" t="n">
        <v>182</v>
      </c>
      <c r="K1570" s="33" t="n">
        <v>3</v>
      </c>
      <c r="L1570" s="34"/>
      <c r="M1570" s="35"/>
      <c r="N1570" s="36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9"/>
      <c r="Z1570" s="39"/>
      <c r="AA1570" s="28"/>
      <c r="AMJ1570" s="0"/>
    </row>
    <row r="1571" s="2" customFormat="true" ht="12.75" hidden="false" customHeight="true" outlineLevel="0" collapsed="false">
      <c r="A1571" s="27" t="s">
        <v>3034</v>
      </c>
      <c r="B1571" s="27" t="s">
        <v>751</v>
      </c>
      <c r="C1571" s="28" t="s">
        <v>41</v>
      </c>
      <c r="D1571" s="27" t="s">
        <v>2928</v>
      </c>
      <c r="E1571" s="27" t="s">
        <v>3029</v>
      </c>
      <c r="F1571" s="29" t="s">
        <v>3030</v>
      </c>
      <c r="G1571" s="30" t="n">
        <v>75016</v>
      </c>
      <c r="H1571" s="31" t="s">
        <v>36</v>
      </c>
      <c r="I1571" s="32"/>
      <c r="J1571" s="33" t="n">
        <v>176</v>
      </c>
      <c r="K1571" s="33" t="n">
        <v>4</v>
      </c>
      <c r="L1571" s="34"/>
      <c r="M1571" s="35"/>
      <c r="N1571" s="36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9"/>
      <c r="Z1571" s="39"/>
      <c r="AA1571" s="28"/>
      <c r="AMJ1571" s="0"/>
    </row>
    <row r="1572" s="2" customFormat="true" ht="12.75" hidden="false" customHeight="true" outlineLevel="0" collapsed="false">
      <c r="A1572" s="27" t="s">
        <v>3035</v>
      </c>
      <c r="B1572" s="27" t="s">
        <v>842</v>
      </c>
      <c r="C1572" s="28" t="s">
        <v>41</v>
      </c>
      <c r="D1572" s="27" t="s">
        <v>2928</v>
      </c>
      <c r="E1572" s="27" t="s">
        <v>3029</v>
      </c>
      <c r="F1572" s="29" t="s">
        <v>3030</v>
      </c>
      <c r="G1572" s="30" t="n">
        <v>75016</v>
      </c>
      <c r="H1572" s="31" t="s">
        <v>36</v>
      </c>
      <c r="I1572" s="32" t="n">
        <v>140693514</v>
      </c>
      <c r="J1572" s="33" t="n">
        <v>159</v>
      </c>
      <c r="K1572" s="33" t="n">
        <v>3</v>
      </c>
      <c r="L1572" s="34"/>
      <c r="M1572" s="35"/>
      <c r="N1572" s="36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9"/>
      <c r="Z1572" s="39"/>
      <c r="AA1572" s="28"/>
      <c r="AMJ1572" s="0"/>
    </row>
    <row r="1573" s="2" customFormat="true" ht="12.75" hidden="false" customHeight="true" outlineLevel="0" collapsed="false">
      <c r="A1573" s="27" t="s">
        <v>3036</v>
      </c>
      <c r="B1573" s="27" t="s">
        <v>195</v>
      </c>
      <c r="C1573" s="28" t="s">
        <v>33</v>
      </c>
      <c r="D1573" s="27" t="s">
        <v>2928</v>
      </c>
      <c r="E1573" s="27"/>
      <c r="F1573" s="29" t="s">
        <v>3037</v>
      </c>
      <c r="G1573" s="30" t="n">
        <v>75016</v>
      </c>
      <c r="H1573" s="31" t="s">
        <v>36</v>
      </c>
      <c r="I1573" s="32" t="n">
        <v>147556162</v>
      </c>
      <c r="J1573" s="33" t="n">
        <v>68</v>
      </c>
      <c r="K1573" s="33" t="n">
        <v>0</v>
      </c>
      <c r="L1573" s="34"/>
      <c r="M1573" s="35"/>
      <c r="N1573" s="36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9"/>
      <c r="Z1573" s="39"/>
      <c r="AA1573" s="28"/>
      <c r="AC1573" s="2" t="s">
        <v>38</v>
      </c>
      <c r="AMJ1573" s="0"/>
    </row>
    <row r="1574" s="2" customFormat="true" ht="12.75" hidden="false" customHeight="true" outlineLevel="0" collapsed="false">
      <c r="A1574" s="27" t="s">
        <v>3038</v>
      </c>
      <c r="B1574" s="27" t="s">
        <v>558</v>
      </c>
      <c r="C1574" s="28" t="s">
        <v>33</v>
      </c>
      <c r="D1574" s="27" t="s">
        <v>2928</v>
      </c>
      <c r="E1574" s="27"/>
      <c r="F1574" s="29" t="s">
        <v>3039</v>
      </c>
      <c r="G1574" s="30" t="n">
        <v>75016</v>
      </c>
      <c r="H1574" s="31" t="s">
        <v>36</v>
      </c>
      <c r="I1574" s="32" t="n">
        <v>142337717</v>
      </c>
      <c r="J1574" s="33" t="n">
        <v>53</v>
      </c>
      <c r="K1574" s="33" t="n">
        <v>0</v>
      </c>
      <c r="L1574" s="34"/>
      <c r="M1574" s="35"/>
      <c r="N1574" s="36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9"/>
      <c r="Z1574" s="39"/>
      <c r="AA1574" s="28"/>
      <c r="AC1574" s="2" t="s">
        <v>1484</v>
      </c>
      <c r="AMJ1574" s="0"/>
    </row>
    <row r="1575" s="2" customFormat="true" ht="12.75" hidden="false" customHeight="true" outlineLevel="0" collapsed="false">
      <c r="A1575" s="27" t="s">
        <v>3040</v>
      </c>
      <c r="B1575" s="27" t="s">
        <v>3041</v>
      </c>
      <c r="C1575" s="28" t="s">
        <v>138</v>
      </c>
      <c r="D1575" s="27" t="s">
        <v>2928</v>
      </c>
      <c r="E1575" s="27"/>
      <c r="F1575" s="29" t="s">
        <v>3042</v>
      </c>
      <c r="G1575" s="30" t="n">
        <v>75016</v>
      </c>
      <c r="H1575" s="31" t="s">
        <v>36</v>
      </c>
      <c r="I1575" s="32" t="n">
        <v>147041414</v>
      </c>
      <c r="J1575" s="33" t="n">
        <v>103</v>
      </c>
      <c r="K1575" s="33" t="n">
        <v>1</v>
      </c>
      <c r="L1575" s="34"/>
      <c r="M1575" s="35"/>
      <c r="N1575" s="36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9"/>
      <c r="Z1575" s="39"/>
      <c r="AA1575" s="28"/>
      <c r="AMJ1575" s="0"/>
    </row>
    <row r="1576" s="2" customFormat="true" ht="12.75" hidden="false" customHeight="true" outlineLevel="0" collapsed="false">
      <c r="A1576" s="27" t="s">
        <v>3043</v>
      </c>
      <c r="B1576" s="27" t="s">
        <v>3044</v>
      </c>
      <c r="C1576" s="28" t="s">
        <v>138</v>
      </c>
      <c r="D1576" s="27" t="s">
        <v>2928</v>
      </c>
      <c r="E1576" s="27"/>
      <c r="F1576" s="29" t="s">
        <v>3045</v>
      </c>
      <c r="G1576" s="30" t="n">
        <v>75016</v>
      </c>
      <c r="H1576" s="31" t="s">
        <v>36</v>
      </c>
      <c r="I1576" s="32" t="n">
        <v>147277950</v>
      </c>
      <c r="J1576" s="33" t="n">
        <v>295</v>
      </c>
      <c r="K1576" s="33" t="n">
        <v>1</v>
      </c>
      <c r="L1576" s="34" t="n">
        <v>1</v>
      </c>
      <c r="M1576" s="35" t="s">
        <v>164</v>
      </c>
      <c r="N1576" s="36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39"/>
      <c r="Z1576" s="39"/>
      <c r="AA1576" s="28" t="n">
        <v>2</v>
      </c>
      <c r="AMJ1576" s="0"/>
    </row>
    <row r="1577" s="2" customFormat="true" ht="12.75" hidden="false" customHeight="true" outlineLevel="0" collapsed="false">
      <c r="A1577" s="27" t="s">
        <v>812</v>
      </c>
      <c r="B1577" s="27" t="s">
        <v>130</v>
      </c>
      <c r="C1577" s="28" t="s">
        <v>41</v>
      </c>
      <c r="D1577" s="27" t="s">
        <v>2928</v>
      </c>
      <c r="E1577" s="27"/>
      <c r="F1577" s="29" t="s">
        <v>3045</v>
      </c>
      <c r="G1577" s="30" t="n">
        <v>75016</v>
      </c>
      <c r="H1577" s="31" t="s">
        <v>36</v>
      </c>
      <c r="I1577" s="32" t="n">
        <v>147276435</v>
      </c>
      <c r="J1577" s="33" t="n">
        <v>229</v>
      </c>
      <c r="K1577" s="33" t="n">
        <v>1</v>
      </c>
      <c r="L1577" s="34"/>
      <c r="M1577" s="35"/>
      <c r="N1577" s="36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9"/>
      <c r="Z1577" s="39"/>
      <c r="AA1577" s="28"/>
      <c r="AMJ1577" s="0"/>
    </row>
    <row r="1578" s="2" customFormat="true" ht="12.75" hidden="false" customHeight="true" outlineLevel="0" collapsed="false">
      <c r="A1578" s="27" t="s">
        <v>3046</v>
      </c>
      <c r="B1578" s="27" t="s">
        <v>880</v>
      </c>
      <c r="C1578" s="28" t="s">
        <v>178</v>
      </c>
      <c r="D1578" s="27" t="s">
        <v>2928</v>
      </c>
      <c r="E1578" s="27"/>
      <c r="F1578" s="29" t="s">
        <v>3047</v>
      </c>
      <c r="G1578" s="30" t="n">
        <v>75016</v>
      </c>
      <c r="H1578" s="31" t="s">
        <v>36</v>
      </c>
      <c r="I1578" s="32"/>
      <c r="J1578" s="33" t="n">
        <v>179</v>
      </c>
      <c r="K1578" s="33" t="n">
        <v>6</v>
      </c>
      <c r="L1578" s="34" t="n">
        <v>1</v>
      </c>
      <c r="M1578" s="35" t="s">
        <v>164</v>
      </c>
      <c r="N1578" s="36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39"/>
      <c r="Z1578" s="39"/>
      <c r="AA1578" s="28" t="n">
        <v>3</v>
      </c>
      <c r="AMJ1578" s="0"/>
    </row>
    <row r="1579" s="2" customFormat="true" ht="12.75" hidden="false" customHeight="true" outlineLevel="0" collapsed="false">
      <c r="A1579" s="27" t="s">
        <v>3048</v>
      </c>
      <c r="B1579" s="27" t="s">
        <v>88</v>
      </c>
      <c r="C1579" s="28" t="s">
        <v>41</v>
      </c>
      <c r="D1579" s="27" t="s">
        <v>2928</v>
      </c>
      <c r="E1579" s="27"/>
      <c r="F1579" s="29" t="s">
        <v>3049</v>
      </c>
      <c r="G1579" s="30" t="n">
        <v>75016</v>
      </c>
      <c r="H1579" s="31" t="s">
        <v>36</v>
      </c>
      <c r="I1579" s="32" t="n">
        <v>147270674</v>
      </c>
      <c r="J1579" s="33" t="n">
        <v>221</v>
      </c>
      <c r="K1579" s="33" t="n">
        <v>2</v>
      </c>
      <c r="L1579" s="34" t="n">
        <v>1</v>
      </c>
      <c r="M1579" s="35"/>
      <c r="N1579" s="36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39" t="n">
        <v>45110.625</v>
      </c>
      <c r="Z1579" s="39"/>
      <c r="AA1579" s="28"/>
      <c r="AMJ1579" s="0"/>
    </row>
    <row r="1580" s="2" customFormat="true" ht="12.75" hidden="false" customHeight="true" outlineLevel="0" collapsed="false">
      <c r="A1580" s="27" t="s">
        <v>3050</v>
      </c>
      <c r="B1580" s="27" t="s">
        <v>633</v>
      </c>
      <c r="C1580" s="28" t="s">
        <v>33</v>
      </c>
      <c r="D1580" s="27" t="s">
        <v>2928</v>
      </c>
      <c r="E1580" s="27"/>
      <c r="F1580" s="29" t="s">
        <v>3051</v>
      </c>
      <c r="G1580" s="30" t="n">
        <v>75016</v>
      </c>
      <c r="H1580" s="31" t="s">
        <v>36</v>
      </c>
      <c r="I1580" s="32" t="n">
        <v>145656123</v>
      </c>
      <c r="J1580" s="33" t="n">
        <v>53</v>
      </c>
      <c r="K1580" s="33" t="n">
        <v>1</v>
      </c>
      <c r="L1580" s="34"/>
      <c r="M1580" s="35"/>
      <c r="N1580" s="36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9"/>
      <c r="Z1580" s="39"/>
      <c r="AA1580" s="28"/>
      <c r="AC1580" s="2" t="s">
        <v>38</v>
      </c>
      <c r="AMJ1580" s="0"/>
    </row>
    <row r="1581" s="2" customFormat="true" ht="12.75" hidden="false" customHeight="true" outlineLevel="0" collapsed="false">
      <c r="A1581" s="27" t="s">
        <v>3052</v>
      </c>
      <c r="B1581" s="27" t="s">
        <v>598</v>
      </c>
      <c r="C1581" s="28" t="s">
        <v>33</v>
      </c>
      <c r="D1581" s="27" t="s">
        <v>2928</v>
      </c>
      <c r="E1581" s="27"/>
      <c r="F1581" s="29" t="s">
        <v>3051</v>
      </c>
      <c r="G1581" s="30" t="n">
        <v>75016</v>
      </c>
      <c r="H1581" s="31" t="s">
        <v>36</v>
      </c>
      <c r="I1581" s="32" t="n">
        <v>145658714</v>
      </c>
      <c r="J1581" s="33" t="n">
        <v>41</v>
      </c>
      <c r="K1581" s="33" t="n">
        <v>1</v>
      </c>
      <c r="L1581" s="34"/>
      <c r="M1581" s="35"/>
      <c r="N1581" s="36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9"/>
      <c r="Z1581" s="39"/>
      <c r="AA1581" s="28"/>
      <c r="AC1581" s="2" t="s">
        <v>38</v>
      </c>
      <c r="AMJ1581" s="0"/>
    </row>
    <row r="1582" s="2" customFormat="true" ht="12.75" hidden="false" customHeight="true" outlineLevel="0" collapsed="false">
      <c r="A1582" s="27" t="s">
        <v>3053</v>
      </c>
      <c r="B1582" s="27" t="s">
        <v>417</v>
      </c>
      <c r="C1582" s="28" t="s">
        <v>33</v>
      </c>
      <c r="D1582" s="27" t="s">
        <v>2928</v>
      </c>
      <c r="E1582" s="27"/>
      <c r="F1582" s="29" t="s">
        <v>3051</v>
      </c>
      <c r="G1582" s="30" t="n">
        <v>75016</v>
      </c>
      <c r="H1582" s="31" t="s">
        <v>36</v>
      </c>
      <c r="I1582" s="32" t="n">
        <v>145658714</v>
      </c>
      <c r="J1582" s="33" t="n">
        <v>40</v>
      </c>
      <c r="K1582" s="33" t="n">
        <v>2</v>
      </c>
      <c r="L1582" s="34"/>
      <c r="M1582" s="35"/>
      <c r="N1582" s="36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9"/>
      <c r="Z1582" s="39"/>
      <c r="AA1582" s="28"/>
      <c r="AC1582" s="2" t="s">
        <v>218</v>
      </c>
      <c r="AMJ1582" s="0"/>
    </row>
    <row r="1583" s="2" customFormat="true" ht="12.75" hidden="false" customHeight="true" outlineLevel="0" collapsed="false">
      <c r="A1583" s="27" t="s">
        <v>3054</v>
      </c>
      <c r="B1583" s="27" t="s">
        <v>3055</v>
      </c>
      <c r="C1583" s="28" t="s">
        <v>33</v>
      </c>
      <c r="D1583" s="27" t="s">
        <v>2928</v>
      </c>
      <c r="E1583" s="27"/>
      <c r="F1583" s="29" t="s">
        <v>3051</v>
      </c>
      <c r="G1583" s="30" t="n">
        <v>75016</v>
      </c>
      <c r="H1583" s="31" t="s">
        <v>36</v>
      </c>
      <c r="I1583" s="32" t="n">
        <v>145658714</v>
      </c>
      <c r="J1583" s="33" t="n">
        <v>37</v>
      </c>
      <c r="K1583" s="33" t="n">
        <v>1</v>
      </c>
      <c r="L1583" s="34"/>
      <c r="M1583" s="35"/>
      <c r="N1583" s="36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9"/>
      <c r="Z1583" s="39"/>
      <c r="AA1583" s="28"/>
      <c r="AMJ1583" s="0"/>
    </row>
    <row r="1584" s="2" customFormat="true" ht="12.75" hidden="false" customHeight="true" outlineLevel="0" collapsed="false">
      <c r="A1584" s="27" t="s">
        <v>3056</v>
      </c>
      <c r="B1584" s="27" t="s">
        <v>417</v>
      </c>
      <c r="C1584" s="28" t="s">
        <v>138</v>
      </c>
      <c r="D1584" s="27" t="s">
        <v>2928</v>
      </c>
      <c r="E1584" s="27"/>
      <c r="F1584" s="29" t="s">
        <v>3057</v>
      </c>
      <c r="G1584" s="30" t="n">
        <v>75016</v>
      </c>
      <c r="H1584" s="31" t="s">
        <v>36</v>
      </c>
      <c r="I1584" s="32"/>
      <c r="J1584" s="33" t="n">
        <v>250</v>
      </c>
      <c r="K1584" s="33" t="n">
        <v>6</v>
      </c>
      <c r="L1584" s="34" t="n">
        <v>2</v>
      </c>
      <c r="M1584" s="35" t="s">
        <v>164</v>
      </c>
      <c r="N1584" s="36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39"/>
      <c r="Z1584" s="39"/>
      <c r="AA1584" s="28" t="n">
        <v>3</v>
      </c>
      <c r="AMJ1584" s="0"/>
    </row>
    <row r="1585" s="2" customFormat="true" ht="12.75" hidden="false" customHeight="true" outlineLevel="0" collapsed="false">
      <c r="A1585" s="27" t="s">
        <v>3056</v>
      </c>
      <c r="B1585" s="27" t="s">
        <v>1521</v>
      </c>
      <c r="C1585" s="28" t="s">
        <v>138</v>
      </c>
      <c r="D1585" s="27" t="s">
        <v>2928</v>
      </c>
      <c r="E1585" s="27"/>
      <c r="F1585" s="29" t="s">
        <v>3057</v>
      </c>
      <c r="G1585" s="30" t="n">
        <v>75016</v>
      </c>
      <c r="H1585" s="31" t="s">
        <v>36</v>
      </c>
      <c r="I1585" s="32"/>
      <c r="J1585" s="33" t="n">
        <v>213</v>
      </c>
      <c r="K1585" s="33" t="n">
        <v>1</v>
      </c>
      <c r="L1585" s="34"/>
      <c r="M1585" s="35"/>
      <c r="N1585" s="36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9"/>
      <c r="Z1585" s="39"/>
      <c r="AA1585" s="28"/>
      <c r="AMJ1585" s="0"/>
    </row>
    <row r="1586" s="2" customFormat="true" ht="12.75" hidden="false" customHeight="true" outlineLevel="0" collapsed="false">
      <c r="A1586" s="27" t="s">
        <v>3058</v>
      </c>
      <c r="B1586" s="27" t="s">
        <v>71</v>
      </c>
      <c r="C1586" s="28" t="s">
        <v>138</v>
      </c>
      <c r="D1586" s="27" t="s">
        <v>2928</v>
      </c>
      <c r="E1586" s="27"/>
      <c r="F1586" s="29" t="s">
        <v>3057</v>
      </c>
      <c r="G1586" s="30" t="n">
        <v>75016</v>
      </c>
      <c r="H1586" s="31" t="s">
        <v>36</v>
      </c>
      <c r="I1586" s="32"/>
      <c r="J1586" s="33" t="n">
        <v>206</v>
      </c>
      <c r="K1586" s="33" t="n">
        <v>5</v>
      </c>
      <c r="L1586" s="34" t="n">
        <v>2</v>
      </c>
      <c r="M1586" s="35" t="s">
        <v>164</v>
      </c>
      <c r="N1586" s="36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39"/>
      <c r="Z1586" s="39"/>
      <c r="AA1586" s="28" t="n">
        <v>3</v>
      </c>
      <c r="AMJ1586" s="0"/>
    </row>
    <row r="1587" s="2" customFormat="true" ht="12.75" hidden="false" customHeight="true" outlineLevel="0" collapsed="false">
      <c r="A1587" s="27" t="s">
        <v>3059</v>
      </c>
      <c r="B1587" s="27" t="s">
        <v>1266</v>
      </c>
      <c r="C1587" s="28" t="s">
        <v>41</v>
      </c>
      <c r="D1587" s="27" t="s">
        <v>2928</v>
      </c>
      <c r="E1587" s="27"/>
      <c r="F1587" s="29" t="s">
        <v>3060</v>
      </c>
      <c r="G1587" s="30" t="n">
        <v>75016</v>
      </c>
      <c r="H1587" s="31" t="s">
        <v>36</v>
      </c>
      <c r="I1587" s="32" t="n">
        <v>153704321</v>
      </c>
      <c r="J1587" s="33" t="n">
        <v>223</v>
      </c>
      <c r="K1587" s="33" t="n">
        <v>1</v>
      </c>
      <c r="L1587" s="34"/>
      <c r="M1587" s="35"/>
      <c r="N1587" s="36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9"/>
      <c r="Z1587" s="39"/>
      <c r="AA1587" s="28"/>
      <c r="AMJ1587" s="0"/>
    </row>
    <row r="1588" s="2" customFormat="true" ht="12.75" hidden="false" customHeight="true" outlineLevel="0" collapsed="false">
      <c r="A1588" s="27" t="s">
        <v>3061</v>
      </c>
      <c r="B1588" s="27" t="s">
        <v>1180</v>
      </c>
      <c r="C1588" s="28" t="s">
        <v>33</v>
      </c>
      <c r="D1588" s="27" t="s">
        <v>2928</v>
      </c>
      <c r="E1588" s="27"/>
      <c r="F1588" s="29" t="s">
        <v>3062</v>
      </c>
      <c r="G1588" s="30" t="n">
        <v>75016</v>
      </c>
      <c r="H1588" s="31" t="s">
        <v>36</v>
      </c>
      <c r="I1588" s="32"/>
      <c r="J1588" s="33" t="n">
        <v>61</v>
      </c>
      <c r="K1588" s="33" t="n">
        <v>0</v>
      </c>
      <c r="L1588" s="34"/>
      <c r="M1588" s="35"/>
      <c r="N1588" s="36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9"/>
      <c r="Z1588" s="39"/>
      <c r="AA1588" s="28"/>
      <c r="AC1588" s="2" t="s">
        <v>1478</v>
      </c>
      <c r="AMJ1588" s="0"/>
    </row>
    <row r="1589" s="2" customFormat="true" ht="12.75" hidden="false" customHeight="true" outlineLevel="0" collapsed="false">
      <c r="A1589" s="27" t="s">
        <v>3063</v>
      </c>
      <c r="B1589" s="27" t="s">
        <v>3064</v>
      </c>
      <c r="C1589" s="28" t="s">
        <v>33</v>
      </c>
      <c r="D1589" s="27" t="s">
        <v>2928</v>
      </c>
      <c r="E1589" s="27"/>
      <c r="F1589" s="29" t="s">
        <v>3062</v>
      </c>
      <c r="G1589" s="30" t="n">
        <v>75016</v>
      </c>
      <c r="H1589" s="31" t="s">
        <v>36</v>
      </c>
      <c r="I1589" s="32"/>
      <c r="J1589" s="33" t="n">
        <v>53</v>
      </c>
      <c r="K1589" s="33" t="n">
        <v>1</v>
      </c>
      <c r="L1589" s="34"/>
      <c r="M1589" s="35"/>
      <c r="N1589" s="36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9"/>
      <c r="Z1589" s="39"/>
      <c r="AA1589" s="28"/>
      <c r="AC1589" s="2" t="s">
        <v>413</v>
      </c>
      <c r="AMJ1589" s="0"/>
    </row>
    <row r="1590" s="2" customFormat="true" ht="12.75" hidden="false" customHeight="true" outlineLevel="0" collapsed="false">
      <c r="A1590" s="27" t="s">
        <v>3065</v>
      </c>
      <c r="B1590" s="27" t="s">
        <v>1211</v>
      </c>
      <c r="C1590" s="28" t="s">
        <v>33</v>
      </c>
      <c r="D1590" s="27" t="s">
        <v>2928</v>
      </c>
      <c r="E1590" s="27"/>
      <c r="F1590" s="29" t="s">
        <v>3062</v>
      </c>
      <c r="G1590" s="30" t="n">
        <v>75016</v>
      </c>
      <c r="H1590" s="31" t="s">
        <v>36</v>
      </c>
      <c r="I1590" s="32"/>
      <c r="J1590" s="33" t="n">
        <v>51</v>
      </c>
      <c r="K1590" s="33" t="n">
        <v>1</v>
      </c>
      <c r="L1590" s="34"/>
      <c r="M1590" s="35"/>
      <c r="N1590" s="36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9"/>
      <c r="Z1590" s="39"/>
      <c r="AA1590" s="28"/>
      <c r="AC1590" s="2" t="s">
        <v>1484</v>
      </c>
      <c r="AMJ1590" s="0"/>
    </row>
    <row r="1591" s="2" customFormat="true" ht="12.75" hidden="false" customHeight="true" outlineLevel="0" collapsed="false">
      <c r="A1591" s="27" t="s">
        <v>3066</v>
      </c>
      <c r="B1591" s="27" t="s">
        <v>3067</v>
      </c>
      <c r="C1591" s="28" t="s">
        <v>178</v>
      </c>
      <c r="D1591" s="27" t="s">
        <v>2928</v>
      </c>
      <c r="E1591" s="27"/>
      <c r="F1591" s="29" t="s">
        <v>3068</v>
      </c>
      <c r="G1591" s="30" t="n">
        <v>75016</v>
      </c>
      <c r="H1591" s="31" t="s">
        <v>36</v>
      </c>
      <c r="I1591" s="32" t="n">
        <v>156900343</v>
      </c>
      <c r="J1591" s="33" t="n">
        <v>210</v>
      </c>
      <c r="K1591" s="33" t="n">
        <v>2</v>
      </c>
      <c r="L1591" s="34"/>
      <c r="M1591" s="35"/>
      <c r="N1591" s="36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9"/>
      <c r="Z1591" s="39"/>
      <c r="AA1591" s="28"/>
      <c r="AMJ1591" s="0"/>
    </row>
    <row r="1592" s="2" customFormat="true" ht="12.75" hidden="false" customHeight="true" outlineLevel="0" collapsed="false">
      <c r="A1592" s="27" t="s">
        <v>3069</v>
      </c>
      <c r="B1592" s="27" t="s">
        <v>1118</v>
      </c>
      <c r="C1592" s="28" t="s">
        <v>138</v>
      </c>
      <c r="D1592" s="27" t="s">
        <v>2928</v>
      </c>
      <c r="E1592" s="27"/>
      <c r="F1592" s="29" t="s">
        <v>3068</v>
      </c>
      <c r="G1592" s="30" t="n">
        <v>75016</v>
      </c>
      <c r="H1592" s="31" t="s">
        <v>36</v>
      </c>
      <c r="I1592" s="32" t="n">
        <v>140723357</v>
      </c>
      <c r="J1592" s="33" t="n">
        <v>280</v>
      </c>
      <c r="K1592" s="33" t="n">
        <v>2</v>
      </c>
      <c r="L1592" s="34"/>
      <c r="M1592" s="35"/>
      <c r="N1592" s="36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9"/>
      <c r="Z1592" s="39"/>
      <c r="AA1592" s="28"/>
      <c r="AMJ1592" s="0"/>
    </row>
    <row r="1593" s="2" customFormat="true" ht="12.75" hidden="false" customHeight="true" outlineLevel="0" collapsed="false">
      <c r="A1593" s="27" t="s">
        <v>3070</v>
      </c>
      <c r="B1593" s="27" t="s">
        <v>3071</v>
      </c>
      <c r="C1593" s="28" t="s">
        <v>138</v>
      </c>
      <c r="D1593" s="27" t="s">
        <v>2928</v>
      </c>
      <c r="E1593" s="27"/>
      <c r="F1593" s="29" t="s">
        <v>3072</v>
      </c>
      <c r="G1593" s="30" t="n">
        <v>75016</v>
      </c>
      <c r="H1593" s="31" t="s">
        <v>36</v>
      </c>
      <c r="I1593" s="32" t="n">
        <v>140679306</v>
      </c>
      <c r="J1593" s="33" t="n">
        <v>169</v>
      </c>
      <c r="K1593" s="33" t="n">
        <v>6</v>
      </c>
      <c r="L1593" s="34" t="n">
        <v>2</v>
      </c>
      <c r="M1593" s="35" t="s">
        <v>164</v>
      </c>
      <c r="N1593" s="36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39"/>
      <c r="Z1593" s="39"/>
      <c r="AA1593" s="28"/>
      <c r="AMJ1593" s="0"/>
    </row>
    <row r="1594" s="2" customFormat="true" ht="12.75" hidden="false" customHeight="true" outlineLevel="0" collapsed="false">
      <c r="A1594" s="27" t="s">
        <v>3073</v>
      </c>
      <c r="B1594" s="27" t="s">
        <v>3074</v>
      </c>
      <c r="C1594" s="28" t="s">
        <v>41</v>
      </c>
      <c r="D1594" s="27" t="s">
        <v>2928</v>
      </c>
      <c r="E1594" s="27"/>
      <c r="F1594" s="29" t="s">
        <v>3075</v>
      </c>
      <c r="G1594" s="30" t="n">
        <v>75016</v>
      </c>
      <c r="H1594" s="31" t="s">
        <v>36</v>
      </c>
      <c r="I1594" s="32" t="n">
        <v>147271808</v>
      </c>
      <c r="J1594" s="33" t="n">
        <v>248</v>
      </c>
      <c r="K1594" s="33" t="n">
        <v>1</v>
      </c>
      <c r="L1594" s="34"/>
      <c r="M1594" s="35"/>
      <c r="N1594" s="36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9"/>
      <c r="Z1594" s="39"/>
      <c r="AA1594" s="28"/>
      <c r="AMJ1594" s="0"/>
    </row>
    <row r="1595" s="2" customFormat="true" ht="12.75" hidden="false" customHeight="true" outlineLevel="0" collapsed="false">
      <c r="A1595" s="27" t="s">
        <v>3076</v>
      </c>
      <c r="B1595" s="27" t="s">
        <v>672</v>
      </c>
      <c r="C1595" s="28" t="s">
        <v>41</v>
      </c>
      <c r="D1595" s="27" t="s">
        <v>2928</v>
      </c>
      <c r="E1595" s="27"/>
      <c r="F1595" s="29" t="s">
        <v>3077</v>
      </c>
      <c r="G1595" s="30" t="n">
        <v>75016</v>
      </c>
      <c r="H1595" s="31" t="s">
        <v>36</v>
      </c>
      <c r="I1595" s="32"/>
      <c r="J1595" s="33" t="n">
        <v>220</v>
      </c>
      <c r="K1595" s="33" t="n">
        <v>0</v>
      </c>
      <c r="L1595" s="34"/>
      <c r="M1595" s="35"/>
      <c r="N1595" s="36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9"/>
      <c r="Z1595" s="39"/>
      <c r="AA1595" s="28"/>
      <c r="AMJ1595" s="0"/>
    </row>
    <row r="1596" s="2" customFormat="true" ht="12.75" hidden="false" customHeight="true" outlineLevel="0" collapsed="false">
      <c r="A1596" s="27" t="s">
        <v>3078</v>
      </c>
      <c r="B1596" s="27" t="s">
        <v>363</v>
      </c>
      <c r="C1596" s="28" t="s">
        <v>33</v>
      </c>
      <c r="D1596" s="27" t="s">
        <v>2928</v>
      </c>
      <c r="E1596" s="27"/>
      <c r="F1596" s="29" t="s">
        <v>3077</v>
      </c>
      <c r="G1596" s="30" t="n">
        <v>75016</v>
      </c>
      <c r="H1596" s="31" t="s">
        <v>36</v>
      </c>
      <c r="I1596" s="32" t="n">
        <v>140700610</v>
      </c>
      <c r="J1596" s="33" t="n">
        <v>56</v>
      </c>
      <c r="K1596" s="33" t="n">
        <v>1</v>
      </c>
      <c r="L1596" s="34"/>
      <c r="M1596" s="35"/>
      <c r="N1596" s="36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9"/>
      <c r="Z1596" s="39"/>
      <c r="AA1596" s="28"/>
      <c r="AC1596" s="2" t="s">
        <v>1478</v>
      </c>
      <c r="AMJ1596" s="0"/>
    </row>
    <row r="1597" s="2" customFormat="true" ht="12.75" hidden="false" customHeight="true" outlineLevel="0" collapsed="false">
      <c r="A1597" s="27" t="s">
        <v>3079</v>
      </c>
      <c r="B1597" s="27" t="s">
        <v>90</v>
      </c>
      <c r="C1597" s="28" t="s">
        <v>33</v>
      </c>
      <c r="D1597" s="27" t="s">
        <v>2928</v>
      </c>
      <c r="E1597" s="27"/>
      <c r="F1597" s="29" t="s">
        <v>3080</v>
      </c>
      <c r="G1597" s="30" t="n">
        <v>75016</v>
      </c>
      <c r="H1597" s="31" t="s">
        <v>36</v>
      </c>
      <c r="I1597" s="32" t="n">
        <v>145005666</v>
      </c>
      <c r="J1597" s="33" t="n">
        <v>75</v>
      </c>
      <c r="K1597" s="33" t="n">
        <v>1</v>
      </c>
      <c r="L1597" s="34"/>
      <c r="M1597" s="35"/>
      <c r="N1597" s="36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9"/>
      <c r="Z1597" s="39"/>
      <c r="AA1597" s="28"/>
      <c r="AC1597" s="2" t="s">
        <v>218</v>
      </c>
      <c r="AMJ1597" s="0"/>
    </row>
    <row r="1598" s="2" customFormat="true" ht="12.75" hidden="false" customHeight="true" outlineLevel="0" collapsed="false">
      <c r="A1598" s="27" t="s">
        <v>3081</v>
      </c>
      <c r="B1598" s="27" t="s">
        <v>3082</v>
      </c>
      <c r="C1598" s="28" t="s">
        <v>33</v>
      </c>
      <c r="D1598" s="27" t="s">
        <v>2928</v>
      </c>
      <c r="E1598" s="27"/>
      <c r="F1598" s="29" t="s">
        <v>3080</v>
      </c>
      <c r="G1598" s="30" t="n">
        <v>75016</v>
      </c>
      <c r="H1598" s="31" t="s">
        <v>36</v>
      </c>
      <c r="I1598" s="32" t="n">
        <v>140677067</v>
      </c>
      <c r="J1598" s="33" t="n">
        <v>55</v>
      </c>
      <c r="K1598" s="33" t="n">
        <v>1</v>
      </c>
      <c r="L1598" s="34"/>
      <c r="M1598" s="35"/>
      <c r="N1598" s="36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9"/>
      <c r="Z1598" s="39"/>
      <c r="AA1598" s="28"/>
      <c r="AC1598" s="2" t="s">
        <v>38</v>
      </c>
      <c r="AMJ1598" s="0"/>
    </row>
    <row r="1599" s="2" customFormat="true" ht="12.75" hidden="false" customHeight="true" outlineLevel="0" collapsed="false">
      <c r="A1599" s="27" t="s">
        <v>3083</v>
      </c>
      <c r="B1599" s="27" t="s">
        <v>195</v>
      </c>
      <c r="C1599" s="28" t="s">
        <v>41</v>
      </c>
      <c r="D1599" s="27" t="s">
        <v>2928</v>
      </c>
      <c r="E1599" s="27"/>
      <c r="F1599" s="29" t="s">
        <v>3084</v>
      </c>
      <c r="G1599" s="30" t="n">
        <v>75016</v>
      </c>
      <c r="H1599" s="31" t="s">
        <v>36</v>
      </c>
      <c r="I1599" s="32" t="n">
        <v>145012171</v>
      </c>
      <c r="J1599" s="33" t="n">
        <v>240</v>
      </c>
      <c r="K1599" s="33" t="n">
        <v>1</v>
      </c>
      <c r="L1599" s="34"/>
      <c r="M1599" s="35"/>
      <c r="N1599" s="36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9"/>
      <c r="Z1599" s="39"/>
      <c r="AA1599" s="28"/>
      <c r="AMJ1599" s="0"/>
    </row>
    <row r="1600" s="2" customFormat="true" ht="12.75" hidden="false" customHeight="true" outlineLevel="0" collapsed="false">
      <c r="A1600" s="27" t="s">
        <v>3085</v>
      </c>
      <c r="B1600" s="27" t="s">
        <v>384</v>
      </c>
      <c r="C1600" s="28" t="s">
        <v>33</v>
      </c>
      <c r="D1600" s="27" t="s">
        <v>2928</v>
      </c>
      <c r="E1600" s="27"/>
      <c r="F1600" s="29" t="s">
        <v>3086</v>
      </c>
      <c r="G1600" s="30" t="n">
        <v>75016</v>
      </c>
      <c r="H1600" s="31" t="s">
        <v>36</v>
      </c>
      <c r="I1600" s="32"/>
      <c r="J1600" s="33" t="n">
        <v>67</v>
      </c>
      <c r="K1600" s="33" t="n">
        <v>0</v>
      </c>
      <c r="L1600" s="34"/>
      <c r="M1600" s="35"/>
      <c r="N1600" s="36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9"/>
      <c r="Z1600" s="39"/>
      <c r="AA1600" s="28"/>
      <c r="AC1600" s="2" t="s">
        <v>218</v>
      </c>
      <c r="AMJ1600" s="0"/>
    </row>
    <row r="1601" s="2" customFormat="true" ht="12.75" hidden="false" customHeight="true" outlineLevel="0" collapsed="false">
      <c r="A1601" s="27" t="s">
        <v>3087</v>
      </c>
      <c r="B1601" s="27" t="s">
        <v>3088</v>
      </c>
      <c r="C1601" s="28" t="s">
        <v>41</v>
      </c>
      <c r="D1601" s="27" t="s">
        <v>2928</v>
      </c>
      <c r="E1601" s="27"/>
      <c r="F1601" s="29" t="s">
        <v>3089</v>
      </c>
      <c r="G1601" s="30" t="n">
        <v>75016</v>
      </c>
      <c r="H1601" s="31" t="s">
        <v>36</v>
      </c>
      <c r="I1601" s="32" t="n">
        <v>145054504</v>
      </c>
      <c r="J1601" s="33" t="n">
        <v>583</v>
      </c>
      <c r="K1601" s="33" t="n">
        <v>2</v>
      </c>
      <c r="L1601" s="34"/>
      <c r="M1601" s="35"/>
      <c r="N1601" s="36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9"/>
      <c r="Z1601" s="39"/>
      <c r="AA1601" s="28"/>
      <c r="AMJ1601" s="0"/>
    </row>
    <row r="1602" s="2" customFormat="true" ht="12.75" hidden="false" customHeight="true" outlineLevel="0" collapsed="false">
      <c r="A1602" s="27" t="s">
        <v>3090</v>
      </c>
      <c r="B1602" s="27" t="s">
        <v>217</v>
      </c>
      <c r="C1602" s="28" t="s">
        <v>138</v>
      </c>
      <c r="D1602" s="27" t="s">
        <v>2928</v>
      </c>
      <c r="E1602" s="27"/>
      <c r="F1602" s="29" t="s">
        <v>3091</v>
      </c>
      <c r="G1602" s="30" t="n">
        <v>75016</v>
      </c>
      <c r="H1602" s="31" t="s">
        <v>36</v>
      </c>
      <c r="I1602" s="32" t="n">
        <v>156881711</v>
      </c>
      <c r="J1602" s="33" t="n">
        <v>205</v>
      </c>
      <c r="K1602" s="33" t="n">
        <v>1</v>
      </c>
      <c r="L1602" s="34"/>
      <c r="M1602" s="35"/>
      <c r="N1602" s="36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9"/>
      <c r="Z1602" s="39"/>
      <c r="AA1602" s="28"/>
      <c r="AMJ1602" s="0"/>
    </row>
    <row r="1603" s="2" customFormat="true" ht="12.75" hidden="false" customHeight="true" outlineLevel="0" collapsed="false">
      <c r="A1603" s="27" t="s">
        <v>3092</v>
      </c>
      <c r="B1603" s="27" t="s">
        <v>1146</v>
      </c>
      <c r="C1603" s="28" t="s">
        <v>138</v>
      </c>
      <c r="D1603" s="27" t="s">
        <v>2928</v>
      </c>
      <c r="E1603" s="27"/>
      <c r="F1603" s="29" t="s">
        <v>3091</v>
      </c>
      <c r="G1603" s="30" t="n">
        <v>75016</v>
      </c>
      <c r="H1603" s="31" t="s">
        <v>36</v>
      </c>
      <c r="I1603" s="32" t="n">
        <v>156881711</v>
      </c>
      <c r="J1603" s="33" t="n">
        <v>77</v>
      </c>
      <c r="K1603" s="33" t="n">
        <v>1</v>
      </c>
      <c r="L1603" s="34"/>
      <c r="M1603" s="35"/>
      <c r="N1603" s="36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9"/>
      <c r="Z1603" s="39"/>
      <c r="AA1603" s="28"/>
      <c r="AMJ1603" s="0"/>
    </row>
    <row r="1604" s="2" customFormat="true" ht="12.75" hidden="false" customHeight="true" outlineLevel="0" collapsed="false">
      <c r="A1604" s="27" t="s">
        <v>3093</v>
      </c>
      <c r="B1604" s="27" t="s">
        <v>329</v>
      </c>
      <c r="C1604" s="28" t="s">
        <v>138</v>
      </c>
      <c r="D1604" s="27" t="s">
        <v>2928</v>
      </c>
      <c r="E1604" s="27"/>
      <c r="F1604" s="29" t="s">
        <v>3094</v>
      </c>
      <c r="G1604" s="30" t="n">
        <v>75016</v>
      </c>
      <c r="H1604" s="31" t="s">
        <v>36</v>
      </c>
      <c r="I1604" s="32"/>
      <c r="J1604" s="33" t="n">
        <v>240</v>
      </c>
      <c r="K1604" s="33" t="n">
        <v>1</v>
      </c>
      <c r="L1604" s="34"/>
      <c r="M1604" s="35"/>
      <c r="N1604" s="36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9"/>
      <c r="Z1604" s="39"/>
      <c r="AA1604" s="28"/>
      <c r="AMJ1604" s="0"/>
    </row>
    <row r="1605" s="2" customFormat="true" ht="12.75" hidden="false" customHeight="true" outlineLevel="0" collapsed="false">
      <c r="A1605" s="27" t="s">
        <v>3095</v>
      </c>
      <c r="B1605" s="27" t="s">
        <v>149</v>
      </c>
      <c r="C1605" s="28" t="s">
        <v>33</v>
      </c>
      <c r="D1605" s="27" t="s">
        <v>2928</v>
      </c>
      <c r="E1605" s="27"/>
      <c r="F1605" s="29" t="s">
        <v>3096</v>
      </c>
      <c r="G1605" s="30" t="n">
        <v>75016</v>
      </c>
      <c r="H1605" s="31" t="s">
        <v>36</v>
      </c>
      <c r="I1605" s="32" t="n">
        <v>156266016</v>
      </c>
      <c r="J1605" s="33" t="n">
        <v>54</v>
      </c>
      <c r="K1605" s="33" t="n">
        <v>1</v>
      </c>
      <c r="L1605" s="34"/>
      <c r="M1605" s="35"/>
      <c r="N1605" s="36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9"/>
      <c r="Z1605" s="39"/>
      <c r="AA1605" s="28"/>
      <c r="AC1605" s="2" t="s">
        <v>38</v>
      </c>
      <c r="AMJ1605" s="0"/>
    </row>
    <row r="1606" s="2" customFormat="true" ht="12.75" hidden="false" customHeight="true" outlineLevel="0" collapsed="false">
      <c r="A1606" s="27" t="s">
        <v>3097</v>
      </c>
      <c r="B1606" s="27" t="s">
        <v>3098</v>
      </c>
      <c r="C1606" s="28" t="s">
        <v>33</v>
      </c>
      <c r="D1606" s="27" t="s">
        <v>2928</v>
      </c>
      <c r="E1606" s="27"/>
      <c r="F1606" s="29" t="s">
        <v>3096</v>
      </c>
      <c r="G1606" s="30" t="n">
        <v>75016</v>
      </c>
      <c r="H1606" s="31" t="s">
        <v>36</v>
      </c>
      <c r="I1606" s="32" t="n">
        <v>156280571</v>
      </c>
      <c r="J1606" s="33" t="n">
        <v>54</v>
      </c>
      <c r="K1606" s="33" t="n">
        <v>1</v>
      </c>
      <c r="L1606" s="34"/>
      <c r="M1606" s="35"/>
      <c r="N1606" s="36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9"/>
      <c r="Z1606" s="39"/>
      <c r="AA1606" s="28"/>
      <c r="AC1606" s="2" t="s">
        <v>38</v>
      </c>
      <c r="AMJ1606" s="0"/>
    </row>
    <row r="1607" s="2" customFormat="true" ht="12.75" hidden="false" customHeight="true" outlineLevel="0" collapsed="false">
      <c r="A1607" s="27" t="s">
        <v>3099</v>
      </c>
      <c r="B1607" s="27" t="s">
        <v>189</v>
      </c>
      <c r="C1607" s="28" t="s">
        <v>178</v>
      </c>
      <c r="D1607" s="27" t="s">
        <v>2928</v>
      </c>
      <c r="E1607" s="27"/>
      <c r="F1607" s="29" t="s">
        <v>3100</v>
      </c>
      <c r="G1607" s="30" t="n">
        <v>75016</v>
      </c>
      <c r="H1607" s="31" t="s">
        <v>36</v>
      </c>
      <c r="I1607" s="32"/>
      <c r="J1607" s="33" t="n">
        <v>177</v>
      </c>
      <c r="K1607" s="33" t="n">
        <v>6</v>
      </c>
      <c r="L1607" s="34" t="n">
        <v>2</v>
      </c>
      <c r="M1607" s="35" t="s">
        <v>164</v>
      </c>
      <c r="N1607" s="36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39"/>
      <c r="Z1607" s="39"/>
      <c r="AA1607" s="28" t="n">
        <v>3</v>
      </c>
      <c r="AMJ1607" s="0"/>
    </row>
    <row r="1608" s="2" customFormat="true" ht="12.75" hidden="false" customHeight="true" outlineLevel="0" collapsed="false">
      <c r="A1608" s="27" t="s">
        <v>3101</v>
      </c>
      <c r="B1608" s="27" t="s">
        <v>106</v>
      </c>
      <c r="C1608" s="28" t="s">
        <v>138</v>
      </c>
      <c r="D1608" s="27" t="s">
        <v>2928</v>
      </c>
      <c r="E1608" s="27"/>
      <c r="F1608" s="29" t="s">
        <v>3100</v>
      </c>
      <c r="G1608" s="30" t="n">
        <v>75016</v>
      </c>
      <c r="H1608" s="31" t="s">
        <v>36</v>
      </c>
      <c r="I1608" s="32" t="n">
        <v>145624405</v>
      </c>
      <c r="J1608" s="33" t="n">
        <v>327</v>
      </c>
      <c r="K1608" s="33" t="n">
        <v>9</v>
      </c>
      <c r="L1608" s="34" t="n">
        <v>2</v>
      </c>
      <c r="M1608" s="35" t="s">
        <v>164</v>
      </c>
      <c r="N1608" s="36" t="s">
        <v>165</v>
      </c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39" t="n">
        <v>45107.5833333333</v>
      </c>
      <c r="Z1608" s="39"/>
      <c r="AA1608" s="28" t="n">
        <v>3</v>
      </c>
      <c r="AMJ1608" s="0"/>
    </row>
    <row r="1609" s="2" customFormat="true" ht="12.75" hidden="false" customHeight="true" outlineLevel="0" collapsed="false">
      <c r="A1609" s="27" t="s">
        <v>2909</v>
      </c>
      <c r="B1609" s="27" t="s">
        <v>1851</v>
      </c>
      <c r="C1609" s="28" t="s">
        <v>138</v>
      </c>
      <c r="D1609" s="27" t="s">
        <v>2928</v>
      </c>
      <c r="E1609" s="27"/>
      <c r="F1609" s="29" t="s">
        <v>3100</v>
      </c>
      <c r="G1609" s="30" t="n">
        <v>75016</v>
      </c>
      <c r="H1609" s="31" t="s">
        <v>36</v>
      </c>
      <c r="I1609" s="32" t="n">
        <v>145624405</v>
      </c>
      <c r="J1609" s="33" t="n">
        <v>301</v>
      </c>
      <c r="K1609" s="33" t="n">
        <v>17</v>
      </c>
      <c r="L1609" s="34" t="n">
        <v>3</v>
      </c>
      <c r="M1609" s="43" t="s">
        <v>155</v>
      </c>
      <c r="N1609" s="36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39" t="n">
        <v>45107.4583333333</v>
      </c>
      <c r="Z1609" s="39" t="n">
        <v>45218.6145833333</v>
      </c>
      <c r="AA1609" s="28" t="n">
        <v>4</v>
      </c>
      <c r="AMJ1609" s="0"/>
    </row>
    <row r="1610" s="2" customFormat="true" ht="12.75" hidden="false" customHeight="true" outlineLevel="0" collapsed="false">
      <c r="A1610" s="27" t="s">
        <v>3102</v>
      </c>
      <c r="B1610" s="27" t="s">
        <v>735</v>
      </c>
      <c r="C1610" s="28" t="s">
        <v>138</v>
      </c>
      <c r="D1610" s="27" t="s">
        <v>2928</v>
      </c>
      <c r="E1610" s="27"/>
      <c r="F1610" s="29" t="s">
        <v>3103</v>
      </c>
      <c r="G1610" s="30" t="n">
        <v>75016</v>
      </c>
      <c r="H1610" s="31" t="s">
        <v>36</v>
      </c>
      <c r="I1610" s="32" t="n">
        <v>148882660</v>
      </c>
      <c r="J1610" s="33" t="n">
        <v>248</v>
      </c>
      <c r="K1610" s="33" t="n">
        <v>1</v>
      </c>
      <c r="L1610" s="34" t="n">
        <v>1</v>
      </c>
      <c r="M1610" s="35" t="s">
        <v>164</v>
      </c>
      <c r="N1610" s="36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39"/>
      <c r="Z1610" s="39"/>
      <c r="AA1610" s="28" t="n">
        <v>2</v>
      </c>
      <c r="AMJ1610" s="0"/>
    </row>
    <row r="1611" s="2" customFormat="true" ht="12.75" hidden="false" customHeight="true" outlineLevel="0" collapsed="false">
      <c r="A1611" s="27" t="s">
        <v>3104</v>
      </c>
      <c r="B1611" s="27" t="s">
        <v>3105</v>
      </c>
      <c r="C1611" s="28" t="s">
        <v>41</v>
      </c>
      <c r="D1611" s="27" t="s">
        <v>2928</v>
      </c>
      <c r="E1611" s="27"/>
      <c r="F1611" s="29" t="s">
        <v>3103</v>
      </c>
      <c r="G1611" s="30" t="n">
        <v>75016</v>
      </c>
      <c r="H1611" s="31" t="s">
        <v>36</v>
      </c>
      <c r="I1611" s="32" t="n">
        <v>147200777</v>
      </c>
      <c r="J1611" s="33" t="n">
        <v>217</v>
      </c>
      <c r="K1611" s="33" t="n">
        <v>3</v>
      </c>
      <c r="L1611" s="34"/>
      <c r="M1611" s="35"/>
      <c r="N1611" s="36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9"/>
      <c r="Z1611" s="39"/>
      <c r="AA1611" s="28"/>
      <c r="AMJ1611" s="0"/>
    </row>
    <row r="1612" s="2" customFormat="true" ht="12.75" hidden="false" customHeight="true" outlineLevel="0" collapsed="false">
      <c r="A1612" s="27" t="s">
        <v>3106</v>
      </c>
      <c r="B1612" s="27" t="s">
        <v>92</v>
      </c>
      <c r="C1612" s="28" t="s">
        <v>41</v>
      </c>
      <c r="D1612" s="27" t="s">
        <v>2928</v>
      </c>
      <c r="E1612" s="27"/>
      <c r="F1612" s="29" t="s">
        <v>3103</v>
      </c>
      <c r="G1612" s="30" t="n">
        <v>75016</v>
      </c>
      <c r="H1612" s="31" t="s">
        <v>36</v>
      </c>
      <c r="I1612" s="32" t="n">
        <v>185730131</v>
      </c>
      <c r="J1612" s="33" t="n">
        <v>0</v>
      </c>
      <c r="K1612" s="33" t="n">
        <v>1</v>
      </c>
      <c r="L1612" s="34"/>
      <c r="M1612" s="35"/>
      <c r="N1612" s="36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9"/>
      <c r="Z1612" s="39"/>
      <c r="AA1612" s="28"/>
      <c r="AMJ1612" s="0"/>
    </row>
    <row r="1613" s="2" customFormat="true" ht="12.75" hidden="false" customHeight="true" outlineLevel="0" collapsed="false">
      <c r="A1613" s="27" t="s">
        <v>3107</v>
      </c>
      <c r="B1613" s="27" t="s">
        <v>374</v>
      </c>
      <c r="C1613" s="28" t="s">
        <v>41</v>
      </c>
      <c r="D1613" s="27" t="s">
        <v>2928</v>
      </c>
      <c r="E1613" s="27"/>
      <c r="F1613" s="29" t="s">
        <v>3108</v>
      </c>
      <c r="G1613" s="30" t="n">
        <v>75016</v>
      </c>
      <c r="H1613" s="31" t="s">
        <v>36</v>
      </c>
      <c r="I1613" s="32" t="n">
        <v>153658770</v>
      </c>
      <c r="J1613" s="33" t="n">
        <v>196</v>
      </c>
      <c r="K1613" s="33" t="n">
        <v>0</v>
      </c>
      <c r="L1613" s="34"/>
      <c r="M1613" s="35"/>
      <c r="N1613" s="36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9"/>
      <c r="Z1613" s="39"/>
      <c r="AA1613" s="28"/>
      <c r="AMJ1613" s="0"/>
    </row>
    <row r="1614" s="2" customFormat="true" ht="12.75" hidden="false" customHeight="true" outlineLevel="0" collapsed="false">
      <c r="A1614" s="27" t="s">
        <v>3109</v>
      </c>
      <c r="B1614" s="27" t="s">
        <v>590</v>
      </c>
      <c r="C1614" s="28" t="s">
        <v>41</v>
      </c>
      <c r="D1614" s="27" t="s">
        <v>2928</v>
      </c>
      <c r="E1614" s="27"/>
      <c r="F1614" s="29" t="s">
        <v>3110</v>
      </c>
      <c r="G1614" s="30" t="n">
        <v>75016</v>
      </c>
      <c r="H1614" s="31" t="s">
        <v>36</v>
      </c>
      <c r="I1614" s="32" t="n">
        <v>142930099</v>
      </c>
      <c r="J1614" s="33" t="n">
        <v>229</v>
      </c>
      <c r="K1614" s="33" t="n">
        <v>2</v>
      </c>
      <c r="L1614" s="34"/>
      <c r="M1614" s="35"/>
      <c r="N1614" s="36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9"/>
      <c r="Z1614" s="39"/>
      <c r="AA1614" s="28"/>
      <c r="AMJ1614" s="0"/>
    </row>
    <row r="1615" s="2" customFormat="true" ht="12.75" hidden="false" customHeight="true" outlineLevel="0" collapsed="false">
      <c r="A1615" s="27" t="s">
        <v>3111</v>
      </c>
      <c r="B1615" s="27" t="s">
        <v>297</v>
      </c>
      <c r="C1615" s="28" t="s">
        <v>178</v>
      </c>
      <c r="D1615" s="27" t="s">
        <v>2928</v>
      </c>
      <c r="E1615" s="27"/>
      <c r="F1615" s="29" t="s">
        <v>3112</v>
      </c>
      <c r="G1615" s="30" t="n">
        <v>75016</v>
      </c>
      <c r="H1615" s="31" t="s">
        <v>36</v>
      </c>
      <c r="I1615" s="32"/>
      <c r="J1615" s="33" t="n">
        <v>196</v>
      </c>
      <c r="K1615" s="33" t="n">
        <v>2</v>
      </c>
      <c r="L1615" s="34"/>
      <c r="M1615" s="35"/>
      <c r="N1615" s="36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9"/>
      <c r="Z1615" s="39"/>
      <c r="AA1615" s="28"/>
      <c r="AMJ1615" s="0"/>
    </row>
    <row r="1616" s="2" customFormat="true" ht="12.75" hidden="false" customHeight="true" outlineLevel="0" collapsed="false">
      <c r="A1616" s="27" t="s">
        <v>3113</v>
      </c>
      <c r="B1616" s="27" t="s">
        <v>130</v>
      </c>
      <c r="C1616" s="28" t="s">
        <v>178</v>
      </c>
      <c r="D1616" s="27" t="s">
        <v>2928</v>
      </c>
      <c r="E1616" s="27"/>
      <c r="F1616" s="29" t="s">
        <v>3112</v>
      </c>
      <c r="G1616" s="30" t="n">
        <v>75016</v>
      </c>
      <c r="H1616" s="31" t="s">
        <v>36</v>
      </c>
      <c r="I1616" s="32"/>
      <c r="J1616" s="33" t="n">
        <v>167</v>
      </c>
      <c r="K1616" s="33" t="n">
        <v>1</v>
      </c>
      <c r="L1616" s="34"/>
      <c r="M1616" s="35"/>
      <c r="N1616" s="36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9"/>
      <c r="Z1616" s="39"/>
      <c r="AA1616" s="28"/>
      <c r="AMJ1616" s="0"/>
    </row>
    <row r="1617" s="2" customFormat="true" ht="12.75" hidden="false" customHeight="true" outlineLevel="0" collapsed="false">
      <c r="A1617" s="27" t="s">
        <v>3114</v>
      </c>
      <c r="B1617" s="27" t="s">
        <v>106</v>
      </c>
      <c r="C1617" s="28" t="s">
        <v>178</v>
      </c>
      <c r="D1617" s="27" t="s">
        <v>2928</v>
      </c>
      <c r="E1617" s="27"/>
      <c r="F1617" s="29" t="s">
        <v>3112</v>
      </c>
      <c r="G1617" s="30" t="n">
        <v>75016</v>
      </c>
      <c r="H1617" s="31" t="s">
        <v>36</v>
      </c>
      <c r="I1617" s="32"/>
      <c r="J1617" s="33" t="n">
        <v>92</v>
      </c>
      <c r="K1617" s="33" t="n">
        <v>1</v>
      </c>
      <c r="L1617" s="34"/>
      <c r="M1617" s="35"/>
      <c r="N1617" s="36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9"/>
      <c r="Z1617" s="39"/>
      <c r="AA1617" s="28"/>
      <c r="AMJ1617" s="0"/>
    </row>
    <row r="1618" s="2" customFormat="true" ht="12.75" hidden="false" customHeight="true" outlineLevel="0" collapsed="false">
      <c r="A1618" s="27" t="s">
        <v>3115</v>
      </c>
      <c r="B1618" s="27" t="s">
        <v>842</v>
      </c>
      <c r="C1618" s="28" t="s">
        <v>41</v>
      </c>
      <c r="D1618" s="27" t="s">
        <v>2928</v>
      </c>
      <c r="E1618" s="27"/>
      <c r="F1618" s="29" t="s">
        <v>3116</v>
      </c>
      <c r="G1618" s="30" t="n">
        <v>75016</v>
      </c>
      <c r="H1618" s="31" t="s">
        <v>36</v>
      </c>
      <c r="I1618" s="32" t="n">
        <v>601858624</v>
      </c>
      <c r="J1618" s="33" t="n">
        <v>297</v>
      </c>
      <c r="K1618" s="33" t="n">
        <v>5</v>
      </c>
      <c r="L1618" s="34"/>
      <c r="M1618" s="35"/>
      <c r="N1618" s="36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9"/>
      <c r="Z1618" s="39"/>
      <c r="AA1618" s="28"/>
      <c r="AMJ1618" s="0"/>
    </row>
    <row r="1619" s="2" customFormat="true" ht="12.75" hidden="false" customHeight="true" outlineLevel="0" collapsed="false">
      <c r="A1619" s="27" t="s">
        <v>3117</v>
      </c>
      <c r="B1619" s="27" t="s">
        <v>3118</v>
      </c>
      <c r="C1619" s="28" t="s">
        <v>33</v>
      </c>
      <c r="D1619" s="27" t="s">
        <v>2928</v>
      </c>
      <c r="E1619" s="27"/>
      <c r="F1619" s="29" t="s">
        <v>3119</v>
      </c>
      <c r="G1619" s="30" t="n">
        <v>75016</v>
      </c>
      <c r="H1619" s="31" t="s">
        <v>36</v>
      </c>
      <c r="I1619" s="32" t="n">
        <v>147272468</v>
      </c>
      <c r="J1619" s="33" t="n">
        <v>60</v>
      </c>
      <c r="K1619" s="33" t="n">
        <v>1</v>
      </c>
      <c r="L1619" s="34"/>
      <c r="M1619" s="35"/>
      <c r="N1619" s="36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9"/>
      <c r="Z1619" s="39"/>
      <c r="AA1619" s="28"/>
      <c r="AC1619" s="2" t="s">
        <v>38</v>
      </c>
      <c r="AMJ1619" s="0"/>
    </row>
    <row r="1620" s="2" customFormat="true" ht="12.75" hidden="false" customHeight="true" outlineLevel="0" collapsed="false">
      <c r="A1620" s="27" t="s">
        <v>3120</v>
      </c>
      <c r="B1620" s="27" t="s">
        <v>596</v>
      </c>
      <c r="C1620" s="28" t="s">
        <v>33</v>
      </c>
      <c r="D1620" s="27" t="s">
        <v>2928</v>
      </c>
      <c r="E1620" s="27"/>
      <c r="F1620" s="29" t="s">
        <v>3121</v>
      </c>
      <c r="G1620" s="30" t="n">
        <v>75016</v>
      </c>
      <c r="H1620" s="31" t="s">
        <v>36</v>
      </c>
      <c r="I1620" s="32" t="n">
        <v>153230525</v>
      </c>
      <c r="J1620" s="33" t="n">
        <v>62</v>
      </c>
      <c r="K1620" s="33" t="n">
        <v>1</v>
      </c>
      <c r="L1620" s="34"/>
      <c r="M1620" s="35"/>
      <c r="N1620" s="36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9"/>
      <c r="Z1620" s="39"/>
      <c r="AA1620" s="28"/>
      <c r="AC1620" s="2" t="s">
        <v>1484</v>
      </c>
      <c r="AMJ1620" s="0"/>
    </row>
    <row r="1621" s="2" customFormat="true" ht="12.75" hidden="false" customHeight="true" outlineLevel="0" collapsed="false">
      <c r="A1621" s="27" t="s">
        <v>3122</v>
      </c>
      <c r="B1621" s="27" t="s">
        <v>749</v>
      </c>
      <c r="C1621" s="28" t="s">
        <v>33</v>
      </c>
      <c r="D1621" s="27" t="s">
        <v>2928</v>
      </c>
      <c r="E1621" s="27"/>
      <c r="F1621" s="29" t="s">
        <v>3121</v>
      </c>
      <c r="G1621" s="30" t="n">
        <v>75016</v>
      </c>
      <c r="H1621" s="31" t="s">
        <v>36</v>
      </c>
      <c r="I1621" s="32" t="n">
        <v>153230525</v>
      </c>
      <c r="J1621" s="33" t="n">
        <v>57</v>
      </c>
      <c r="K1621" s="33" t="n">
        <v>1</v>
      </c>
      <c r="L1621" s="34"/>
      <c r="M1621" s="35"/>
      <c r="N1621" s="36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9"/>
      <c r="Z1621" s="39"/>
      <c r="AA1621" s="28"/>
      <c r="AC1621" s="2" t="s">
        <v>38</v>
      </c>
      <c r="AMJ1621" s="0"/>
    </row>
    <row r="1622" s="2" customFormat="true" ht="12.75" hidden="false" customHeight="true" outlineLevel="0" collapsed="false">
      <c r="A1622" s="27" t="s">
        <v>3123</v>
      </c>
      <c r="B1622" s="27" t="s">
        <v>1529</v>
      </c>
      <c r="C1622" s="28" t="s">
        <v>33</v>
      </c>
      <c r="D1622" s="27" t="s">
        <v>2928</v>
      </c>
      <c r="E1622" s="27"/>
      <c r="F1622" s="29" t="s">
        <v>3121</v>
      </c>
      <c r="G1622" s="30" t="n">
        <v>75016</v>
      </c>
      <c r="H1622" s="31" t="s">
        <v>36</v>
      </c>
      <c r="I1622" s="32" t="n">
        <v>153230525</v>
      </c>
      <c r="J1622" s="33" t="n">
        <v>52</v>
      </c>
      <c r="K1622" s="33" t="n">
        <v>1</v>
      </c>
      <c r="L1622" s="34"/>
      <c r="M1622" s="35"/>
      <c r="N1622" s="36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9"/>
      <c r="Z1622" s="39"/>
      <c r="AA1622" s="28"/>
      <c r="AC1622" s="2" t="s">
        <v>38</v>
      </c>
      <c r="AMJ1622" s="0"/>
    </row>
    <row r="1623" s="2" customFormat="true" ht="12.75" hidden="false" customHeight="true" outlineLevel="0" collapsed="false">
      <c r="A1623" s="27" t="s">
        <v>3124</v>
      </c>
      <c r="B1623" s="27" t="s">
        <v>401</v>
      </c>
      <c r="C1623" s="28" t="s">
        <v>138</v>
      </c>
      <c r="D1623" s="27" t="s">
        <v>2928</v>
      </c>
      <c r="E1623" s="27"/>
      <c r="F1623" s="29" t="s">
        <v>3125</v>
      </c>
      <c r="G1623" s="30" t="n">
        <v>75016</v>
      </c>
      <c r="H1623" s="31" t="s">
        <v>36</v>
      </c>
      <c r="I1623" s="32" t="n">
        <v>147270413</v>
      </c>
      <c r="J1623" s="33" t="n">
        <v>119</v>
      </c>
      <c r="K1623" s="33" t="n">
        <v>1</v>
      </c>
      <c r="L1623" s="34"/>
      <c r="M1623" s="35"/>
      <c r="N1623" s="36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9"/>
      <c r="Z1623" s="39"/>
      <c r="AA1623" s="28"/>
      <c r="AMJ1623" s="0"/>
    </row>
    <row r="1624" s="2" customFormat="true" ht="12.75" hidden="false" customHeight="true" outlineLevel="0" collapsed="false">
      <c r="A1624" s="27" t="s">
        <v>3126</v>
      </c>
      <c r="B1624" s="27" t="s">
        <v>1521</v>
      </c>
      <c r="C1624" s="28" t="s">
        <v>33</v>
      </c>
      <c r="D1624" s="27" t="s">
        <v>2928</v>
      </c>
      <c r="E1624" s="27"/>
      <c r="F1624" s="29" t="s">
        <v>3127</v>
      </c>
      <c r="G1624" s="30" t="n">
        <v>75016</v>
      </c>
      <c r="H1624" s="31" t="s">
        <v>36</v>
      </c>
      <c r="I1624" s="32"/>
      <c r="J1624" s="33" t="n">
        <v>63</v>
      </c>
      <c r="K1624" s="33" t="n">
        <v>2</v>
      </c>
      <c r="L1624" s="34"/>
      <c r="M1624" s="35"/>
      <c r="N1624" s="36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9"/>
      <c r="Z1624" s="39"/>
      <c r="AA1624" s="28"/>
      <c r="AC1624" s="2" t="s">
        <v>1478</v>
      </c>
      <c r="AMJ1624" s="0"/>
    </row>
    <row r="1625" s="2" customFormat="true" ht="12.75" hidden="false" customHeight="true" outlineLevel="0" collapsed="false">
      <c r="A1625" s="27" t="s">
        <v>3128</v>
      </c>
      <c r="B1625" s="27" t="s">
        <v>490</v>
      </c>
      <c r="C1625" s="28" t="s">
        <v>33</v>
      </c>
      <c r="D1625" s="27" t="s">
        <v>2928</v>
      </c>
      <c r="E1625" s="27"/>
      <c r="F1625" s="29" t="s">
        <v>3127</v>
      </c>
      <c r="G1625" s="30" t="n">
        <v>75016</v>
      </c>
      <c r="H1625" s="31" t="s">
        <v>36</v>
      </c>
      <c r="I1625" s="32"/>
      <c r="J1625" s="33" t="n">
        <v>52</v>
      </c>
      <c r="K1625" s="33" t="n">
        <v>1</v>
      </c>
      <c r="L1625" s="34"/>
      <c r="M1625" s="35"/>
      <c r="N1625" s="36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9"/>
      <c r="Z1625" s="39"/>
      <c r="AA1625" s="28"/>
      <c r="AC1625" s="2" t="s">
        <v>1484</v>
      </c>
      <c r="AMJ1625" s="0"/>
    </row>
    <row r="1626" s="2" customFormat="true" ht="12.75" hidden="false" customHeight="true" outlineLevel="0" collapsed="false">
      <c r="A1626" s="27" t="s">
        <v>3129</v>
      </c>
      <c r="B1626" s="27" t="s">
        <v>3130</v>
      </c>
      <c r="C1626" s="28" t="s">
        <v>41</v>
      </c>
      <c r="D1626" s="27" t="s">
        <v>2928</v>
      </c>
      <c r="E1626" s="27"/>
      <c r="F1626" s="29" t="s">
        <v>3131</v>
      </c>
      <c r="G1626" s="30" t="n">
        <v>75016</v>
      </c>
      <c r="H1626" s="31" t="s">
        <v>36</v>
      </c>
      <c r="I1626" s="32" t="n">
        <v>143591010</v>
      </c>
      <c r="J1626" s="33" t="n">
        <v>100</v>
      </c>
      <c r="K1626" s="33" t="n">
        <v>2</v>
      </c>
      <c r="L1626" s="34"/>
      <c r="M1626" s="35"/>
      <c r="N1626" s="36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9"/>
      <c r="Z1626" s="39"/>
      <c r="AA1626" s="28"/>
      <c r="AMJ1626" s="0"/>
    </row>
    <row r="1627" s="2" customFormat="true" ht="12.75" hidden="false" customHeight="true" outlineLevel="0" collapsed="false">
      <c r="A1627" s="27" t="s">
        <v>2521</v>
      </c>
      <c r="B1627" s="27" t="s">
        <v>3132</v>
      </c>
      <c r="C1627" s="28" t="s">
        <v>41</v>
      </c>
      <c r="D1627" s="27" t="s">
        <v>2928</v>
      </c>
      <c r="E1627" s="27"/>
      <c r="F1627" s="29" t="s">
        <v>3131</v>
      </c>
      <c r="G1627" s="30" t="n">
        <v>75016</v>
      </c>
      <c r="H1627" s="31" t="s">
        <v>36</v>
      </c>
      <c r="I1627" s="32" t="n">
        <v>143591010</v>
      </c>
      <c r="J1627" s="33" t="n">
        <v>89</v>
      </c>
      <c r="K1627" s="33" t="n">
        <v>1</v>
      </c>
      <c r="L1627" s="34"/>
      <c r="M1627" s="35"/>
      <c r="N1627" s="36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9"/>
      <c r="Z1627" s="39"/>
      <c r="AA1627" s="28"/>
      <c r="AMJ1627" s="0"/>
    </row>
    <row r="1628" s="2" customFormat="true" ht="12.75" hidden="false" customHeight="true" outlineLevel="0" collapsed="false">
      <c r="A1628" s="27" t="s">
        <v>3133</v>
      </c>
      <c r="B1628" s="27" t="s">
        <v>92</v>
      </c>
      <c r="C1628" s="28" t="s">
        <v>41</v>
      </c>
      <c r="D1628" s="27" t="s">
        <v>2928</v>
      </c>
      <c r="E1628" s="27"/>
      <c r="F1628" s="29" t="s">
        <v>3131</v>
      </c>
      <c r="G1628" s="30" t="n">
        <v>75016</v>
      </c>
      <c r="H1628" s="31" t="s">
        <v>36</v>
      </c>
      <c r="I1628" s="32" t="n">
        <v>143591010</v>
      </c>
      <c r="J1628" s="33" t="n">
        <v>0</v>
      </c>
      <c r="K1628" s="33" t="n">
        <v>3</v>
      </c>
      <c r="L1628" s="34"/>
      <c r="M1628" s="35"/>
      <c r="N1628" s="36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9"/>
      <c r="Z1628" s="39"/>
      <c r="AA1628" s="28"/>
      <c r="AMJ1628" s="0"/>
    </row>
    <row r="1629" s="2" customFormat="true" ht="12.75" hidden="false" customHeight="true" outlineLevel="0" collapsed="false">
      <c r="A1629" s="27" t="s">
        <v>3134</v>
      </c>
      <c r="B1629" s="27" t="s">
        <v>590</v>
      </c>
      <c r="C1629" s="28" t="s">
        <v>41</v>
      </c>
      <c r="D1629" s="27" t="s">
        <v>2928</v>
      </c>
      <c r="E1629" s="27" t="s">
        <v>3135</v>
      </c>
      <c r="F1629" s="29" t="s">
        <v>3131</v>
      </c>
      <c r="G1629" s="30" t="n">
        <v>75016</v>
      </c>
      <c r="H1629" s="31" t="s">
        <v>36</v>
      </c>
      <c r="I1629" s="32" t="n">
        <v>134283333</v>
      </c>
      <c r="J1629" s="33" t="n">
        <v>0</v>
      </c>
      <c r="K1629" s="33" t="n">
        <v>9</v>
      </c>
      <c r="L1629" s="34" t="n">
        <v>1</v>
      </c>
      <c r="M1629" s="35" t="s">
        <v>164</v>
      </c>
      <c r="N1629" s="36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39"/>
      <c r="Z1629" s="39"/>
      <c r="AA1629" s="28"/>
      <c r="AMJ1629" s="0"/>
    </row>
    <row r="1630" s="2" customFormat="true" ht="12.75" hidden="false" customHeight="true" outlineLevel="0" collapsed="false">
      <c r="A1630" s="27" t="s">
        <v>3136</v>
      </c>
      <c r="B1630" s="27" t="s">
        <v>3137</v>
      </c>
      <c r="C1630" s="28" t="s">
        <v>41</v>
      </c>
      <c r="D1630" s="27" t="s">
        <v>2928</v>
      </c>
      <c r="E1630" s="27"/>
      <c r="F1630" s="29" t="s">
        <v>3131</v>
      </c>
      <c r="G1630" s="30" t="n">
        <v>75016</v>
      </c>
      <c r="H1630" s="31" t="s">
        <v>36</v>
      </c>
      <c r="I1630" s="32" t="n">
        <v>143591010</v>
      </c>
      <c r="J1630" s="33" t="n">
        <v>0</v>
      </c>
      <c r="K1630" s="33" t="n">
        <v>1</v>
      </c>
      <c r="L1630" s="34"/>
      <c r="M1630" s="35"/>
      <c r="N1630" s="36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9"/>
      <c r="Z1630" s="39"/>
      <c r="AA1630" s="28"/>
      <c r="AMJ1630" s="0"/>
    </row>
    <row r="1631" s="2" customFormat="true" ht="12.75" hidden="false" customHeight="true" outlineLevel="0" collapsed="false">
      <c r="A1631" s="27" t="s">
        <v>3138</v>
      </c>
      <c r="B1631" s="27" t="s">
        <v>234</v>
      </c>
      <c r="C1631" s="28" t="s">
        <v>41</v>
      </c>
      <c r="D1631" s="27" t="s">
        <v>2928</v>
      </c>
      <c r="E1631" s="27"/>
      <c r="F1631" s="29" t="s">
        <v>3139</v>
      </c>
      <c r="G1631" s="30" t="n">
        <v>75016</v>
      </c>
      <c r="H1631" s="31" t="s">
        <v>36</v>
      </c>
      <c r="I1631" s="32" t="n">
        <v>145539593</v>
      </c>
      <c r="J1631" s="33" t="n">
        <v>205</v>
      </c>
      <c r="K1631" s="33" t="n">
        <v>1</v>
      </c>
      <c r="L1631" s="34"/>
      <c r="M1631" s="35"/>
      <c r="N1631" s="36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9"/>
      <c r="Z1631" s="39"/>
      <c r="AA1631" s="28"/>
      <c r="AMJ1631" s="0"/>
    </row>
    <row r="1632" s="2" customFormat="true" ht="12.75" hidden="false" customHeight="true" outlineLevel="0" collapsed="false">
      <c r="A1632" s="27" t="s">
        <v>3140</v>
      </c>
      <c r="B1632" s="27" t="s">
        <v>55</v>
      </c>
      <c r="C1632" s="28" t="s">
        <v>41</v>
      </c>
      <c r="D1632" s="27" t="s">
        <v>2928</v>
      </c>
      <c r="E1632" s="27"/>
      <c r="F1632" s="29" t="s">
        <v>3141</v>
      </c>
      <c r="G1632" s="30" t="n">
        <v>75016</v>
      </c>
      <c r="H1632" s="31" t="s">
        <v>36</v>
      </c>
      <c r="I1632" s="32" t="n">
        <v>145536747</v>
      </c>
      <c r="J1632" s="33" t="n">
        <v>236</v>
      </c>
      <c r="K1632" s="33" t="n">
        <v>2</v>
      </c>
      <c r="L1632" s="34"/>
      <c r="M1632" s="35"/>
      <c r="N1632" s="36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9"/>
      <c r="Z1632" s="39"/>
      <c r="AA1632" s="28"/>
      <c r="AMJ1632" s="0"/>
    </row>
    <row r="1633" s="2" customFormat="true" ht="12.75" hidden="false" customHeight="true" outlineLevel="0" collapsed="false">
      <c r="A1633" s="27" t="s">
        <v>3142</v>
      </c>
      <c r="B1633" s="27" t="s">
        <v>889</v>
      </c>
      <c r="C1633" s="28" t="s">
        <v>41</v>
      </c>
      <c r="D1633" s="27" t="s">
        <v>2928</v>
      </c>
      <c r="E1633" s="27"/>
      <c r="F1633" s="29" t="s">
        <v>3141</v>
      </c>
      <c r="G1633" s="30" t="n">
        <v>75016</v>
      </c>
      <c r="H1633" s="31" t="s">
        <v>36</v>
      </c>
      <c r="I1633" s="32" t="n">
        <v>145536747</v>
      </c>
      <c r="J1633" s="33" t="n">
        <v>152</v>
      </c>
      <c r="K1633" s="33" t="n">
        <v>1</v>
      </c>
      <c r="L1633" s="34"/>
      <c r="M1633" s="35"/>
      <c r="N1633" s="36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9"/>
      <c r="Z1633" s="39"/>
      <c r="AA1633" s="28"/>
      <c r="AMJ1633" s="0"/>
    </row>
    <row r="1634" s="2" customFormat="true" ht="12.75" hidden="false" customHeight="true" outlineLevel="0" collapsed="false">
      <c r="A1634" s="27" t="s">
        <v>3143</v>
      </c>
      <c r="B1634" s="27" t="s">
        <v>884</v>
      </c>
      <c r="C1634" s="28" t="s">
        <v>113</v>
      </c>
      <c r="D1634" s="27" t="s">
        <v>2928</v>
      </c>
      <c r="E1634" s="27"/>
      <c r="F1634" s="29" t="s">
        <v>3144</v>
      </c>
      <c r="G1634" s="30" t="n">
        <v>75016</v>
      </c>
      <c r="H1634" s="31" t="s">
        <v>36</v>
      </c>
      <c r="I1634" s="32" t="n">
        <v>145202028</v>
      </c>
      <c r="J1634" s="33" t="n">
        <v>52</v>
      </c>
      <c r="K1634" s="33" t="n">
        <v>2</v>
      </c>
      <c r="L1634" s="34" t="n">
        <v>2</v>
      </c>
      <c r="M1634" s="43" t="s">
        <v>164</v>
      </c>
      <c r="N1634" s="36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39" t="n">
        <v>45131.3958333333</v>
      </c>
      <c r="Z1634" s="39"/>
      <c r="AA1634" s="28" t="n">
        <v>4</v>
      </c>
      <c r="AMJ1634" s="0"/>
    </row>
    <row r="1635" s="2" customFormat="true" ht="12.75" hidden="false" customHeight="true" outlineLevel="0" collapsed="false">
      <c r="A1635" s="27" t="s">
        <v>3145</v>
      </c>
      <c r="B1635" s="27" t="s">
        <v>189</v>
      </c>
      <c r="C1635" s="28" t="s">
        <v>41</v>
      </c>
      <c r="D1635" s="27" t="s">
        <v>2928</v>
      </c>
      <c r="E1635" s="27"/>
      <c r="F1635" s="29" t="s">
        <v>3146</v>
      </c>
      <c r="G1635" s="30" t="n">
        <v>75016</v>
      </c>
      <c r="H1635" s="31" t="s">
        <v>36</v>
      </c>
      <c r="I1635" s="32"/>
      <c r="J1635" s="33" t="n">
        <v>220</v>
      </c>
      <c r="K1635" s="33" t="n">
        <v>1</v>
      </c>
      <c r="L1635" s="34"/>
      <c r="M1635" s="35"/>
      <c r="N1635" s="36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9"/>
      <c r="Z1635" s="39"/>
      <c r="AA1635" s="28"/>
      <c r="AMJ1635" s="0"/>
    </row>
    <row r="1636" s="2" customFormat="true" ht="12.75" hidden="false" customHeight="true" outlineLevel="0" collapsed="false">
      <c r="A1636" s="27" t="s">
        <v>3147</v>
      </c>
      <c r="B1636" s="27" t="s">
        <v>207</v>
      </c>
      <c r="C1636" s="28" t="s">
        <v>41</v>
      </c>
      <c r="D1636" s="27" t="s">
        <v>2928</v>
      </c>
      <c r="E1636" s="27"/>
      <c r="F1636" s="29" t="s">
        <v>3148</v>
      </c>
      <c r="G1636" s="30" t="n">
        <v>75016</v>
      </c>
      <c r="H1636" s="31" t="s">
        <v>36</v>
      </c>
      <c r="I1636" s="32"/>
      <c r="J1636" s="33" t="n">
        <v>154</v>
      </c>
      <c r="K1636" s="33" t="n">
        <v>1</v>
      </c>
      <c r="L1636" s="34"/>
      <c r="M1636" s="35"/>
      <c r="N1636" s="36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9"/>
      <c r="Z1636" s="39"/>
      <c r="AA1636" s="28"/>
      <c r="AMJ1636" s="0"/>
    </row>
    <row r="1637" s="2" customFormat="true" ht="12.75" hidden="false" customHeight="true" outlineLevel="0" collapsed="false">
      <c r="A1637" s="27" t="s">
        <v>3149</v>
      </c>
      <c r="B1637" s="27" t="s">
        <v>1227</v>
      </c>
      <c r="C1637" s="28" t="s">
        <v>41</v>
      </c>
      <c r="D1637" s="27" t="s">
        <v>2928</v>
      </c>
      <c r="E1637" s="27"/>
      <c r="F1637" s="29" t="s">
        <v>3150</v>
      </c>
      <c r="G1637" s="30" t="n">
        <v>75016</v>
      </c>
      <c r="H1637" s="31" t="s">
        <v>36</v>
      </c>
      <c r="I1637" s="32" t="n">
        <v>144316666</v>
      </c>
      <c r="J1637" s="33" t="n">
        <v>185</v>
      </c>
      <c r="K1637" s="33" t="n">
        <v>1</v>
      </c>
      <c r="L1637" s="34"/>
      <c r="M1637" s="35"/>
      <c r="N1637" s="36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9"/>
      <c r="Z1637" s="39"/>
      <c r="AA1637" s="28"/>
      <c r="AMJ1637" s="0"/>
    </row>
    <row r="1638" s="2" customFormat="true" ht="12.75" hidden="false" customHeight="true" outlineLevel="0" collapsed="false">
      <c r="A1638" s="27" t="s">
        <v>1204</v>
      </c>
      <c r="B1638" s="27" t="s">
        <v>490</v>
      </c>
      <c r="C1638" s="28" t="s">
        <v>41</v>
      </c>
      <c r="D1638" s="27" t="s">
        <v>2928</v>
      </c>
      <c r="E1638" s="27"/>
      <c r="F1638" s="29" t="s">
        <v>3150</v>
      </c>
      <c r="G1638" s="30" t="n">
        <v>75016</v>
      </c>
      <c r="H1638" s="31" t="s">
        <v>36</v>
      </c>
      <c r="I1638" s="32" t="n">
        <v>144316666</v>
      </c>
      <c r="J1638" s="33" t="n">
        <v>150</v>
      </c>
      <c r="K1638" s="33" t="n">
        <v>1</v>
      </c>
      <c r="L1638" s="34"/>
      <c r="M1638" s="35"/>
      <c r="N1638" s="36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9"/>
      <c r="Z1638" s="39"/>
      <c r="AA1638" s="28"/>
      <c r="AMJ1638" s="0"/>
    </row>
    <row r="1639" s="2" customFormat="true" ht="12.75" hidden="false" customHeight="true" outlineLevel="0" collapsed="false">
      <c r="A1639" s="27" t="s">
        <v>3151</v>
      </c>
      <c r="B1639" s="27" t="s">
        <v>3152</v>
      </c>
      <c r="C1639" s="28" t="s">
        <v>121</v>
      </c>
      <c r="D1639" s="27" t="s">
        <v>2928</v>
      </c>
      <c r="E1639" s="27"/>
      <c r="F1639" s="29" t="s">
        <v>3153</v>
      </c>
      <c r="G1639" s="30" t="n">
        <v>75016</v>
      </c>
      <c r="H1639" s="31" t="s">
        <v>36</v>
      </c>
      <c r="I1639" s="32" t="n">
        <v>147046349</v>
      </c>
      <c r="J1639" s="33" t="n">
        <v>119</v>
      </c>
      <c r="K1639" s="33" t="n">
        <v>5</v>
      </c>
      <c r="L1639" s="34" t="n">
        <v>1</v>
      </c>
      <c r="M1639" s="35" t="s">
        <v>164</v>
      </c>
      <c r="N1639" s="36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39"/>
      <c r="Z1639" s="39"/>
      <c r="AA1639" s="28" t="n">
        <v>3</v>
      </c>
      <c r="AMJ1639" s="0"/>
    </row>
    <row r="1640" s="2" customFormat="true" ht="12.75" hidden="false" customHeight="true" outlineLevel="0" collapsed="false">
      <c r="A1640" s="27" t="s">
        <v>3154</v>
      </c>
      <c r="B1640" s="27" t="s">
        <v>1697</v>
      </c>
      <c r="C1640" s="28" t="s">
        <v>121</v>
      </c>
      <c r="D1640" s="27" t="s">
        <v>2928</v>
      </c>
      <c r="E1640" s="27"/>
      <c r="F1640" s="29" t="s">
        <v>3153</v>
      </c>
      <c r="G1640" s="30" t="n">
        <v>75016</v>
      </c>
      <c r="H1640" s="31" t="s">
        <v>36</v>
      </c>
      <c r="I1640" s="32" t="n">
        <v>147046349</v>
      </c>
      <c r="J1640" s="33"/>
      <c r="K1640" s="33"/>
      <c r="L1640" s="34"/>
      <c r="M1640" s="35"/>
      <c r="N1640" s="36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9"/>
      <c r="Z1640" s="39"/>
      <c r="AA1640" s="28"/>
      <c r="AMJ1640" s="0"/>
    </row>
    <row r="1641" s="2" customFormat="true" ht="12.75" hidden="false" customHeight="true" outlineLevel="0" collapsed="false">
      <c r="A1641" s="27" t="s">
        <v>3155</v>
      </c>
      <c r="B1641" s="27" t="s">
        <v>973</v>
      </c>
      <c r="C1641" s="28" t="s">
        <v>41</v>
      </c>
      <c r="D1641" s="27" t="s">
        <v>2928</v>
      </c>
      <c r="E1641" s="27"/>
      <c r="F1641" s="29" t="s">
        <v>3156</v>
      </c>
      <c r="G1641" s="30" t="n">
        <v>75016</v>
      </c>
      <c r="H1641" s="31" t="s">
        <v>36</v>
      </c>
      <c r="I1641" s="32" t="n">
        <v>153673535</v>
      </c>
      <c r="J1641" s="33" t="n">
        <v>202</v>
      </c>
      <c r="K1641" s="33" t="n">
        <v>1</v>
      </c>
      <c r="L1641" s="34"/>
      <c r="M1641" s="35"/>
      <c r="N1641" s="36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9"/>
      <c r="Z1641" s="39"/>
      <c r="AA1641" s="28"/>
      <c r="AMJ1641" s="0"/>
    </row>
    <row r="1642" s="2" customFormat="true" ht="12.75" hidden="false" customHeight="true" outlineLevel="0" collapsed="false">
      <c r="A1642" s="27" t="s">
        <v>3157</v>
      </c>
      <c r="B1642" s="27" t="s">
        <v>3158</v>
      </c>
      <c r="C1642" s="28" t="s">
        <v>41</v>
      </c>
      <c r="D1642" s="27" t="s">
        <v>2928</v>
      </c>
      <c r="E1642" s="27"/>
      <c r="F1642" s="29" t="s">
        <v>3156</v>
      </c>
      <c r="G1642" s="30" t="n">
        <v>75016</v>
      </c>
      <c r="H1642" s="31" t="s">
        <v>36</v>
      </c>
      <c r="I1642" s="32" t="n">
        <v>153673535</v>
      </c>
      <c r="J1642" s="33" t="n">
        <v>162</v>
      </c>
      <c r="K1642" s="33" t="n">
        <v>1</v>
      </c>
      <c r="L1642" s="34"/>
      <c r="M1642" s="35"/>
      <c r="N1642" s="36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9"/>
      <c r="Z1642" s="39"/>
      <c r="AA1642" s="28"/>
      <c r="AMJ1642" s="0"/>
    </row>
    <row r="1643" s="2" customFormat="true" ht="12.75" hidden="false" customHeight="true" outlineLevel="0" collapsed="false">
      <c r="A1643" s="27" t="s">
        <v>3159</v>
      </c>
      <c r="B1643" s="27" t="s">
        <v>425</v>
      </c>
      <c r="C1643" s="28" t="s">
        <v>41</v>
      </c>
      <c r="D1643" s="27" t="s">
        <v>2928</v>
      </c>
      <c r="E1643" s="27"/>
      <c r="F1643" s="29" t="s">
        <v>3156</v>
      </c>
      <c r="G1643" s="30" t="n">
        <v>75016</v>
      </c>
      <c r="H1643" s="31" t="s">
        <v>36</v>
      </c>
      <c r="I1643" s="32" t="n">
        <v>153673535</v>
      </c>
      <c r="J1643" s="33" t="n">
        <v>156</v>
      </c>
      <c r="K1643" s="33" t="n">
        <v>1</v>
      </c>
      <c r="L1643" s="34"/>
      <c r="M1643" s="35"/>
      <c r="N1643" s="36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9"/>
      <c r="Z1643" s="39"/>
      <c r="AA1643" s="28"/>
      <c r="AMJ1643" s="0"/>
    </row>
    <row r="1644" s="2" customFormat="true" ht="12.75" hidden="false" customHeight="true" outlineLevel="0" collapsed="false">
      <c r="A1644" s="27" t="s">
        <v>3160</v>
      </c>
      <c r="B1644" s="27" t="s">
        <v>406</v>
      </c>
      <c r="C1644" s="28" t="s">
        <v>41</v>
      </c>
      <c r="D1644" s="27" t="s">
        <v>2928</v>
      </c>
      <c r="E1644" s="27"/>
      <c r="F1644" s="29" t="s">
        <v>3156</v>
      </c>
      <c r="G1644" s="30" t="n">
        <v>75016</v>
      </c>
      <c r="H1644" s="31" t="s">
        <v>36</v>
      </c>
      <c r="I1644" s="32" t="n">
        <v>153673535</v>
      </c>
      <c r="J1644" s="33" t="n">
        <v>150</v>
      </c>
      <c r="K1644" s="33" t="n">
        <v>1</v>
      </c>
      <c r="L1644" s="34"/>
      <c r="M1644" s="35"/>
      <c r="N1644" s="36"/>
      <c r="O1644" s="37"/>
      <c r="P1644" s="37"/>
      <c r="Q1644" s="37"/>
      <c r="R1644" s="37"/>
      <c r="S1644" s="37"/>
      <c r="T1644" s="37"/>
      <c r="U1644" s="37"/>
      <c r="V1644" s="37"/>
      <c r="W1644" s="37"/>
      <c r="X1644" s="37"/>
      <c r="Y1644" s="39"/>
      <c r="Z1644" s="39"/>
      <c r="AA1644" s="28"/>
      <c r="AMJ1644" s="0"/>
    </row>
    <row r="1645" s="2" customFormat="true" ht="12.75" hidden="false" customHeight="true" outlineLevel="0" collapsed="false">
      <c r="A1645" s="27" t="s">
        <v>3161</v>
      </c>
      <c r="B1645" s="27" t="s">
        <v>106</v>
      </c>
      <c r="C1645" s="28" t="s">
        <v>41</v>
      </c>
      <c r="D1645" s="27" t="s">
        <v>2928</v>
      </c>
      <c r="E1645" s="27"/>
      <c r="F1645" s="29" t="s">
        <v>3162</v>
      </c>
      <c r="G1645" s="30" t="n">
        <v>75016</v>
      </c>
      <c r="H1645" s="31" t="s">
        <v>36</v>
      </c>
      <c r="I1645" s="32" t="n">
        <v>140679393</v>
      </c>
      <c r="J1645" s="33" t="n">
        <v>254</v>
      </c>
      <c r="K1645" s="33" t="n">
        <v>2</v>
      </c>
      <c r="L1645" s="34"/>
      <c r="M1645" s="35"/>
      <c r="N1645" s="36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9"/>
      <c r="Z1645" s="39"/>
      <c r="AA1645" s="28"/>
      <c r="AMJ1645" s="0"/>
    </row>
    <row r="1646" s="2" customFormat="true" ht="12.75" hidden="false" customHeight="true" outlineLevel="0" collapsed="false">
      <c r="A1646" s="27" t="s">
        <v>3163</v>
      </c>
      <c r="B1646" s="27" t="s">
        <v>250</v>
      </c>
      <c r="C1646" s="28" t="s">
        <v>113</v>
      </c>
      <c r="D1646" s="27" t="s">
        <v>2928</v>
      </c>
      <c r="E1646" s="27"/>
      <c r="F1646" s="29" t="s">
        <v>3164</v>
      </c>
      <c r="G1646" s="30" t="n">
        <v>75016</v>
      </c>
      <c r="H1646" s="31" t="s">
        <v>36</v>
      </c>
      <c r="I1646" s="32" t="n">
        <v>145656105</v>
      </c>
      <c r="J1646" s="33" t="n">
        <v>41</v>
      </c>
      <c r="K1646" s="33" t="n">
        <v>2</v>
      </c>
      <c r="L1646" s="34"/>
      <c r="M1646" s="35"/>
      <c r="N1646" s="36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9"/>
      <c r="Z1646" s="39"/>
      <c r="AA1646" s="28"/>
      <c r="AMJ1646" s="0"/>
    </row>
    <row r="1647" s="2" customFormat="true" ht="12.75" hidden="false" customHeight="true" outlineLevel="0" collapsed="false">
      <c r="A1647" s="27" t="s">
        <v>3165</v>
      </c>
      <c r="B1647" s="27" t="s">
        <v>1661</v>
      </c>
      <c r="C1647" s="28" t="s">
        <v>113</v>
      </c>
      <c r="D1647" s="27" t="s">
        <v>2928</v>
      </c>
      <c r="E1647" s="27"/>
      <c r="F1647" s="29" t="s">
        <v>3164</v>
      </c>
      <c r="G1647" s="30" t="n">
        <v>75016</v>
      </c>
      <c r="H1647" s="31" t="s">
        <v>36</v>
      </c>
      <c r="I1647" s="32" t="n">
        <v>145656104</v>
      </c>
      <c r="J1647" s="33" t="n">
        <v>41</v>
      </c>
      <c r="K1647" s="33" t="n">
        <v>1</v>
      </c>
      <c r="L1647" s="34"/>
      <c r="M1647" s="35"/>
      <c r="N1647" s="36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9"/>
      <c r="Z1647" s="39"/>
      <c r="AA1647" s="28"/>
      <c r="AMJ1647" s="0"/>
    </row>
    <row r="1648" s="2" customFormat="true" ht="12.75" hidden="false" customHeight="true" outlineLevel="0" collapsed="false">
      <c r="A1648" s="27" t="s">
        <v>3166</v>
      </c>
      <c r="B1648" s="27" t="s">
        <v>130</v>
      </c>
      <c r="C1648" s="28" t="s">
        <v>113</v>
      </c>
      <c r="D1648" s="27" t="s">
        <v>2928</v>
      </c>
      <c r="E1648" s="27"/>
      <c r="F1648" s="29" t="s">
        <v>3164</v>
      </c>
      <c r="G1648" s="30" t="n">
        <v>75016</v>
      </c>
      <c r="H1648" s="31" t="s">
        <v>36</v>
      </c>
      <c r="I1648" s="32" t="n">
        <v>145656105</v>
      </c>
      <c r="J1648" s="33" t="n">
        <v>40</v>
      </c>
      <c r="K1648" s="33" t="n">
        <v>1</v>
      </c>
      <c r="L1648" s="34"/>
      <c r="M1648" s="35"/>
      <c r="N1648" s="36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9"/>
      <c r="Z1648" s="39"/>
      <c r="AA1648" s="28"/>
      <c r="AMJ1648" s="0"/>
    </row>
    <row r="1649" s="2" customFormat="true" ht="12.75" hidden="false" customHeight="true" outlineLevel="0" collapsed="false">
      <c r="A1649" s="27" t="s">
        <v>3167</v>
      </c>
      <c r="B1649" s="27" t="s">
        <v>210</v>
      </c>
      <c r="C1649" s="28" t="s">
        <v>33</v>
      </c>
      <c r="D1649" s="27" t="s">
        <v>2928</v>
      </c>
      <c r="E1649" s="27"/>
      <c r="F1649" s="29" t="s">
        <v>3164</v>
      </c>
      <c r="G1649" s="30" t="n">
        <v>75016</v>
      </c>
      <c r="H1649" s="31" t="s">
        <v>36</v>
      </c>
      <c r="I1649" s="32" t="n">
        <v>145656105</v>
      </c>
      <c r="J1649" s="33" t="n">
        <v>40</v>
      </c>
      <c r="K1649" s="33" t="n">
        <v>1</v>
      </c>
      <c r="L1649" s="34" t="n">
        <v>1</v>
      </c>
      <c r="M1649" s="35"/>
      <c r="N1649" s="36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39"/>
      <c r="Z1649" s="39"/>
      <c r="AA1649" s="28"/>
      <c r="AC1649" s="2" t="s">
        <v>197</v>
      </c>
      <c r="AMJ1649" s="0"/>
    </row>
    <row r="1650" s="2" customFormat="true" ht="12.75" hidden="false" customHeight="true" outlineLevel="0" collapsed="false">
      <c r="A1650" s="27" t="s">
        <v>3168</v>
      </c>
      <c r="B1650" s="27" t="s">
        <v>428</v>
      </c>
      <c r="C1650" s="28" t="s">
        <v>138</v>
      </c>
      <c r="D1650" s="27" t="s">
        <v>2928</v>
      </c>
      <c r="E1650" s="27"/>
      <c r="F1650" s="29" t="s">
        <v>3169</v>
      </c>
      <c r="G1650" s="30" t="n">
        <v>75016</v>
      </c>
      <c r="H1650" s="31" t="s">
        <v>36</v>
      </c>
      <c r="I1650" s="32"/>
      <c r="J1650" s="33" t="n">
        <v>272</v>
      </c>
      <c r="K1650" s="33" t="n">
        <v>6</v>
      </c>
      <c r="L1650" s="34" t="n">
        <v>2</v>
      </c>
      <c r="M1650" s="35" t="s">
        <v>164</v>
      </c>
      <c r="N1650" s="36" t="s">
        <v>165</v>
      </c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39" t="n">
        <v>45111.4166666667</v>
      </c>
      <c r="Z1650" s="39"/>
      <c r="AA1650" s="28" t="n">
        <v>3</v>
      </c>
      <c r="AMJ1650" s="0"/>
    </row>
    <row r="1651" s="2" customFormat="true" ht="12.75" hidden="false" customHeight="true" outlineLevel="0" collapsed="false">
      <c r="A1651" s="27" t="s">
        <v>3170</v>
      </c>
      <c r="B1651" s="27" t="s">
        <v>3171</v>
      </c>
      <c r="C1651" s="28" t="s">
        <v>138</v>
      </c>
      <c r="D1651" s="27" t="s">
        <v>2928</v>
      </c>
      <c r="E1651" s="27"/>
      <c r="F1651" s="29" t="s">
        <v>3169</v>
      </c>
      <c r="G1651" s="30" t="n">
        <v>75016</v>
      </c>
      <c r="H1651" s="31" t="s">
        <v>36</v>
      </c>
      <c r="I1651" s="32"/>
      <c r="J1651" s="33" t="n">
        <v>220</v>
      </c>
      <c r="K1651" s="33" t="n">
        <v>3</v>
      </c>
      <c r="L1651" s="34" t="n">
        <v>1</v>
      </c>
      <c r="M1651" s="35" t="s">
        <v>164</v>
      </c>
      <c r="N1651" s="36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39"/>
      <c r="Z1651" s="39"/>
      <c r="AA1651" s="28" t="n">
        <v>3</v>
      </c>
      <c r="AMJ1651" s="0"/>
    </row>
    <row r="1652" s="2" customFormat="true" ht="12.75" hidden="false" customHeight="true" outlineLevel="0" collapsed="false">
      <c r="A1652" s="27" t="s">
        <v>3172</v>
      </c>
      <c r="B1652" s="27" t="s">
        <v>3173</v>
      </c>
      <c r="C1652" s="28" t="s">
        <v>41</v>
      </c>
      <c r="D1652" s="27" t="s">
        <v>2928</v>
      </c>
      <c r="E1652" s="27"/>
      <c r="F1652" s="29" t="s">
        <v>3169</v>
      </c>
      <c r="G1652" s="30" t="n">
        <v>75016</v>
      </c>
      <c r="H1652" s="31" t="s">
        <v>36</v>
      </c>
      <c r="I1652" s="32" t="n">
        <v>147233334</v>
      </c>
      <c r="J1652" s="33" t="n">
        <v>215</v>
      </c>
      <c r="K1652" s="33" t="n">
        <v>1</v>
      </c>
      <c r="L1652" s="34"/>
      <c r="M1652" s="35"/>
      <c r="N1652" s="36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9"/>
      <c r="Z1652" s="39"/>
      <c r="AA1652" s="28"/>
      <c r="AMJ1652" s="0"/>
    </row>
    <row r="1653" s="2" customFormat="true" ht="12.75" hidden="false" customHeight="true" outlineLevel="0" collapsed="false">
      <c r="A1653" s="27" t="s">
        <v>134</v>
      </c>
      <c r="B1653" s="27" t="s">
        <v>332</v>
      </c>
      <c r="C1653" s="28" t="s">
        <v>33</v>
      </c>
      <c r="D1653" s="27" t="s">
        <v>2928</v>
      </c>
      <c r="E1653" s="27"/>
      <c r="F1653" s="29" t="s">
        <v>3174</v>
      </c>
      <c r="G1653" s="30" t="n">
        <v>75016</v>
      </c>
      <c r="H1653" s="31" t="s">
        <v>36</v>
      </c>
      <c r="I1653" s="32" t="n">
        <v>153729312</v>
      </c>
      <c r="J1653" s="33" t="n">
        <v>51</v>
      </c>
      <c r="K1653" s="33" t="n">
        <v>1</v>
      </c>
      <c r="L1653" s="34"/>
      <c r="M1653" s="35"/>
      <c r="N1653" s="36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9"/>
      <c r="Z1653" s="39"/>
      <c r="AA1653" s="28"/>
      <c r="AC1653" s="2" t="s">
        <v>1478</v>
      </c>
      <c r="AMJ1653" s="0"/>
    </row>
    <row r="1654" s="2" customFormat="true" ht="12.75" hidden="false" customHeight="true" outlineLevel="0" collapsed="false">
      <c r="A1654" s="27" t="s">
        <v>3175</v>
      </c>
      <c r="B1654" s="27" t="s">
        <v>3176</v>
      </c>
      <c r="C1654" s="28" t="s">
        <v>41</v>
      </c>
      <c r="D1654" s="27" t="s">
        <v>2928</v>
      </c>
      <c r="E1654" s="27"/>
      <c r="F1654" s="29" t="s">
        <v>3177</v>
      </c>
      <c r="G1654" s="30" t="n">
        <v>75016</v>
      </c>
      <c r="H1654" s="31" t="s">
        <v>36</v>
      </c>
      <c r="I1654" s="32" t="n">
        <v>147474541</v>
      </c>
      <c r="J1654" s="33" t="n">
        <v>344</v>
      </c>
      <c r="K1654" s="33" t="n">
        <v>1</v>
      </c>
      <c r="L1654" s="34"/>
      <c r="M1654" s="35"/>
      <c r="N1654" s="36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9"/>
      <c r="Z1654" s="39"/>
      <c r="AA1654" s="28"/>
      <c r="AMJ1654" s="0"/>
    </row>
    <row r="1655" s="2" customFormat="true" ht="12.75" hidden="false" customHeight="true" outlineLevel="0" collapsed="false">
      <c r="A1655" s="27" t="s">
        <v>3178</v>
      </c>
      <c r="B1655" s="27" t="s">
        <v>590</v>
      </c>
      <c r="C1655" s="28" t="s">
        <v>33</v>
      </c>
      <c r="D1655" s="27" t="s">
        <v>2928</v>
      </c>
      <c r="E1655" s="27"/>
      <c r="F1655" s="29" t="s">
        <v>3179</v>
      </c>
      <c r="G1655" s="30" t="n">
        <v>75016</v>
      </c>
      <c r="H1655" s="31" t="s">
        <v>36</v>
      </c>
      <c r="I1655" s="32" t="n">
        <v>140700002</v>
      </c>
      <c r="J1655" s="33" t="n">
        <v>67</v>
      </c>
      <c r="K1655" s="33" t="n">
        <v>1</v>
      </c>
      <c r="L1655" s="34"/>
      <c r="M1655" s="35"/>
      <c r="N1655" s="36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9"/>
      <c r="Z1655" s="39"/>
      <c r="AA1655" s="28"/>
      <c r="AC1655" s="2" t="s">
        <v>38</v>
      </c>
      <c r="AMJ1655" s="0"/>
    </row>
    <row r="1656" s="2" customFormat="true" ht="12.75" hidden="false" customHeight="true" outlineLevel="0" collapsed="false">
      <c r="A1656" s="27" t="s">
        <v>3180</v>
      </c>
      <c r="B1656" s="27" t="s">
        <v>88</v>
      </c>
      <c r="C1656" s="28" t="s">
        <v>33</v>
      </c>
      <c r="D1656" s="27" t="s">
        <v>2928</v>
      </c>
      <c r="E1656" s="27"/>
      <c r="F1656" s="29" t="s">
        <v>3181</v>
      </c>
      <c r="G1656" s="30" t="n">
        <v>75016</v>
      </c>
      <c r="H1656" s="31" t="s">
        <v>36</v>
      </c>
      <c r="I1656" s="32" t="n">
        <v>147551469</v>
      </c>
      <c r="J1656" s="33" t="n">
        <v>59</v>
      </c>
      <c r="K1656" s="33" t="n">
        <v>0</v>
      </c>
      <c r="L1656" s="34"/>
      <c r="M1656" s="35"/>
      <c r="N1656" s="36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9"/>
      <c r="Z1656" s="39"/>
      <c r="AA1656" s="28"/>
      <c r="AC1656" s="2" t="s">
        <v>38</v>
      </c>
      <c r="AMJ1656" s="0"/>
    </row>
    <row r="1657" s="2" customFormat="true" ht="12.75" hidden="false" customHeight="true" outlineLevel="0" collapsed="false">
      <c r="A1657" s="27" t="s">
        <v>3182</v>
      </c>
      <c r="B1657" s="27" t="s">
        <v>1299</v>
      </c>
      <c r="C1657" s="28" t="s">
        <v>41</v>
      </c>
      <c r="D1657" s="27" t="s">
        <v>2928</v>
      </c>
      <c r="E1657" s="27"/>
      <c r="F1657" s="29" t="s">
        <v>3183</v>
      </c>
      <c r="G1657" s="30" t="n">
        <v>75016</v>
      </c>
      <c r="H1657" s="31" t="s">
        <v>36</v>
      </c>
      <c r="I1657" s="32" t="n">
        <v>145006488</v>
      </c>
      <c r="J1657" s="33" t="n">
        <v>203</v>
      </c>
      <c r="K1657" s="33" t="n">
        <v>2</v>
      </c>
      <c r="L1657" s="34"/>
      <c r="M1657" s="35"/>
      <c r="N1657" s="36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9"/>
      <c r="Z1657" s="39"/>
      <c r="AA1657" s="28"/>
      <c r="AMJ1657" s="0"/>
    </row>
    <row r="1658" s="2" customFormat="true" ht="12.75" hidden="false" customHeight="true" outlineLevel="0" collapsed="false">
      <c r="A1658" s="27" t="s">
        <v>3184</v>
      </c>
      <c r="B1658" s="27" t="s">
        <v>47</v>
      </c>
      <c r="C1658" s="28" t="s">
        <v>41</v>
      </c>
      <c r="D1658" s="27" t="s">
        <v>2928</v>
      </c>
      <c r="E1658" s="27"/>
      <c r="F1658" s="29" t="s">
        <v>3185</v>
      </c>
      <c r="G1658" s="30" t="n">
        <v>75016</v>
      </c>
      <c r="H1658" s="31" t="s">
        <v>36</v>
      </c>
      <c r="I1658" s="32" t="n">
        <v>145539587</v>
      </c>
      <c r="J1658" s="33" t="n">
        <v>179</v>
      </c>
      <c r="K1658" s="33" t="n">
        <v>1</v>
      </c>
      <c r="L1658" s="34"/>
      <c r="M1658" s="35"/>
      <c r="N1658" s="36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9"/>
      <c r="Z1658" s="39"/>
      <c r="AA1658" s="28"/>
      <c r="AMJ1658" s="0"/>
    </row>
    <row r="1659" s="2" customFormat="true" ht="12.75" hidden="false" customHeight="true" outlineLevel="0" collapsed="false">
      <c r="A1659" s="27" t="s">
        <v>3186</v>
      </c>
      <c r="B1659" s="27" t="s">
        <v>3187</v>
      </c>
      <c r="C1659" s="28" t="s">
        <v>41</v>
      </c>
      <c r="D1659" s="27" t="s">
        <v>2928</v>
      </c>
      <c r="E1659" s="27"/>
      <c r="F1659" s="29" t="s">
        <v>3188</v>
      </c>
      <c r="G1659" s="30" t="n">
        <v>75016</v>
      </c>
      <c r="H1659" s="31" t="s">
        <v>36</v>
      </c>
      <c r="I1659" s="32" t="n">
        <v>140550026</v>
      </c>
      <c r="J1659" s="33" t="n">
        <v>234</v>
      </c>
      <c r="K1659" s="33" t="n">
        <v>0</v>
      </c>
      <c r="L1659" s="34"/>
      <c r="M1659" s="35"/>
      <c r="N1659" s="36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9"/>
      <c r="Z1659" s="39"/>
      <c r="AA1659" s="28"/>
      <c r="AMJ1659" s="0"/>
    </row>
    <row r="1660" s="2" customFormat="true" ht="12.75" hidden="false" customHeight="true" outlineLevel="0" collapsed="false">
      <c r="A1660" s="27" t="s">
        <v>209</v>
      </c>
      <c r="B1660" s="27" t="s">
        <v>106</v>
      </c>
      <c r="C1660" s="28" t="s">
        <v>41</v>
      </c>
      <c r="D1660" s="27" t="s">
        <v>2928</v>
      </c>
      <c r="E1660" s="27"/>
      <c r="F1660" s="29" t="s">
        <v>3189</v>
      </c>
      <c r="G1660" s="30" t="n">
        <v>75016</v>
      </c>
      <c r="H1660" s="31" t="s">
        <v>36</v>
      </c>
      <c r="I1660" s="32" t="n">
        <v>140085555</v>
      </c>
      <c r="J1660" s="33" t="n">
        <v>247</v>
      </c>
      <c r="K1660" s="33" t="n">
        <v>1</v>
      </c>
      <c r="L1660" s="34"/>
      <c r="M1660" s="35"/>
      <c r="N1660" s="36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9"/>
      <c r="Z1660" s="39"/>
      <c r="AA1660" s="28"/>
      <c r="AMJ1660" s="0"/>
    </row>
    <row r="1661" s="2" customFormat="true" ht="12.75" hidden="false" customHeight="true" outlineLevel="0" collapsed="false">
      <c r="A1661" s="27" t="s">
        <v>3190</v>
      </c>
      <c r="B1661" s="27" t="s">
        <v>151</v>
      </c>
      <c r="C1661" s="28" t="s">
        <v>41</v>
      </c>
      <c r="D1661" s="27" t="s">
        <v>2928</v>
      </c>
      <c r="E1661" s="27"/>
      <c r="F1661" s="29" t="s">
        <v>3191</v>
      </c>
      <c r="G1661" s="30" t="n">
        <v>75016</v>
      </c>
      <c r="H1661" s="31" t="s">
        <v>36</v>
      </c>
      <c r="I1661" s="32" t="n">
        <v>141511730</v>
      </c>
      <c r="J1661" s="33" t="n">
        <v>150</v>
      </c>
      <c r="K1661" s="33" t="n">
        <v>1</v>
      </c>
      <c r="L1661" s="34"/>
      <c r="M1661" s="35"/>
      <c r="N1661" s="36"/>
      <c r="O1661" s="37"/>
      <c r="P1661" s="37"/>
      <c r="Q1661" s="37"/>
      <c r="R1661" s="37"/>
      <c r="S1661" s="37"/>
      <c r="T1661" s="37"/>
      <c r="U1661" s="37"/>
      <c r="V1661" s="37"/>
      <c r="W1661" s="37"/>
      <c r="X1661" s="37"/>
      <c r="Y1661" s="39"/>
      <c r="Z1661" s="39"/>
      <c r="AA1661" s="28"/>
      <c r="AMJ1661" s="0"/>
    </row>
    <row r="1662" s="2" customFormat="true" ht="12.75" hidden="false" customHeight="true" outlineLevel="0" collapsed="false">
      <c r="A1662" s="27" t="s">
        <v>3192</v>
      </c>
      <c r="B1662" s="27" t="s">
        <v>1113</v>
      </c>
      <c r="C1662" s="28" t="s">
        <v>178</v>
      </c>
      <c r="D1662" s="27" t="s">
        <v>2928</v>
      </c>
      <c r="E1662" s="27"/>
      <c r="F1662" s="29" t="s">
        <v>3193</v>
      </c>
      <c r="G1662" s="30" t="n">
        <v>75016</v>
      </c>
      <c r="H1662" s="31" t="s">
        <v>36</v>
      </c>
      <c r="I1662" s="32"/>
      <c r="J1662" s="33" t="n">
        <v>205</v>
      </c>
      <c r="K1662" s="33" t="n">
        <v>1</v>
      </c>
      <c r="L1662" s="34"/>
      <c r="M1662" s="35"/>
      <c r="N1662" s="36"/>
      <c r="O1662" s="37"/>
      <c r="P1662" s="37"/>
      <c r="Q1662" s="37"/>
      <c r="R1662" s="37"/>
      <c r="S1662" s="37"/>
      <c r="T1662" s="37"/>
      <c r="U1662" s="37"/>
      <c r="V1662" s="37"/>
      <c r="W1662" s="37"/>
      <c r="X1662" s="37"/>
      <c r="Y1662" s="39"/>
      <c r="Z1662" s="39"/>
      <c r="AA1662" s="28"/>
      <c r="AMJ1662" s="0"/>
    </row>
    <row r="1663" s="2" customFormat="true" ht="12.75" hidden="false" customHeight="true" outlineLevel="0" collapsed="false">
      <c r="A1663" s="27" t="s">
        <v>3194</v>
      </c>
      <c r="B1663" s="27" t="s">
        <v>2405</v>
      </c>
      <c r="C1663" s="28" t="s">
        <v>178</v>
      </c>
      <c r="D1663" s="27" t="s">
        <v>2928</v>
      </c>
      <c r="E1663" s="27"/>
      <c r="F1663" s="29" t="s">
        <v>3193</v>
      </c>
      <c r="G1663" s="30" t="n">
        <v>75016</v>
      </c>
      <c r="H1663" s="31" t="s">
        <v>36</v>
      </c>
      <c r="I1663" s="32"/>
      <c r="J1663" s="33" t="n">
        <v>157</v>
      </c>
      <c r="K1663" s="33" t="n">
        <v>8</v>
      </c>
      <c r="L1663" s="34"/>
      <c r="M1663" s="35"/>
      <c r="N1663" s="36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9"/>
      <c r="Z1663" s="39"/>
      <c r="AA1663" s="28"/>
      <c r="AMJ1663" s="0"/>
    </row>
    <row r="1664" s="2" customFormat="true" ht="12.75" hidden="false" customHeight="true" outlineLevel="0" collapsed="false">
      <c r="A1664" s="27" t="s">
        <v>3195</v>
      </c>
      <c r="B1664" s="27" t="s">
        <v>3196</v>
      </c>
      <c r="C1664" s="28" t="s">
        <v>178</v>
      </c>
      <c r="D1664" s="27" t="s">
        <v>2928</v>
      </c>
      <c r="E1664" s="27"/>
      <c r="F1664" s="29" t="s">
        <v>3193</v>
      </c>
      <c r="G1664" s="30" t="n">
        <v>75016</v>
      </c>
      <c r="H1664" s="31" t="s">
        <v>36</v>
      </c>
      <c r="I1664" s="32"/>
      <c r="J1664" s="33" t="n">
        <v>77</v>
      </c>
      <c r="K1664" s="33" t="n">
        <v>6</v>
      </c>
      <c r="L1664" s="34"/>
      <c r="M1664" s="35"/>
      <c r="N1664" s="36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9"/>
      <c r="Z1664" s="39"/>
      <c r="AA1664" s="28"/>
      <c r="AMJ1664" s="0"/>
    </row>
    <row r="1665" s="2" customFormat="true" ht="12.75" hidden="false" customHeight="true" outlineLevel="0" collapsed="false">
      <c r="A1665" s="27" t="s">
        <v>3197</v>
      </c>
      <c r="B1665" s="27" t="s">
        <v>428</v>
      </c>
      <c r="C1665" s="28" t="s">
        <v>33</v>
      </c>
      <c r="D1665" s="27" t="s">
        <v>2928</v>
      </c>
      <c r="E1665" s="27"/>
      <c r="F1665" s="29" t="s">
        <v>3198</v>
      </c>
      <c r="G1665" s="30" t="n">
        <v>75016</v>
      </c>
      <c r="H1665" s="31" t="s">
        <v>36</v>
      </c>
      <c r="I1665" s="32"/>
      <c r="J1665" s="33" t="n">
        <v>77</v>
      </c>
      <c r="K1665" s="33" t="n">
        <v>1</v>
      </c>
      <c r="L1665" s="34"/>
      <c r="M1665" s="35"/>
      <c r="N1665" s="36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9"/>
      <c r="Z1665" s="39"/>
      <c r="AA1665" s="28"/>
      <c r="AC1665" s="2" t="s">
        <v>1484</v>
      </c>
      <c r="AMJ1665" s="0"/>
    </row>
    <row r="1666" s="2" customFormat="true" ht="12.75" hidden="false" customHeight="true" outlineLevel="0" collapsed="false">
      <c r="A1666" s="27" t="s">
        <v>3199</v>
      </c>
      <c r="B1666" s="27" t="s">
        <v>112</v>
      </c>
      <c r="C1666" s="28" t="s">
        <v>33</v>
      </c>
      <c r="D1666" s="27" t="s">
        <v>2928</v>
      </c>
      <c r="E1666" s="27"/>
      <c r="F1666" s="29" t="s">
        <v>3198</v>
      </c>
      <c r="G1666" s="30" t="n">
        <v>75016</v>
      </c>
      <c r="H1666" s="31" t="s">
        <v>36</v>
      </c>
      <c r="I1666" s="32"/>
      <c r="J1666" s="33" t="n">
        <v>55</v>
      </c>
      <c r="K1666" s="33" t="n">
        <v>2</v>
      </c>
      <c r="L1666" s="34"/>
      <c r="M1666" s="35"/>
      <c r="N1666" s="36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9"/>
      <c r="Z1666" s="39"/>
      <c r="AA1666" s="28"/>
      <c r="AC1666" s="2" t="s">
        <v>1484</v>
      </c>
      <c r="AMJ1666" s="0"/>
    </row>
    <row r="1667" s="2" customFormat="true" ht="12.75" hidden="false" customHeight="true" outlineLevel="0" collapsed="false">
      <c r="A1667" s="27" t="s">
        <v>3200</v>
      </c>
      <c r="B1667" s="27" t="s">
        <v>3201</v>
      </c>
      <c r="C1667" s="28" t="s">
        <v>138</v>
      </c>
      <c r="D1667" s="27" t="s">
        <v>2928</v>
      </c>
      <c r="E1667" s="27" t="s">
        <v>3202</v>
      </c>
      <c r="F1667" s="29" t="s">
        <v>3203</v>
      </c>
      <c r="G1667" s="30" t="n">
        <v>75016</v>
      </c>
      <c r="H1667" s="31" t="s">
        <v>36</v>
      </c>
      <c r="I1667" s="32"/>
      <c r="J1667" s="33" t="n">
        <v>282</v>
      </c>
      <c r="K1667" s="33" t="n">
        <v>8</v>
      </c>
      <c r="L1667" s="34"/>
      <c r="M1667" s="35"/>
      <c r="N1667" s="36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9"/>
      <c r="Z1667" s="39"/>
      <c r="AA1667" s="28"/>
      <c r="AMJ1667" s="0"/>
    </row>
    <row r="1668" s="2" customFormat="true" ht="12.75" hidden="false" customHeight="true" outlineLevel="0" collapsed="false">
      <c r="A1668" s="27" t="s">
        <v>3204</v>
      </c>
      <c r="B1668" s="27" t="s">
        <v>639</v>
      </c>
      <c r="C1668" s="28" t="s">
        <v>41</v>
      </c>
      <c r="D1668" s="27" t="s">
        <v>2928</v>
      </c>
      <c r="E1668" s="27" t="s">
        <v>3202</v>
      </c>
      <c r="F1668" s="29" t="s">
        <v>3203</v>
      </c>
      <c r="G1668" s="30" t="n">
        <v>75016</v>
      </c>
      <c r="H1668" s="31" t="s">
        <v>36</v>
      </c>
      <c r="I1668" s="32"/>
      <c r="J1668" s="33" t="n">
        <v>227</v>
      </c>
      <c r="K1668" s="33" t="n">
        <v>1</v>
      </c>
      <c r="L1668" s="34"/>
      <c r="M1668" s="35"/>
      <c r="N1668" s="36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9"/>
      <c r="Z1668" s="39"/>
      <c r="AA1668" s="28"/>
      <c r="AMJ1668" s="0"/>
    </row>
    <row r="1669" s="2" customFormat="true" ht="12.75" hidden="false" customHeight="true" outlineLevel="0" collapsed="false">
      <c r="A1669" s="27" t="s">
        <v>3205</v>
      </c>
      <c r="B1669" s="27" t="s">
        <v>374</v>
      </c>
      <c r="C1669" s="28" t="s">
        <v>41</v>
      </c>
      <c r="D1669" s="27" t="s">
        <v>2928</v>
      </c>
      <c r="E1669" s="27" t="s">
        <v>3202</v>
      </c>
      <c r="F1669" s="29" t="s">
        <v>3203</v>
      </c>
      <c r="G1669" s="30" t="n">
        <v>75016</v>
      </c>
      <c r="H1669" s="31" t="s">
        <v>36</v>
      </c>
      <c r="I1669" s="32"/>
      <c r="J1669" s="33" t="n">
        <v>213</v>
      </c>
      <c r="K1669" s="33" t="n">
        <v>1</v>
      </c>
      <c r="L1669" s="34"/>
      <c r="M1669" s="35"/>
      <c r="N1669" s="36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9"/>
      <c r="Z1669" s="39"/>
      <c r="AA1669" s="28"/>
      <c r="AMJ1669" s="0"/>
    </row>
    <row r="1670" s="2" customFormat="true" ht="12.75" hidden="false" customHeight="true" outlineLevel="0" collapsed="false">
      <c r="A1670" s="27" t="s">
        <v>3206</v>
      </c>
      <c r="B1670" s="27" t="s">
        <v>815</v>
      </c>
      <c r="C1670" s="28" t="s">
        <v>41</v>
      </c>
      <c r="D1670" s="27" t="s">
        <v>2928</v>
      </c>
      <c r="E1670" s="27" t="s">
        <v>3202</v>
      </c>
      <c r="F1670" s="29" t="s">
        <v>3203</v>
      </c>
      <c r="G1670" s="30" t="n">
        <v>75016</v>
      </c>
      <c r="H1670" s="31" t="s">
        <v>36</v>
      </c>
      <c r="I1670" s="32"/>
      <c r="J1670" s="33" t="n">
        <v>174</v>
      </c>
      <c r="K1670" s="33" t="n">
        <v>1</v>
      </c>
      <c r="L1670" s="34"/>
      <c r="M1670" s="35"/>
      <c r="N1670" s="36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9"/>
      <c r="Z1670" s="39"/>
      <c r="AA1670" s="28"/>
      <c r="AMJ1670" s="0"/>
    </row>
    <row r="1671" s="2" customFormat="true" ht="12.75" hidden="false" customHeight="true" outlineLevel="0" collapsed="false">
      <c r="A1671" s="27" t="s">
        <v>3207</v>
      </c>
      <c r="B1671" s="27" t="s">
        <v>865</v>
      </c>
      <c r="C1671" s="28" t="s">
        <v>33</v>
      </c>
      <c r="D1671" s="27" t="s">
        <v>2928</v>
      </c>
      <c r="E1671" s="27" t="s">
        <v>3202</v>
      </c>
      <c r="F1671" s="29" t="s">
        <v>3203</v>
      </c>
      <c r="G1671" s="30" t="n">
        <v>75016</v>
      </c>
      <c r="H1671" s="31" t="s">
        <v>36</v>
      </c>
      <c r="I1671" s="32" t="n">
        <v>145538517</v>
      </c>
      <c r="J1671" s="33" t="n">
        <v>53</v>
      </c>
      <c r="K1671" s="33" t="n">
        <v>1</v>
      </c>
      <c r="L1671" s="34"/>
      <c r="M1671" s="35"/>
      <c r="N1671" s="36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9"/>
      <c r="Z1671" s="39"/>
      <c r="AA1671" s="28"/>
      <c r="AC1671" s="2" t="s">
        <v>1478</v>
      </c>
      <c r="AMJ1671" s="0"/>
    </row>
    <row r="1672" s="2" customFormat="true" ht="12.75" hidden="false" customHeight="true" outlineLevel="0" collapsed="false">
      <c r="A1672" s="27" t="s">
        <v>3208</v>
      </c>
      <c r="B1672" s="27" t="s">
        <v>669</v>
      </c>
      <c r="C1672" s="28" t="s">
        <v>41</v>
      </c>
      <c r="D1672" s="27" t="s">
        <v>2928</v>
      </c>
      <c r="E1672" s="27"/>
      <c r="F1672" s="29" t="s">
        <v>3209</v>
      </c>
      <c r="G1672" s="30" t="n">
        <v>75016</v>
      </c>
      <c r="H1672" s="31" t="s">
        <v>36</v>
      </c>
      <c r="I1672" s="32" t="n">
        <v>145005566</v>
      </c>
      <c r="J1672" s="33" t="n">
        <v>348</v>
      </c>
      <c r="K1672" s="33" t="n">
        <v>2</v>
      </c>
      <c r="L1672" s="34"/>
      <c r="M1672" s="35"/>
      <c r="N1672" s="36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9"/>
      <c r="Z1672" s="39"/>
      <c r="AA1672" s="28"/>
      <c r="AMJ1672" s="0"/>
    </row>
    <row r="1673" s="2" customFormat="true" ht="12.75" hidden="false" customHeight="true" outlineLevel="0" collapsed="false">
      <c r="A1673" s="27" t="s">
        <v>3210</v>
      </c>
      <c r="B1673" s="27" t="s">
        <v>672</v>
      </c>
      <c r="C1673" s="28" t="s">
        <v>41</v>
      </c>
      <c r="D1673" s="27" t="s">
        <v>2928</v>
      </c>
      <c r="E1673" s="27"/>
      <c r="F1673" s="29" t="s">
        <v>3211</v>
      </c>
      <c r="G1673" s="30" t="n">
        <v>75016</v>
      </c>
      <c r="H1673" s="31" t="s">
        <v>36</v>
      </c>
      <c r="I1673" s="32" t="n">
        <v>145059414</v>
      </c>
      <c r="J1673" s="33" t="n">
        <v>161</v>
      </c>
      <c r="K1673" s="33" t="n">
        <v>1</v>
      </c>
      <c r="L1673" s="34"/>
      <c r="M1673" s="35"/>
      <c r="N1673" s="36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9"/>
      <c r="Z1673" s="39"/>
      <c r="AA1673" s="28"/>
      <c r="AMJ1673" s="0"/>
    </row>
    <row r="1674" s="2" customFormat="true" ht="12.75" hidden="false" customHeight="true" outlineLevel="0" collapsed="false">
      <c r="A1674" s="27" t="s">
        <v>3212</v>
      </c>
      <c r="B1674" s="27" t="s">
        <v>3213</v>
      </c>
      <c r="C1674" s="28" t="s">
        <v>33</v>
      </c>
      <c r="D1674" s="27" t="s">
        <v>2928</v>
      </c>
      <c r="E1674" s="27"/>
      <c r="F1674" s="29" t="s">
        <v>3214</v>
      </c>
      <c r="G1674" s="30" t="n">
        <v>75016</v>
      </c>
      <c r="H1674" s="31" t="s">
        <v>36</v>
      </c>
      <c r="I1674" s="32"/>
      <c r="J1674" s="33" t="n">
        <v>61</v>
      </c>
      <c r="K1674" s="33" t="n">
        <v>1</v>
      </c>
      <c r="L1674" s="34"/>
      <c r="M1674" s="35"/>
      <c r="N1674" s="36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9"/>
      <c r="Z1674" s="39"/>
      <c r="AA1674" s="28"/>
      <c r="AC1674" s="2" t="s">
        <v>108</v>
      </c>
      <c r="AE1674" s="2" t="s">
        <v>623</v>
      </c>
      <c r="AMJ1674" s="0"/>
    </row>
    <row r="1675" s="2" customFormat="true" ht="12.75" hidden="false" customHeight="true" outlineLevel="0" collapsed="false">
      <c r="A1675" s="27" t="s">
        <v>3215</v>
      </c>
      <c r="B1675" s="27" t="s">
        <v>3216</v>
      </c>
      <c r="C1675" s="28" t="s">
        <v>138</v>
      </c>
      <c r="D1675" s="27" t="s">
        <v>2928</v>
      </c>
      <c r="E1675" s="27"/>
      <c r="F1675" s="29" t="s">
        <v>3217</v>
      </c>
      <c r="G1675" s="30" t="n">
        <v>75016</v>
      </c>
      <c r="H1675" s="31" t="s">
        <v>36</v>
      </c>
      <c r="I1675" s="32" t="n">
        <v>143593385</v>
      </c>
      <c r="J1675" s="33" t="n">
        <v>234</v>
      </c>
      <c r="K1675" s="33" t="n">
        <v>1</v>
      </c>
      <c r="L1675" s="34"/>
      <c r="M1675" s="35"/>
      <c r="N1675" s="36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9"/>
      <c r="Z1675" s="39"/>
      <c r="AA1675" s="28"/>
      <c r="AMJ1675" s="0"/>
    </row>
    <row r="1676" s="2" customFormat="true" ht="12.75" hidden="false" customHeight="true" outlineLevel="0" collapsed="false">
      <c r="A1676" s="27" t="s">
        <v>3218</v>
      </c>
      <c r="B1676" s="27" t="s">
        <v>3219</v>
      </c>
      <c r="C1676" s="28" t="s">
        <v>41</v>
      </c>
      <c r="D1676" s="27" t="s">
        <v>2928</v>
      </c>
      <c r="E1676" s="27"/>
      <c r="F1676" s="29" t="s">
        <v>3217</v>
      </c>
      <c r="G1676" s="30" t="n">
        <v>75016</v>
      </c>
      <c r="H1676" s="31" t="s">
        <v>36</v>
      </c>
      <c r="I1676" s="32" t="n">
        <v>147272025</v>
      </c>
      <c r="J1676" s="33" t="n">
        <v>225</v>
      </c>
      <c r="K1676" s="33" t="n">
        <v>3</v>
      </c>
      <c r="L1676" s="34"/>
      <c r="M1676" s="35"/>
      <c r="N1676" s="36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9"/>
      <c r="Z1676" s="39"/>
      <c r="AA1676" s="28"/>
      <c r="AMJ1676" s="0"/>
    </row>
    <row r="1677" s="2" customFormat="true" ht="12.75" hidden="false" customHeight="true" outlineLevel="0" collapsed="false">
      <c r="A1677" s="27" t="s">
        <v>3220</v>
      </c>
      <c r="B1677" s="27" t="s">
        <v>3221</v>
      </c>
      <c r="C1677" s="28" t="s">
        <v>41</v>
      </c>
      <c r="D1677" s="27" t="s">
        <v>2928</v>
      </c>
      <c r="E1677" s="27"/>
      <c r="F1677" s="29" t="s">
        <v>3217</v>
      </c>
      <c r="G1677" s="30" t="n">
        <v>75016</v>
      </c>
      <c r="H1677" s="31" t="s">
        <v>36</v>
      </c>
      <c r="I1677" s="32"/>
      <c r="J1677" s="33" t="n">
        <v>210</v>
      </c>
      <c r="K1677" s="33" t="n">
        <v>0</v>
      </c>
      <c r="L1677" s="34"/>
      <c r="M1677" s="35"/>
      <c r="N1677" s="36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9"/>
      <c r="Z1677" s="39"/>
      <c r="AA1677" s="28"/>
      <c r="AMJ1677" s="0"/>
    </row>
    <row r="1678" s="2" customFormat="true" ht="12.75" hidden="false" customHeight="true" outlineLevel="0" collapsed="false">
      <c r="A1678" s="27" t="s">
        <v>3222</v>
      </c>
      <c r="B1678" s="27" t="s">
        <v>870</v>
      </c>
      <c r="C1678" s="28" t="s">
        <v>41</v>
      </c>
      <c r="D1678" s="27" t="s">
        <v>2928</v>
      </c>
      <c r="E1678" s="27"/>
      <c r="F1678" s="29" t="s">
        <v>3217</v>
      </c>
      <c r="G1678" s="30" t="n">
        <v>75016</v>
      </c>
      <c r="H1678" s="31" t="s">
        <v>36</v>
      </c>
      <c r="I1678" s="32"/>
      <c r="J1678" s="33" t="n">
        <v>195</v>
      </c>
      <c r="K1678" s="33" t="n">
        <v>1</v>
      </c>
      <c r="L1678" s="34"/>
      <c r="M1678" s="35"/>
      <c r="N1678" s="36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9"/>
      <c r="Z1678" s="39"/>
      <c r="AA1678" s="28"/>
      <c r="AMJ1678" s="0"/>
    </row>
    <row r="1679" s="2" customFormat="true" ht="12.75" hidden="false" customHeight="true" outlineLevel="0" collapsed="false">
      <c r="A1679" s="27" t="s">
        <v>1465</v>
      </c>
      <c r="B1679" s="27" t="s">
        <v>88</v>
      </c>
      <c r="C1679" s="28" t="s">
        <v>33</v>
      </c>
      <c r="D1679" s="27" t="s">
        <v>2928</v>
      </c>
      <c r="E1679" s="27"/>
      <c r="F1679" s="29" t="s">
        <v>3223</v>
      </c>
      <c r="G1679" s="30" t="n">
        <v>75016</v>
      </c>
      <c r="H1679" s="31" t="s">
        <v>36</v>
      </c>
      <c r="I1679" s="32"/>
      <c r="J1679" s="33" t="n">
        <v>59</v>
      </c>
      <c r="K1679" s="33" t="n">
        <v>1</v>
      </c>
      <c r="L1679" s="34"/>
      <c r="M1679" s="35"/>
      <c r="N1679" s="36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9"/>
      <c r="Z1679" s="39"/>
      <c r="AA1679" s="28"/>
      <c r="AC1679" s="2" t="s">
        <v>38</v>
      </c>
      <c r="AMJ1679" s="0"/>
    </row>
    <row r="1680" s="2" customFormat="true" ht="12.75" hidden="false" customHeight="true" outlineLevel="0" collapsed="false">
      <c r="A1680" s="27" t="s">
        <v>3224</v>
      </c>
      <c r="B1680" s="27" t="s">
        <v>232</v>
      </c>
      <c r="C1680" s="28" t="s">
        <v>41</v>
      </c>
      <c r="D1680" s="27" t="s">
        <v>2928</v>
      </c>
      <c r="E1680" s="27"/>
      <c r="F1680" s="29" t="s">
        <v>3225</v>
      </c>
      <c r="G1680" s="30" t="n">
        <v>75016</v>
      </c>
      <c r="H1680" s="31" t="s">
        <v>36</v>
      </c>
      <c r="I1680" s="32"/>
      <c r="J1680" s="33" t="n">
        <v>163</v>
      </c>
      <c r="K1680" s="33" t="n">
        <v>1</v>
      </c>
      <c r="L1680" s="34"/>
      <c r="M1680" s="35"/>
      <c r="N1680" s="36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9"/>
      <c r="Z1680" s="39"/>
      <c r="AA1680" s="28"/>
      <c r="AMJ1680" s="0"/>
    </row>
    <row r="1681" s="2" customFormat="true" ht="12.75" hidden="false" customHeight="true" outlineLevel="0" collapsed="false">
      <c r="A1681" s="27" t="s">
        <v>3081</v>
      </c>
      <c r="B1681" s="27" t="s">
        <v>1258</v>
      </c>
      <c r="C1681" s="28" t="s">
        <v>41</v>
      </c>
      <c r="D1681" s="27" t="s">
        <v>2928</v>
      </c>
      <c r="E1681" s="27"/>
      <c r="F1681" s="29" t="s">
        <v>3226</v>
      </c>
      <c r="G1681" s="30" t="n">
        <v>75016</v>
      </c>
      <c r="H1681" s="31" t="s">
        <v>36</v>
      </c>
      <c r="I1681" s="32" t="n">
        <v>145530371</v>
      </c>
      <c r="J1681" s="33" t="n">
        <v>198</v>
      </c>
      <c r="K1681" s="33" t="n">
        <v>1</v>
      </c>
      <c r="L1681" s="34"/>
      <c r="M1681" s="35"/>
      <c r="N1681" s="36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9"/>
      <c r="Z1681" s="39"/>
      <c r="AA1681" s="28"/>
      <c r="AMJ1681" s="0"/>
    </row>
    <row r="1682" s="2" customFormat="true" ht="12.75" hidden="false" customHeight="true" outlineLevel="0" collapsed="false">
      <c r="A1682" s="27" t="s">
        <v>3227</v>
      </c>
      <c r="B1682" s="27" t="s">
        <v>490</v>
      </c>
      <c r="C1682" s="28" t="s">
        <v>41</v>
      </c>
      <c r="D1682" s="27" t="s">
        <v>2928</v>
      </c>
      <c r="E1682" s="27"/>
      <c r="F1682" s="29" t="s">
        <v>3228</v>
      </c>
      <c r="G1682" s="30" t="n">
        <v>75016</v>
      </c>
      <c r="H1682" s="31" t="s">
        <v>36</v>
      </c>
      <c r="I1682" s="32" t="n">
        <v>144050555</v>
      </c>
      <c r="J1682" s="33" t="n">
        <v>186</v>
      </c>
      <c r="K1682" s="33" t="n">
        <v>2</v>
      </c>
      <c r="L1682" s="34"/>
      <c r="M1682" s="35"/>
      <c r="N1682" s="36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9"/>
      <c r="Z1682" s="39"/>
      <c r="AA1682" s="28"/>
      <c r="AMJ1682" s="0"/>
    </row>
    <row r="1683" s="2" customFormat="true" ht="12.75" hidden="false" customHeight="true" outlineLevel="0" collapsed="false">
      <c r="A1683" s="27" t="s">
        <v>3229</v>
      </c>
      <c r="B1683" s="27" t="s">
        <v>2540</v>
      </c>
      <c r="C1683" s="28" t="s">
        <v>138</v>
      </c>
      <c r="D1683" s="27" t="s">
        <v>2928</v>
      </c>
      <c r="E1683" s="27"/>
      <c r="F1683" s="29" t="s">
        <v>3230</v>
      </c>
      <c r="G1683" s="30" t="n">
        <v>75016</v>
      </c>
      <c r="H1683" s="31" t="s">
        <v>36</v>
      </c>
      <c r="I1683" s="32" t="n">
        <v>147275555</v>
      </c>
      <c r="J1683" s="33" t="n">
        <v>168</v>
      </c>
      <c r="K1683" s="33" t="n">
        <v>1</v>
      </c>
      <c r="L1683" s="34"/>
      <c r="M1683" s="35"/>
      <c r="N1683" s="36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9"/>
      <c r="Z1683" s="39"/>
      <c r="AA1683" s="28"/>
      <c r="AMJ1683" s="0"/>
    </row>
    <row r="1684" s="2" customFormat="true" ht="12.75" hidden="false" customHeight="true" outlineLevel="0" collapsed="false">
      <c r="A1684" s="27" t="s">
        <v>3231</v>
      </c>
      <c r="B1684" s="27" t="s">
        <v>3232</v>
      </c>
      <c r="C1684" s="28" t="s">
        <v>138</v>
      </c>
      <c r="D1684" s="27" t="s">
        <v>2928</v>
      </c>
      <c r="E1684" s="27"/>
      <c r="F1684" s="29" t="s">
        <v>3233</v>
      </c>
      <c r="G1684" s="30" t="n">
        <v>75016</v>
      </c>
      <c r="H1684" s="31" t="s">
        <v>36</v>
      </c>
      <c r="I1684" s="32" t="n">
        <v>147278502</v>
      </c>
      <c r="J1684" s="33" t="n">
        <v>406</v>
      </c>
      <c r="K1684" s="33" t="n">
        <v>6</v>
      </c>
      <c r="L1684" s="34" t="n">
        <v>3</v>
      </c>
      <c r="M1684" s="43" t="s">
        <v>164</v>
      </c>
      <c r="N1684" s="36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39" t="n">
        <v>45128.4583333333</v>
      </c>
      <c r="Z1684" s="39"/>
      <c r="AA1684" s="28" t="n">
        <v>3</v>
      </c>
      <c r="AMJ1684" s="0"/>
    </row>
    <row r="1685" s="2" customFormat="true" ht="12.75" hidden="false" customHeight="true" outlineLevel="0" collapsed="false">
      <c r="A1685" s="27" t="s">
        <v>3234</v>
      </c>
      <c r="B1685" s="27" t="s">
        <v>3232</v>
      </c>
      <c r="C1685" s="28" t="s">
        <v>138</v>
      </c>
      <c r="D1685" s="27" t="s">
        <v>2928</v>
      </c>
      <c r="E1685" s="27"/>
      <c r="F1685" s="29" t="s">
        <v>3233</v>
      </c>
      <c r="G1685" s="30" t="n">
        <v>75016</v>
      </c>
      <c r="H1685" s="31" t="s">
        <v>36</v>
      </c>
      <c r="I1685" s="32" t="n">
        <v>147278502</v>
      </c>
      <c r="J1685" s="33" t="n">
        <v>406</v>
      </c>
      <c r="K1685" s="33" t="n">
        <v>6</v>
      </c>
      <c r="L1685" s="34" t="n">
        <v>3</v>
      </c>
      <c r="M1685" s="43" t="s">
        <v>164</v>
      </c>
      <c r="N1685" s="36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39" t="n">
        <v>45112.6458333333</v>
      </c>
      <c r="Z1685" s="39"/>
      <c r="AA1685" s="28"/>
      <c r="AMJ1685" s="0"/>
    </row>
    <row r="1686" s="2" customFormat="true" ht="12.75" hidden="false" customHeight="true" outlineLevel="0" collapsed="false">
      <c r="A1686" s="27" t="s">
        <v>3235</v>
      </c>
      <c r="B1686" s="27" t="s">
        <v>3236</v>
      </c>
      <c r="C1686" s="28" t="s">
        <v>121</v>
      </c>
      <c r="D1686" s="27" t="s">
        <v>2928</v>
      </c>
      <c r="E1686" s="27"/>
      <c r="F1686" s="29" t="s">
        <v>3233</v>
      </c>
      <c r="G1686" s="30" t="n">
        <v>75016</v>
      </c>
      <c r="H1686" s="31" t="s">
        <v>36</v>
      </c>
      <c r="I1686" s="32" t="n">
        <v>156913030</v>
      </c>
      <c r="J1686" s="33" t="n">
        <v>122</v>
      </c>
      <c r="K1686" s="33" t="n">
        <v>2</v>
      </c>
      <c r="L1686" s="34"/>
      <c r="M1686" s="35"/>
      <c r="N1686" s="36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9"/>
      <c r="Z1686" s="39"/>
      <c r="AA1686" s="28"/>
      <c r="AMJ1686" s="0"/>
    </row>
    <row r="1687" s="2" customFormat="true" ht="12.75" hidden="false" customHeight="true" outlineLevel="0" collapsed="false">
      <c r="A1687" s="27" t="s">
        <v>3237</v>
      </c>
      <c r="B1687" s="27" t="s">
        <v>217</v>
      </c>
      <c r="C1687" s="28" t="s">
        <v>41</v>
      </c>
      <c r="D1687" s="27" t="s">
        <v>3238</v>
      </c>
      <c r="E1687" s="27"/>
      <c r="F1687" s="29" t="s">
        <v>3239</v>
      </c>
      <c r="G1687" s="30" t="n">
        <v>75015</v>
      </c>
      <c r="H1687" s="31" t="s">
        <v>36</v>
      </c>
      <c r="I1687" s="32"/>
      <c r="J1687" s="33" t="n">
        <v>269</v>
      </c>
      <c r="K1687" s="33" t="n">
        <v>2</v>
      </c>
      <c r="L1687" s="34"/>
      <c r="M1687" s="35"/>
      <c r="N1687" s="36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9"/>
      <c r="Z1687" s="39"/>
      <c r="AA1687" s="28"/>
      <c r="AMJ1687" s="0"/>
    </row>
    <row r="1688" s="2" customFormat="true" ht="12.75" hidden="false" customHeight="true" outlineLevel="0" collapsed="false">
      <c r="A1688" s="27" t="s">
        <v>3240</v>
      </c>
      <c r="B1688" s="27" t="s">
        <v>579</v>
      </c>
      <c r="C1688" s="28" t="s">
        <v>41</v>
      </c>
      <c r="D1688" s="27" t="s">
        <v>3238</v>
      </c>
      <c r="E1688" s="27"/>
      <c r="F1688" s="29" t="s">
        <v>3239</v>
      </c>
      <c r="G1688" s="30" t="n">
        <v>75015</v>
      </c>
      <c r="H1688" s="31" t="s">
        <v>36</v>
      </c>
      <c r="I1688" s="32"/>
      <c r="J1688" s="33" t="n">
        <v>239</v>
      </c>
      <c r="K1688" s="33" t="n">
        <v>2</v>
      </c>
      <c r="L1688" s="34"/>
      <c r="M1688" s="35"/>
      <c r="N1688" s="36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9"/>
      <c r="Z1688" s="39"/>
      <c r="AA1688" s="28"/>
      <c r="AMJ1688" s="0"/>
    </row>
    <row r="1689" s="2" customFormat="true" ht="12.75" hidden="false" customHeight="true" outlineLevel="0" collapsed="false">
      <c r="A1689" s="27" t="s">
        <v>3241</v>
      </c>
      <c r="B1689" s="27" t="s">
        <v>3242</v>
      </c>
      <c r="C1689" s="28" t="s">
        <v>41</v>
      </c>
      <c r="D1689" s="27" t="s">
        <v>3238</v>
      </c>
      <c r="E1689" s="27"/>
      <c r="F1689" s="29" t="s">
        <v>3239</v>
      </c>
      <c r="G1689" s="30" t="n">
        <v>75015</v>
      </c>
      <c r="H1689" s="31" t="s">
        <v>36</v>
      </c>
      <c r="I1689" s="32"/>
      <c r="J1689" s="33" t="n">
        <v>232</v>
      </c>
      <c r="K1689" s="33" t="n">
        <v>4</v>
      </c>
      <c r="L1689" s="34"/>
      <c r="M1689" s="35"/>
      <c r="N1689" s="36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9"/>
      <c r="Z1689" s="39"/>
      <c r="AA1689" s="28"/>
      <c r="AMJ1689" s="0"/>
    </row>
    <row r="1690" s="2" customFormat="true" ht="12.75" hidden="false" customHeight="true" outlineLevel="0" collapsed="false">
      <c r="A1690" s="27" t="s">
        <v>3243</v>
      </c>
      <c r="B1690" s="27" t="s">
        <v>2006</v>
      </c>
      <c r="C1690" s="28" t="s">
        <v>41</v>
      </c>
      <c r="D1690" s="27" t="s">
        <v>3238</v>
      </c>
      <c r="E1690" s="27" t="s">
        <v>3244</v>
      </c>
      <c r="F1690" s="29" t="s">
        <v>3245</v>
      </c>
      <c r="G1690" s="30" t="n">
        <v>75015</v>
      </c>
      <c r="H1690" s="31" t="s">
        <v>36</v>
      </c>
      <c r="I1690" s="32" t="n">
        <v>140458043</v>
      </c>
      <c r="J1690" s="33" t="n">
        <v>151</v>
      </c>
      <c r="K1690" s="33" t="n">
        <v>1</v>
      </c>
      <c r="L1690" s="34"/>
      <c r="M1690" s="35"/>
      <c r="N1690" s="36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9"/>
      <c r="Z1690" s="39"/>
      <c r="AA1690" s="28"/>
      <c r="AMJ1690" s="0"/>
    </row>
    <row r="1691" s="2" customFormat="true" ht="12.75" hidden="false" customHeight="true" outlineLevel="0" collapsed="false">
      <c r="A1691" s="27" t="s">
        <v>3246</v>
      </c>
      <c r="B1691" s="27" t="s">
        <v>3247</v>
      </c>
      <c r="C1691" s="28" t="s">
        <v>41</v>
      </c>
      <c r="D1691" s="27" t="s">
        <v>3238</v>
      </c>
      <c r="E1691" s="27" t="s">
        <v>3244</v>
      </c>
      <c r="F1691" s="29" t="s">
        <v>3245</v>
      </c>
      <c r="G1691" s="30" t="n">
        <v>75015</v>
      </c>
      <c r="H1691" s="31" t="s">
        <v>36</v>
      </c>
      <c r="I1691" s="32" t="n">
        <v>140458292</v>
      </c>
      <c r="J1691" s="33" t="n">
        <v>149</v>
      </c>
      <c r="K1691" s="33" t="n">
        <v>2</v>
      </c>
      <c r="L1691" s="34"/>
      <c r="M1691" s="35"/>
      <c r="N1691" s="36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9"/>
      <c r="Z1691" s="39"/>
      <c r="AA1691" s="28"/>
      <c r="AMJ1691" s="0"/>
    </row>
    <row r="1692" s="2" customFormat="true" ht="12.75" hidden="false" customHeight="true" outlineLevel="0" collapsed="false">
      <c r="A1692" s="27" t="s">
        <v>3248</v>
      </c>
      <c r="B1692" s="27" t="s">
        <v>3249</v>
      </c>
      <c r="C1692" s="28" t="s">
        <v>41</v>
      </c>
      <c r="D1692" s="27" t="s">
        <v>3238</v>
      </c>
      <c r="E1692" s="27" t="s">
        <v>3244</v>
      </c>
      <c r="F1692" s="29" t="s">
        <v>3245</v>
      </c>
      <c r="G1692" s="30" t="n">
        <v>75015</v>
      </c>
      <c r="H1692" s="31" t="s">
        <v>36</v>
      </c>
      <c r="I1692" s="32" t="n">
        <v>140458043</v>
      </c>
      <c r="J1692" s="33" t="n">
        <v>149</v>
      </c>
      <c r="K1692" s="33" t="n">
        <v>1</v>
      </c>
      <c r="L1692" s="34"/>
      <c r="M1692" s="35"/>
      <c r="N1692" s="36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9"/>
      <c r="Z1692" s="39"/>
      <c r="AA1692" s="28"/>
      <c r="AMJ1692" s="0"/>
    </row>
    <row r="1693" s="2" customFormat="true" ht="12.75" hidden="false" customHeight="true" outlineLevel="0" collapsed="false">
      <c r="A1693" s="27" t="s">
        <v>3161</v>
      </c>
      <c r="B1693" s="27" t="s">
        <v>3250</v>
      </c>
      <c r="C1693" s="28" t="s">
        <v>41</v>
      </c>
      <c r="D1693" s="27" t="s">
        <v>3238</v>
      </c>
      <c r="E1693" s="27" t="s">
        <v>3244</v>
      </c>
      <c r="F1693" s="29" t="s">
        <v>3245</v>
      </c>
      <c r="G1693" s="30" t="n">
        <v>75015</v>
      </c>
      <c r="H1693" s="31" t="s">
        <v>36</v>
      </c>
      <c r="I1693" s="32" t="n">
        <v>140458043</v>
      </c>
      <c r="J1693" s="33" t="n">
        <v>149</v>
      </c>
      <c r="K1693" s="33" t="n">
        <v>1</v>
      </c>
      <c r="L1693" s="34"/>
      <c r="M1693" s="35"/>
      <c r="N1693" s="36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9"/>
      <c r="Z1693" s="39"/>
      <c r="AA1693" s="28"/>
      <c r="AMJ1693" s="0"/>
    </row>
    <row r="1694" s="2" customFormat="true" ht="12.75" hidden="false" customHeight="true" outlineLevel="0" collapsed="false">
      <c r="A1694" s="27" t="s">
        <v>862</v>
      </c>
      <c r="B1694" s="27" t="s">
        <v>3251</v>
      </c>
      <c r="C1694" s="28" t="s">
        <v>41</v>
      </c>
      <c r="D1694" s="27" t="s">
        <v>3238</v>
      </c>
      <c r="E1694" s="27" t="s">
        <v>3244</v>
      </c>
      <c r="F1694" s="29" t="s">
        <v>3245</v>
      </c>
      <c r="G1694" s="30" t="n">
        <v>75015</v>
      </c>
      <c r="H1694" s="31" t="s">
        <v>36</v>
      </c>
      <c r="I1694" s="32" t="n">
        <v>140458043</v>
      </c>
      <c r="J1694" s="33" t="n">
        <v>147</v>
      </c>
      <c r="K1694" s="33" t="n">
        <v>1</v>
      </c>
      <c r="L1694" s="34"/>
      <c r="M1694" s="35"/>
      <c r="N1694" s="36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9"/>
      <c r="Z1694" s="39"/>
      <c r="AA1694" s="28"/>
      <c r="AMJ1694" s="0"/>
    </row>
    <row r="1695" s="2" customFormat="true" ht="12.75" hidden="false" customHeight="true" outlineLevel="0" collapsed="false">
      <c r="A1695" s="27" t="s">
        <v>3252</v>
      </c>
      <c r="B1695" s="27" t="s">
        <v>3253</v>
      </c>
      <c r="C1695" s="28" t="s">
        <v>41</v>
      </c>
      <c r="D1695" s="27" t="s">
        <v>3238</v>
      </c>
      <c r="E1695" s="27" t="s">
        <v>3244</v>
      </c>
      <c r="F1695" s="29" t="s">
        <v>3245</v>
      </c>
      <c r="G1695" s="30" t="n">
        <v>75015</v>
      </c>
      <c r="H1695" s="31" t="s">
        <v>36</v>
      </c>
      <c r="I1695" s="32" t="n">
        <v>140458382</v>
      </c>
      <c r="J1695" s="33" t="n">
        <v>144</v>
      </c>
      <c r="K1695" s="33" t="n">
        <v>1</v>
      </c>
      <c r="L1695" s="34"/>
      <c r="M1695" s="35"/>
      <c r="N1695" s="36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9"/>
      <c r="Z1695" s="39"/>
      <c r="AA1695" s="28"/>
      <c r="AMJ1695" s="0"/>
    </row>
    <row r="1696" s="2" customFormat="true" ht="12.75" hidden="false" customHeight="true" outlineLevel="0" collapsed="false">
      <c r="A1696" s="27" t="s">
        <v>3254</v>
      </c>
      <c r="B1696" s="27" t="s">
        <v>3255</v>
      </c>
      <c r="C1696" s="28" t="s">
        <v>41</v>
      </c>
      <c r="D1696" s="27" t="s">
        <v>3238</v>
      </c>
      <c r="E1696" s="27" t="s">
        <v>3244</v>
      </c>
      <c r="F1696" s="29" t="s">
        <v>3245</v>
      </c>
      <c r="G1696" s="30" t="n">
        <v>75015</v>
      </c>
      <c r="H1696" s="31" t="s">
        <v>36</v>
      </c>
      <c r="I1696" s="32" t="n">
        <v>140458043</v>
      </c>
      <c r="J1696" s="33" t="n">
        <v>143</v>
      </c>
      <c r="K1696" s="33" t="n">
        <v>1</v>
      </c>
      <c r="L1696" s="34"/>
      <c r="M1696" s="35"/>
      <c r="N1696" s="36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9"/>
      <c r="Z1696" s="39"/>
      <c r="AA1696" s="28"/>
      <c r="AMJ1696" s="0"/>
    </row>
    <row r="1697" s="2" customFormat="true" ht="12.75" hidden="false" customHeight="true" outlineLevel="0" collapsed="false">
      <c r="A1697" s="27" t="s">
        <v>3256</v>
      </c>
      <c r="B1697" s="27" t="s">
        <v>329</v>
      </c>
      <c r="C1697" s="28" t="s">
        <v>121</v>
      </c>
      <c r="D1697" s="27" t="s">
        <v>3238</v>
      </c>
      <c r="E1697" s="27"/>
      <c r="F1697" s="29" t="s">
        <v>3257</v>
      </c>
      <c r="G1697" s="30" t="n">
        <v>75015</v>
      </c>
      <c r="H1697" s="31" t="s">
        <v>36</v>
      </c>
      <c r="I1697" s="32"/>
      <c r="J1697" s="33" t="n">
        <v>121</v>
      </c>
      <c r="K1697" s="33" t="n">
        <v>5</v>
      </c>
      <c r="L1697" s="34" t="n">
        <v>1</v>
      </c>
      <c r="M1697" s="35" t="s">
        <v>164</v>
      </c>
      <c r="N1697" s="36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39"/>
      <c r="Z1697" s="39"/>
      <c r="AA1697" s="28" t="n">
        <v>3</v>
      </c>
      <c r="AMJ1697" s="0"/>
    </row>
    <row r="1698" s="2" customFormat="true" ht="12.75" hidden="false" customHeight="true" outlineLevel="0" collapsed="false">
      <c r="A1698" s="27" t="s">
        <v>3258</v>
      </c>
      <c r="B1698" s="27" t="s">
        <v>1258</v>
      </c>
      <c r="C1698" s="28" t="s">
        <v>33</v>
      </c>
      <c r="D1698" s="27" t="s">
        <v>3238</v>
      </c>
      <c r="E1698" s="27"/>
      <c r="F1698" s="29" t="s">
        <v>3259</v>
      </c>
      <c r="G1698" s="30" t="n">
        <v>75015</v>
      </c>
      <c r="H1698" s="31" t="s">
        <v>36</v>
      </c>
      <c r="I1698" s="32" t="n">
        <v>140506688</v>
      </c>
      <c r="J1698" s="33" t="n">
        <v>52</v>
      </c>
      <c r="K1698" s="33" t="n">
        <v>0</v>
      </c>
      <c r="L1698" s="34"/>
      <c r="M1698" s="35"/>
      <c r="N1698" s="36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9"/>
      <c r="Z1698" s="39"/>
      <c r="AA1698" s="28"/>
      <c r="AC1698" s="2" t="s">
        <v>1484</v>
      </c>
      <c r="AMJ1698" s="0"/>
    </row>
    <row r="1699" s="2" customFormat="true" ht="12.75" hidden="false" customHeight="true" outlineLevel="0" collapsed="false">
      <c r="A1699" s="27" t="s">
        <v>3260</v>
      </c>
      <c r="B1699" s="27" t="s">
        <v>443</v>
      </c>
      <c r="C1699" s="28" t="s">
        <v>41</v>
      </c>
      <c r="D1699" s="27" t="s">
        <v>3238</v>
      </c>
      <c r="E1699" s="27"/>
      <c r="F1699" s="29" t="s">
        <v>3261</v>
      </c>
      <c r="G1699" s="30" t="n">
        <v>75015</v>
      </c>
      <c r="H1699" s="31" t="s">
        <v>36</v>
      </c>
      <c r="I1699" s="32" t="n">
        <v>140335760</v>
      </c>
      <c r="J1699" s="33" t="n">
        <v>481</v>
      </c>
      <c r="K1699" s="33" t="n">
        <v>1</v>
      </c>
      <c r="L1699" s="34"/>
      <c r="M1699" s="35"/>
      <c r="N1699" s="36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9"/>
      <c r="Z1699" s="39"/>
      <c r="AA1699" s="28"/>
      <c r="AMJ1699" s="0"/>
    </row>
    <row r="1700" s="2" customFormat="true" ht="12.75" hidden="false" customHeight="true" outlineLevel="0" collapsed="false">
      <c r="A1700" s="27" t="s">
        <v>3262</v>
      </c>
      <c r="B1700" s="27" t="s">
        <v>1690</v>
      </c>
      <c r="C1700" s="28" t="s">
        <v>41</v>
      </c>
      <c r="D1700" s="27" t="s">
        <v>3238</v>
      </c>
      <c r="E1700" s="27"/>
      <c r="F1700" s="29" t="s">
        <v>3261</v>
      </c>
      <c r="G1700" s="30" t="n">
        <v>75015</v>
      </c>
      <c r="H1700" s="31" t="s">
        <v>36</v>
      </c>
      <c r="I1700" s="32" t="n">
        <v>140335760</v>
      </c>
      <c r="J1700" s="33" t="n">
        <v>213</v>
      </c>
      <c r="K1700" s="33" t="n">
        <v>1</v>
      </c>
      <c r="L1700" s="34"/>
      <c r="M1700" s="35"/>
      <c r="N1700" s="36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9"/>
      <c r="Z1700" s="39"/>
      <c r="AA1700" s="28"/>
      <c r="AMJ1700" s="0"/>
    </row>
    <row r="1701" s="2" customFormat="true" ht="12.75" hidden="false" customHeight="true" outlineLevel="0" collapsed="false">
      <c r="A1701" s="27" t="s">
        <v>3263</v>
      </c>
      <c r="B1701" s="27" t="s">
        <v>229</v>
      </c>
      <c r="C1701" s="28" t="s">
        <v>41</v>
      </c>
      <c r="D1701" s="27" t="s">
        <v>3238</v>
      </c>
      <c r="E1701" s="27"/>
      <c r="F1701" s="29" t="s">
        <v>3261</v>
      </c>
      <c r="G1701" s="30" t="n">
        <v>75015</v>
      </c>
      <c r="H1701" s="31" t="s">
        <v>36</v>
      </c>
      <c r="I1701" s="32" t="n">
        <v>140335760</v>
      </c>
      <c r="J1701" s="33" t="n">
        <v>208</v>
      </c>
      <c r="K1701" s="33" t="n">
        <v>3</v>
      </c>
      <c r="L1701" s="34"/>
      <c r="M1701" s="35"/>
      <c r="N1701" s="36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9"/>
      <c r="Z1701" s="39"/>
      <c r="AA1701" s="28"/>
      <c r="AMJ1701" s="0"/>
    </row>
    <row r="1702" s="2" customFormat="true" ht="12.75" hidden="false" customHeight="true" outlineLevel="0" collapsed="false">
      <c r="A1702" s="27" t="s">
        <v>3264</v>
      </c>
      <c r="B1702" s="27" t="s">
        <v>2171</v>
      </c>
      <c r="C1702" s="28" t="s">
        <v>33</v>
      </c>
      <c r="D1702" s="27" t="s">
        <v>3238</v>
      </c>
      <c r="E1702" s="27"/>
      <c r="F1702" s="29" t="s">
        <v>3265</v>
      </c>
      <c r="G1702" s="30" t="n">
        <v>75015</v>
      </c>
      <c r="H1702" s="31" t="s">
        <v>36</v>
      </c>
      <c r="I1702" s="32" t="n">
        <v>156080119</v>
      </c>
      <c r="J1702" s="33" t="n">
        <v>52</v>
      </c>
      <c r="K1702" s="33" t="n">
        <v>1</v>
      </c>
      <c r="L1702" s="34"/>
      <c r="M1702" s="35"/>
      <c r="N1702" s="36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9"/>
      <c r="Z1702" s="39"/>
      <c r="AA1702" s="28"/>
      <c r="AC1702" s="2" t="s">
        <v>38</v>
      </c>
      <c r="AMJ1702" s="0"/>
    </row>
    <row r="1703" s="2" customFormat="true" ht="12.75" hidden="false" customHeight="true" outlineLevel="0" collapsed="false">
      <c r="A1703" s="27" t="s">
        <v>3266</v>
      </c>
      <c r="B1703" s="27" t="s">
        <v>3267</v>
      </c>
      <c r="C1703" s="28" t="s">
        <v>33</v>
      </c>
      <c r="D1703" s="27" t="s">
        <v>3238</v>
      </c>
      <c r="E1703" s="27"/>
      <c r="F1703" s="29" t="s">
        <v>3265</v>
      </c>
      <c r="G1703" s="30" t="n">
        <v>75015</v>
      </c>
      <c r="H1703" s="31" t="s">
        <v>36</v>
      </c>
      <c r="I1703" s="32" t="n">
        <v>156080066</v>
      </c>
      <c r="J1703" s="33" t="n">
        <v>52</v>
      </c>
      <c r="K1703" s="33" t="n">
        <v>1</v>
      </c>
      <c r="L1703" s="34"/>
      <c r="M1703" s="35"/>
      <c r="N1703" s="36"/>
      <c r="O1703" s="37"/>
      <c r="P1703" s="37"/>
      <c r="Q1703" s="37"/>
      <c r="R1703" s="37"/>
      <c r="S1703" s="37"/>
      <c r="T1703" s="37"/>
      <c r="U1703" s="37"/>
      <c r="V1703" s="37"/>
      <c r="W1703" s="37"/>
      <c r="X1703" s="37"/>
      <c r="Y1703" s="39"/>
      <c r="Z1703" s="39"/>
      <c r="AA1703" s="28"/>
      <c r="AC1703" s="2" t="s">
        <v>38</v>
      </c>
      <c r="AMJ1703" s="0"/>
    </row>
    <row r="1704" s="2" customFormat="true" ht="12.75" hidden="false" customHeight="true" outlineLevel="0" collapsed="false">
      <c r="A1704" s="27" t="s">
        <v>3268</v>
      </c>
      <c r="B1704" s="27" t="s">
        <v>3269</v>
      </c>
      <c r="C1704" s="28" t="s">
        <v>41</v>
      </c>
      <c r="D1704" s="27" t="s">
        <v>3238</v>
      </c>
      <c r="E1704" s="27"/>
      <c r="F1704" s="29" t="s">
        <v>3270</v>
      </c>
      <c r="G1704" s="30" t="n">
        <v>75015</v>
      </c>
      <c r="H1704" s="31" t="s">
        <v>36</v>
      </c>
      <c r="I1704" s="32" t="n">
        <v>145335536</v>
      </c>
      <c r="J1704" s="33" t="n">
        <v>269</v>
      </c>
      <c r="K1704" s="33" t="n">
        <v>1</v>
      </c>
      <c r="L1704" s="34"/>
      <c r="M1704" s="35"/>
      <c r="N1704" s="36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9"/>
      <c r="Z1704" s="39"/>
      <c r="AA1704" s="28"/>
      <c r="AMJ1704" s="0"/>
    </row>
    <row r="1705" s="2" customFormat="true" ht="12.75" hidden="false" customHeight="true" outlineLevel="0" collapsed="false">
      <c r="A1705" s="27" t="s">
        <v>3271</v>
      </c>
      <c r="B1705" s="27" t="s">
        <v>1258</v>
      </c>
      <c r="C1705" s="28" t="s">
        <v>178</v>
      </c>
      <c r="D1705" s="27" t="s">
        <v>3238</v>
      </c>
      <c r="E1705" s="27"/>
      <c r="F1705" s="29" t="s">
        <v>3272</v>
      </c>
      <c r="G1705" s="30" t="n">
        <v>75015</v>
      </c>
      <c r="H1705" s="31" t="s">
        <v>36</v>
      </c>
      <c r="I1705" s="32"/>
      <c r="J1705" s="33" t="n">
        <v>134</v>
      </c>
      <c r="K1705" s="33" t="n">
        <v>1</v>
      </c>
      <c r="L1705" s="34"/>
      <c r="M1705" s="35"/>
      <c r="N1705" s="36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9"/>
      <c r="Z1705" s="39"/>
      <c r="AA1705" s="28"/>
      <c r="AMJ1705" s="0"/>
    </row>
    <row r="1706" s="2" customFormat="true" ht="12.75" hidden="false" customHeight="true" outlineLevel="0" collapsed="false">
      <c r="A1706" s="27" t="s">
        <v>3273</v>
      </c>
      <c r="B1706" s="27" t="s">
        <v>88</v>
      </c>
      <c r="C1706" s="28" t="s">
        <v>178</v>
      </c>
      <c r="D1706" s="27" t="s">
        <v>3238</v>
      </c>
      <c r="E1706" s="27"/>
      <c r="F1706" s="29" t="s">
        <v>3272</v>
      </c>
      <c r="G1706" s="30" t="n">
        <v>75015</v>
      </c>
      <c r="H1706" s="31" t="s">
        <v>36</v>
      </c>
      <c r="I1706" s="32"/>
      <c r="J1706" s="33" t="n">
        <v>89</v>
      </c>
      <c r="K1706" s="33" t="n">
        <v>1</v>
      </c>
      <c r="L1706" s="34"/>
      <c r="M1706" s="35"/>
      <c r="N1706" s="36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9"/>
      <c r="Z1706" s="39"/>
      <c r="AA1706" s="28"/>
      <c r="AMJ1706" s="0"/>
    </row>
    <row r="1707" s="2" customFormat="true" ht="12.75" hidden="false" customHeight="true" outlineLevel="0" collapsed="false">
      <c r="A1707" s="27" t="s">
        <v>418</v>
      </c>
      <c r="B1707" s="27" t="s">
        <v>3274</v>
      </c>
      <c r="C1707" s="28" t="s">
        <v>178</v>
      </c>
      <c r="D1707" s="27" t="s">
        <v>3238</v>
      </c>
      <c r="E1707" s="27"/>
      <c r="F1707" s="29" t="s">
        <v>3272</v>
      </c>
      <c r="G1707" s="30" t="n">
        <v>75015</v>
      </c>
      <c r="H1707" s="31" t="s">
        <v>36</v>
      </c>
      <c r="I1707" s="32"/>
      <c r="J1707" s="33" t="n">
        <v>53</v>
      </c>
      <c r="K1707" s="33" t="n">
        <v>2</v>
      </c>
      <c r="L1707" s="34"/>
      <c r="M1707" s="35"/>
      <c r="N1707" s="36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9"/>
      <c r="Z1707" s="39"/>
      <c r="AA1707" s="28"/>
      <c r="AMJ1707" s="0"/>
    </row>
    <row r="1708" s="2" customFormat="true" ht="12.75" hidden="false" customHeight="true" outlineLevel="0" collapsed="false">
      <c r="A1708" s="27" t="s">
        <v>3275</v>
      </c>
      <c r="B1708" s="27" t="s">
        <v>1357</v>
      </c>
      <c r="C1708" s="28" t="s">
        <v>138</v>
      </c>
      <c r="D1708" s="27" t="s">
        <v>3238</v>
      </c>
      <c r="E1708" s="27"/>
      <c r="F1708" s="29" t="s">
        <v>3276</v>
      </c>
      <c r="G1708" s="30" t="n">
        <v>75015</v>
      </c>
      <c r="H1708" s="31" t="s">
        <v>36</v>
      </c>
      <c r="I1708" s="32" t="n">
        <v>145300119</v>
      </c>
      <c r="J1708" s="33" t="n">
        <v>88</v>
      </c>
      <c r="K1708" s="33" t="n">
        <v>4</v>
      </c>
      <c r="L1708" s="34" t="n">
        <v>1</v>
      </c>
      <c r="M1708" s="35" t="s">
        <v>164</v>
      </c>
      <c r="N1708" s="36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39"/>
      <c r="Z1708" s="39"/>
      <c r="AA1708" s="28" t="n">
        <v>3</v>
      </c>
      <c r="AMJ1708" s="0"/>
    </row>
    <row r="1709" s="2" customFormat="true" ht="12.75" hidden="false" customHeight="true" outlineLevel="0" collapsed="false">
      <c r="A1709" s="27" t="s">
        <v>3277</v>
      </c>
      <c r="B1709" s="27" t="s">
        <v>3278</v>
      </c>
      <c r="C1709" s="28" t="s">
        <v>138</v>
      </c>
      <c r="D1709" s="27" t="s">
        <v>3238</v>
      </c>
      <c r="E1709" s="27"/>
      <c r="F1709" s="29" t="s">
        <v>3276</v>
      </c>
      <c r="G1709" s="30" t="n">
        <v>75015</v>
      </c>
      <c r="H1709" s="31" t="s">
        <v>36</v>
      </c>
      <c r="I1709" s="32" t="n">
        <v>145300119</v>
      </c>
      <c r="J1709" s="33" t="n">
        <v>27</v>
      </c>
      <c r="K1709" s="33" t="n">
        <v>2</v>
      </c>
      <c r="L1709" s="34" t="n">
        <v>1</v>
      </c>
      <c r="M1709" s="35" t="s">
        <v>164</v>
      </c>
      <c r="N1709" s="36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39"/>
      <c r="Z1709" s="39"/>
      <c r="AA1709" s="28" t="n">
        <v>3</v>
      </c>
      <c r="AMJ1709" s="0"/>
    </row>
    <row r="1710" s="2" customFormat="true" ht="12.75" hidden="false" customHeight="true" outlineLevel="0" collapsed="false">
      <c r="A1710" s="27" t="s">
        <v>3279</v>
      </c>
      <c r="B1710" s="27" t="s">
        <v>691</v>
      </c>
      <c r="C1710" s="28" t="s">
        <v>41</v>
      </c>
      <c r="D1710" s="27" t="s">
        <v>3238</v>
      </c>
      <c r="E1710" s="27"/>
      <c r="F1710" s="29" t="s">
        <v>3280</v>
      </c>
      <c r="G1710" s="30" t="n">
        <v>75015</v>
      </c>
      <c r="H1710" s="31" t="s">
        <v>36</v>
      </c>
      <c r="I1710" s="32" t="n">
        <v>145302266</v>
      </c>
      <c r="J1710" s="33" t="n">
        <v>369</v>
      </c>
      <c r="K1710" s="33" t="n">
        <v>4</v>
      </c>
      <c r="L1710" s="34"/>
      <c r="M1710" s="35"/>
      <c r="N1710" s="36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9"/>
      <c r="Z1710" s="39"/>
      <c r="AA1710" s="28"/>
      <c r="AMJ1710" s="0"/>
    </row>
    <row r="1711" s="2" customFormat="true" ht="12.75" hidden="false" customHeight="true" outlineLevel="0" collapsed="false">
      <c r="A1711" s="27" t="s">
        <v>3281</v>
      </c>
      <c r="B1711" s="27" t="s">
        <v>870</v>
      </c>
      <c r="C1711" s="28" t="s">
        <v>33</v>
      </c>
      <c r="D1711" s="27" t="s">
        <v>3238</v>
      </c>
      <c r="E1711" s="27"/>
      <c r="F1711" s="29" t="s">
        <v>3282</v>
      </c>
      <c r="G1711" s="30" t="n">
        <v>75015</v>
      </c>
      <c r="H1711" s="31" t="s">
        <v>36</v>
      </c>
      <c r="I1711" s="32" t="n">
        <v>177367612</v>
      </c>
      <c r="J1711" s="33" t="n">
        <v>53</v>
      </c>
      <c r="K1711" s="33" t="n">
        <v>0</v>
      </c>
      <c r="L1711" s="34"/>
      <c r="M1711" s="35"/>
      <c r="N1711" s="36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9"/>
      <c r="Z1711" s="39"/>
      <c r="AA1711" s="28"/>
      <c r="AC1711" s="2" t="s">
        <v>413</v>
      </c>
      <c r="AMJ1711" s="0"/>
    </row>
    <row r="1712" s="2" customFormat="true" ht="12.75" hidden="false" customHeight="true" outlineLevel="0" collapsed="false">
      <c r="A1712" s="27" t="s">
        <v>3283</v>
      </c>
      <c r="B1712" s="27" t="s">
        <v>667</v>
      </c>
      <c r="C1712" s="28" t="s">
        <v>178</v>
      </c>
      <c r="D1712" s="27" t="s">
        <v>3238</v>
      </c>
      <c r="E1712" s="27" t="s">
        <v>3284</v>
      </c>
      <c r="F1712" s="29" t="s">
        <v>3285</v>
      </c>
      <c r="G1712" s="30" t="n">
        <v>75015</v>
      </c>
      <c r="H1712" s="31" t="s">
        <v>36</v>
      </c>
      <c r="I1712" s="32"/>
      <c r="J1712" s="33" t="n">
        <v>260</v>
      </c>
      <c r="K1712" s="33" t="n">
        <v>1</v>
      </c>
      <c r="L1712" s="34"/>
      <c r="M1712" s="35"/>
      <c r="N1712" s="36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9"/>
      <c r="Z1712" s="39"/>
      <c r="AA1712" s="28"/>
      <c r="AMJ1712" s="0"/>
    </row>
    <row r="1713" s="2" customFormat="true" ht="12.75" hidden="false" customHeight="true" outlineLevel="0" collapsed="false">
      <c r="A1713" s="27" t="s">
        <v>3286</v>
      </c>
      <c r="B1713" s="27" t="s">
        <v>3287</v>
      </c>
      <c r="C1713" s="28" t="s">
        <v>41</v>
      </c>
      <c r="D1713" s="27" t="s">
        <v>3238</v>
      </c>
      <c r="E1713" s="27" t="s">
        <v>3284</v>
      </c>
      <c r="F1713" s="29" t="s">
        <v>3285</v>
      </c>
      <c r="G1713" s="30" t="n">
        <v>75015</v>
      </c>
      <c r="H1713" s="31" t="s">
        <v>36</v>
      </c>
      <c r="I1713" s="32"/>
      <c r="J1713" s="33" t="n">
        <v>149</v>
      </c>
      <c r="K1713" s="33" t="n">
        <v>1</v>
      </c>
      <c r="L1713" s="34"/>
      <c r="M1713" s="35"/>
      <c r="N1713" s="36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9"/>
      <c r="Z1713" s="39"/>
      <c r="AA1713" s="28"/>
      <c r="AMJ1713" s="0"/>
    </row>
    <row r="1714" s="2" customFormat="true" ht="12.75" hidden="false" customHeight="true" outlineLevel="0" collapsed="false">
      <c r="A1714" s="27" t="s">
        <v>3288</v>
      </c>
      <c r="B1714" s="27" t="s">
        <v>889</v>
      </c>
      <c r="C1714" s="28" t="s">
        <v>41</v>
      </c>
      <c r="D1714" s="27" t="s">
        <v>3238</v>
      </c>
      <c r="E1714" s="27" t="s">
        <v>3284</v>
      </c>
      <c r="F1714" s="29" t="s">
        <v>3285</v>
      </c>
      <c r="G1714" s="30" t="n">
        <v>75015</v>
      </c>
      <c r="H1714" s="31" t="s">
        <v>36</v>
      </c>
      <c r="I1714" s="32" t="n">
        <v>145308175</v>
      </c>
      <c r="J1714" s="33" t="n">
        <v>149</v>
      </c>
      <c r="K1714" s="33" t="n">
        <v>1</v>
      </c>
      <c r="L1714" s="34"/>
      <c r="M1714" s="35"/>
      <c r="N1714" s="36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9"/>
      <c r="Z1714" s="39"/>
      <c r="AA1714" s="28"/>
      <c r="AMJ1714" s="0"/>
    </row>
    <row r="1715" s="2" customFormat="true" ht="12.75" hidden="false" customHeight="true" outlineLevel="0" collapsed="false">
      <c r="A1715" s="27" t="s">
        <v>3289</v>
      </c>
      <c r="B1715" s="27" t="s">
        <v>1685</v>
      </c>
      <c r="C1715" s="28" t="s">
        <v>41</v>
      </c>
      <c r="D1715" s="27" t="s">
        <v>3238</v>
      </c>
      <c r="E1715" s="27" t="s">
        <v>3284</v>
      </c>
      <c r="F1715" s="29" t="s">
        <v>3285</v>
      </c>
      <c r="G1715" s="30" t="n">
        <v>75015</v>
      </c>
      <c r="H1715" s="31" t="s">
        <v>36</v>
      </c>
      <c r="I1715" s="32" t="n">
        <v>145308330</v>
      </c>
      <c r="J1715" s="33" t="n">
        <v>11</v>
      </c>
      <c r="K1715" s="33" t="n">
        <v>2</v>
      </c>
      <c r="L1715" s="34"/>
      <c r="M1715" s="35"/>
      <c r="N1715" s="36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9"/>
      <c r="Z1715" s="39"/>
      <c r="AA1715" s="28"/>
      <c r="AMJ1715" s="0"/>
    </row>
    <row r="1716" s="2" customFormat="true" ht="12.75" hidden="false" customHeight="true" outlineLevel="0" collapsed="false">
      <c r="A1716" s="27" t="s">
        <v>3290</v>
      </c>
      <c r="B1716" s="27" t="s">
        <v>1196</v>
      </c>
      <c r="C1716" s="28" t="s">
        <v>41</v>
      </c>
      <c r="D1716" s="27" t="s">
        <v>3238</v>
      </c>
      <c r="E1716" s="27" t="s">
        <v>3284</v>
      </c>
      <c r="F1716" s="29" t="s">
        <v>3285</v>
      </c>
      <c r="G1716" s="30" t="n">
        <v>75015</v>
      </c>
      <c r="H1716" s="31" t="s">
        <v>36</v>
      </c>
      <c r="I1716" s="32" t="n">
        <v>145308080</v>
      </c>
      <c r="J1716" s="33" t="n">
        <v>0</v>
      </c>
      <c r="K1716" s="33" t="n">
        <v>2</v>
      </c>
      <c r="L1716" s="34"/>
      <c r="M1716" s="35"/>
      <c r="N1716" s="36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9"/>
      <c r="Z1716" s="39"/>
      <c r="AA1716" s="28"/>
      <c r="AMJ1716" s="0"/>
    </row>
    <row r="1717" s="2" customFormat="true" ht="12.75" hidden="false" customHeight="true" outlineLevel="0" collapsed="false">
      <c r="A1717" s="27" t="s">
        <v>3291</v>
      </c>
      <c r="B1717" s="27" t="s">
        <v>1279</v>
      </c>
      <c r="C1717" s="28" t="s">
        <v>33</v>
      </c>
      <c r="D1717" s="27" t="s">
        <v>3238</v>
      </c>
      <c r="E1717" s="27"/>
      <c r="F1717" s="29" t="s">
        <v>3292</v>
      </c>
      <c r="G1717" s="30" t="n">
        <v>75015</v>
      </c>
      <c r="H1717" s="31" t="s">
        <v>36</v>
      </c>
      <c r="I1717" s="32" t="n">
        <v>142503269</v>
      </c>
      <c r="J1717" s="33" t="n">
        <v>51</v>
      </c>
      <c r="K1717" s="33" t="n">
        <v>1</v>
      </c>
      <c r="L1717" s="34"/>
      <c r="M1717" s="35"/>
      <c r="N1717" s="36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9"/>
      <c r="Z1717" s="39"/>
      <c r="AA1717" s="28"/>
      <c r="AC1717" s="2" t="s">
        <v>38</v>
      </c>
      <c r="AMJ1717" s="0"/>
    </row>
    <row r="1718" s="2" customFormat="true" ht="12.75" hidden="false" customHeight="true" outlineLevel="0" collapsed="false">
      <c r="A1718" s="27" t="s">
        <v>3293</v>
      </c>
      <c r="B1718" s="27" t="s">
        <v>590</v>
      </c>
      <c r="C1718" s="28" t="s">
        <v>33</v>
      </c>
      <c r="D1718" s="27" t="s">
        <v>3238</v>
      </c>
      <c r="E1718" s="27"/>
      <c r="F1718" s="29" t="s">
        <v>3294</v>
      </c>
      <c r="G1718" s="30" t="n">
        <v>75015</v>
      </c>
      <c r="H1718" s="31" t="s">
        <v>36</v>
      </c>
      <c r="I1718" s="32" t="n">
        <v>145300407</v>
      </c>
      <c r="J1718" s="33" t="n">
        <v>54</v>
      </c>
      <c r="K1718" s="33" t="n">
        <v>1</v>
      </c>
      <c r="L1718" s="34"/>
      <c r="M1718" s="35"/>
      <c r="N1718" s="36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9"/>
      <c r="Z1718" s="39"/>
      <c r="AA1718" s="28"/>
      <c r="AC1718" s="2" t="s">
        <v>38</v>
      </c>
      <c r="AMJ1718" s="0"/>
    </row>
    <row r="1719" s="2" customFormat="true" ht="12.75" hidden="false" customHeight="true" outlineLevel="0" collapsed="false">
      <c r="A1719" s="27" t="s">
        <v>3295</v>
      </c>
      <c r="B1719" s="27" t="s">
        <v>598</v>
      </c>
      <c r="C1719" s="28" t="s">
        <v>41</v>
      </c>
      <c r="D1719" s="27" t="s">
        <v>3238</v>
      </c>
      <c r="E1719" s="27"/>
      <c r="F1719" s="29" t="s">
        <v>3296</v>
      </c>
      <c r="G1719" s="30" t="n">
        <v>75015</v>
      </c>
      <c r="H1719" s="31" t="s">
        <v>36</v>
      </c>
      <c r="I1719" s="32" t="n">
        <v>145330521</v>
      </c>
      <c r="J1719" s="33" t="n">
        <v>283</v>
      </c>
      <c r="K1719" s="33" t="n">
        <v>1</v>
      </c>
      <c r="L1719" s="34"/>
      <c r="M1719" s="35"/>
      <c r="N1719" s="36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9"/>
      <c r="Z1719" s="39"/>
      <c r="AA1719" s="28"/>
      <c r="AMJ1719" s="0"/>
    </row>
    <row r="1720" s="2" customFormat="true" ht="12.75" hidden="false" customHeight="true" outlineLevel="0" collapsed="false">
      <c r="A1720" s="27" t="s">
        <v>3297</v>
      </c>
      <c r="B1720" s="27" t="s">
        <v>250</v>
      </c>
      <c r="C1720" s="28" t="s">
        <v>41</v>
      </c>
      <c r="D1720" s="27" t="s">
        <v>3238</v>
      </c>
      <c r="E1720" s="27"/>
      <c r="F1720" s="29" t="s">
        <v>3296</v>
      </c>
      <c r="G1720" s="30" t="n">
        <v>75015</v>
      </c>
      <c r="H1720" s="31" t="s">
        <v>36</v>
      </c>
      <c r="I1720" s="32" t="n">
        <v>145330521</v>
      </c>
      <c r="J1720" s="33" t="n">
        <v>282</v>
      </c>
      <c r="K1720" s="33" t="n">
        <v>1</v>
      </c>
      <c r="L1720" s="34"/>
      <c r="M1720" s="35"/>
      <c r="N1720" s="36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9"/>
      <c r="Z1720" s="39"/>
      <c r="AA1720" s="28"/>
      <c r="AMJ1720" s="0"/>
    </row>
    <row r="1721" s="2" customFormat="true" ht="12.75" hidden="false" customHeight="true" outlineLevel="0" collapsed="false">
      <c r="A1721" s="27" t="s">
        <v>3298</v>
      </c>
      <c r="B1721" s="27" t="s">
        <v>3299</v>
      </c>
      <c r="C1721" s="28" t="s">
        <v>41</v>
      </c>
      <c r="D1721" s="27" t="s">
        <v>3238</v>
      </c>
      <c r="E1721" s="27"/>
      <c r="F1721" s="29" t="s">
        <v>3300</v>
      </c>
      <c r="G1721" s="30" t="n">
        <v>75015</v>
      </c>
      <c r="H1721" s="31" t="s">
        <v>36</v>
      </c>
      <c r="I1721" s="32" t="n">
        <v>142502055</v>
      </c>
      <c r="J1721" s="33" t="n">
        <v>241</v>
      </c>
      <c r="K1721" s="33" t="n">
        <v>1</v>
      </c>
      <c r="L1721" s="34"/>
      <c r="M1721" s="35"/>
      <c r="N1721" s="36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9"/>
      <c r="Z1721" s="39"/>
      <c r="AA1721" s="28"/>
      <c r="AMJ1721" s="0"/>
    </row>
    <row r="1722" s="2" customFormat="true" ht="12.75" hidden="false" customHeight="true" outlineLevel="0" collapsed="false">
      <c r="A1722" s="27" t="s">
        <v>3301</v>
      </c>
      <c r="B1722" s="27" t="s">
        <v>1202</v>
      </c>
      <c r="C1722" s="28" t="s">
        <v>41</v>
      </c>
      <c r="D1722" s="27" t="s">
        <v>3238</v>
      </c>
      <c r="E1722" s="27"/>
      <c r="F1722" s="29" t="s">
        <v>3302</v>
      </c>
      <c r="G1722" s="30" t="n">
        <v>75015</v>
      </c>
      <c r="H1722" s="31" t="s">
        <v>36</v>
      </c>
      <c r="I1722" s="32"/>
      <c r="J1722" s="33" t="n">
        <v>364</v>
      </c>
      <c r="K1722" s="33" t="n">
        <v>3</v>
      </c>
      <c r="L1722" s="34"/>
      <c r="M1722" s="35"/>
      <c r="N1722" s="36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9"/>
      <c r="Z1722" s="39"/>
      <c r="AA1722" s="28"/>
      <c r="AMJ1722" s="0"/>
    </row>
    <row r="1723" s="2" customFormat="true" ht="12.75" hidden="false" customHeight="true" outlineLevel="0" collapsed="false">
      <c r="A1723" s="27" t="s">
        <v>3303</v>
      </c>
      <c r="B1723" s="27" t="s">
        <v>3304</v>
      </c>
      <c r="C1723" s="28" t="s">
        <v>41</v>
      </c>
      <c r="D1723" s="27" t="s">
        <v>3238</v>
      </c>
      <c r="E1723" s="27"/>
      <c r="F1723" s="29" t="s">
        <v>3302</v>
      </c>
      <c r="G1723" s="30" t="n">
        <v>75015</v>
      </c>
      <c r="H1723" s="31" t="s">
        <v>36</v>
      </c>
      <c r="I1723" s="32"/>
      <c r="J1723" s="33" t="n">
        <v>345</v>
      </c>
      <c r="K1723" s="33" t="n">
        <v>1</v>
      </c>
      <c r="L1723" s="34"/>
      <c r="M1723" s="35"/>
      <c r="N1723" s="36"/>
      <c r="O1723" s="37"/>
      <c r="P1723" s="37"/>
      <c r="Q1723" s="37"/>
      <c r="R1723" s="37"/>
      <c r="S1723" s="37"/>
      <c r="T1723" s="37"/>
      <c r="U1723" s="37"/>
      <c r="V1723" s="37"/>
      <c r="W1723" s="37"/>
      <c r="X1723" s="37"/>
      <c r="Y1723" s="39"/>
      <c r="Z1723" s="39"/>
      <c r="AA1723" s="28"/>
      <c r="AMJ1723" s="0"/>
    </row>
    <row r="1724" s="2" customFormat="true" ht="12.75" hidden="false" customHeight="true" outlineLevel="0" collapsed="false">
      <c r="A1724" s="27" t="s">
        <v>3305</v>
      </c>
      <c r="B1724" s="27" t="s">
        <v>749</v>
      </c>
      <c r="C1724" s="28" t="s">
        <v>41</v>
      </c>
      <c r="D1724" s="27" t="s">
        <v>3238</v>
      </c>
      <c r="E1724" s="27"/>
      <c r="F1724" s="29" t="s">
        <v>3306</v>
      </c>
      <c r="G1724" s="30" t="n">
        <v>75015</v>
      </c>
      <c r="H1724" s="31" t="s">
        <v>36</v>
      </c>
      <c r="I1724" s="32" t="n">
        <v>148423694</v>
      </c>
      <c r="J1724" s="33" t="n">
        <v>279</v>
      </c>
      <c r="K1724" s="33" t="n">
        <v>1</v>
      </c>
      <c r="L1724" s="34"/>
      <c r="M1724" s="35"/>
      <c r="N1724" s="36"/>
      <c r="O1724" s="37"/>
      <c r="P1724" s="37"/>
      <c r="Q1724" s="37"/>
      <c r="R1724" s="37"/>
      <c r="S1724" s="37"/>
      <c r="T1724" s="37"/>
      <c r="U1724" s="37"/>
      <c r="V1724" s="37"/>
      <c r="W1724" s="37"/>
      <c r="X1724" s="37"/>
      <c r="Y1724" s="39"/>
      <c r="Z1724" s="39"/>
      <c r="AA1724" s="28"/>
      <c r="AMJ1724" s="0"/>
    </row>
    <row r="1725" s="2" customFormat="true" ht="12.75" hidden="false" customHeight="true" outlineLevel="0" collapsed="false">
      <c r="A1725" s="27" t="s">
        <v>3307</v>
      </c>
      <c r="B1725" s="27" t="s">
        <v>88</v>
      </c>
      <c r="C1725" s="28" t="s">
        <v>33</v>
      </c>
      <c r="D1725" s="27" t="s">
        <v>3238</v>
      </c>
      <c r="E1725" s="27"/>
      <c r="F1725" s="29" t="s">
        <v>3308</v>
      </c>
      <c r="G1725" s="30" t="n">
        <v>75015</v>
      </c>
      <c r="H1725" s="31" t="s">
        <v>36</v>
      </c>
      <c r="I1725" s="32" t="n">
        <v>156560644</v>
      </c>
      <c r="J1725" s="33" t="n">
        <v>47</v>
      </c>
      <c r="K1725" s="33" t="n">
        <v>1</v>
      </c>
      <c r="L1725" s="34"/>
      <c r="M1725" s="35"/>
      <c r="N1725" s="36"/>
      <c r="O1725" s="37"/>
      <c r="P1725" s="37"/>
      <c r="Q1725" s="37"/>
      <c r="R1725" s="37"/>
      <c r="S1725" s="37"/>
      <c r="T1725" s="37"/>
      <c r="U1725" s="37"/>
      <c r="V1725" s="37"/>
      <c r="W1725" s="37"/>
      <c r="X1725" s="37"/>
      <c r="Y1725" s="39"/>
      <c r="Z1725" s="39"/>
      <c r="AA1725" s="28"/>
      <c r="AC1725" s="2" t="s">
        <v>1484</v>
      </c>
      <c r="AMJ1725" s="0"/>
    </row>
    <row r="1726" s="2" customFormat="true" ht="12.75" hidden="false" customHeight="true" outlineLevel="0" collapsed="false">
      <c r="A1726" s="27" t="s">
        <v>3309</v>
      </c>
      <c r="B1726" s="27" t="s">
        <v>3310</v>
      </c>
      <c r="C1726" s="28" t="s">
        <v>41</v>
      </c>
      <c r="D1726" s="27" t="s">
        <v>3238</v>
      </c>
      <c r="E1726" s="27"/>
      <c r="F1726" s="29" t="s">
        <v>3311</v>
      </c>
      <c r="G1726" s="30" t="n">
        <v>75015</v>
      </c>
      <c r="H1726" s="31" t="s">
        <v>36</v>
      </c>
      <c r="I1726" s="32" t="n">
        <v>153684300</v>
      </c>
      <c r="J1726" s="33" t="n">
        <v>201</v>
      </c>
      <c r="K1726" s="33" t="n">
        <v>1</v>
      </c>
      <c r="L1726" s="34"/>
      <c r="M1726" s="35"/>
      <c r="N1726" s="36"/>
      <c r="O1726" s="37"/>
      <c r="P1726" s="37"/>
      <c r="Q1726" s="37"/>
      <c r="R1726" s="37"/>
      <c r="S1726" s="37"/>
      <c r="T1726" s="37"/>
      <c r="U1726" s="37"/>
      <c r="V1726" s="37"/>
      <c r="W1726" s="37"/>
      <c r="X1726" s="37"/>
      <c r="Y1726" s="39"/>
      <c r="Z1726" s="39"/>
      <c r="AA1726" s="28"/>
      <c r="AMJ1726" s="0"/>
    </row>
    <row r="1727" s="2" customFormat="true" ht="12.75" hidden="false" customHeight="true" outlineLevel="0" collapsed="false">
      <c r="A1727" s="27" t="s">
        <v>3312</v>
      </c>
      <c r="B1727" s="27" t="s">
        <v>266</v>
      </c>
      <c r="C1727" s="28" t="s">
        <v>121</v>
      </c>
      <c r="D1727" s="27" t="s">
        <v>3238</v>
      </c>
      <c r="E1727" s="27"/>
      <c r="F1727" s="29" t="s">
        <v>3313</v>
      </c>
      <c r="G1727" s="30" t="n">
        <v>75015</v>
      </c>
      <c r="H1727" s="31" t="s">
        <v>36</v>
      </c>
      <c r="I1727" s="32" t="n">
        <v>142504450</v>
      </c>
      <c r="J1727" s="33" t="n">
        <v>131</v>
      </c>
      <c r="K1727" s="33" t="n">
        <v>3</v>
      </c>
      <c r="L1727" s="34" t="n">
        <v>1</v>
      </c>
      <c r="M1727" s="35" t="s">
        <v>164</v>
      </c>
      <c r="N1727" s="36"/>
      <c r="O1727" s="41"/>
      <c r="P1727" s="41"/>
      <c r="Q1727" s="41"/>
      <c r="R1727" s="41"/>
      <c r="S1727" s="41"/>
      <c r="T1727" s="41"/>
      <c r="U1727" s="41"/>
      <c r="V1727" s="41"/>
      <c r="W1727" s="41"/>
      <c r="X1727" s="41"/>
      <c r="Y1727" s="39"/>
      <c r="Z1727" s="39"/>
      <c r="AA1727" s="28" t="n">
        <v>3</v>
      </c>
      <c r="AMJ1727" s="0"/>
    </row>
    <row r="1728" s="2" customFormat="true" ht="12.75" hidden="false" customHeight="true" outlineLevel="0" collapsed="false">
      <c r="A1728" s="27" t="s">
        <v>3314</v>
      </c>
      <c r="B1728" s="27" t="s">
        <v>374</v>
      </c>
      <c r="C1728" s="28" t="s">
        <v>41</v>
      </c>
      <c r="D1728" s="27" t="s">
        <v>3238</v>
      </c>
      <c r="E1728" s="27" t="s">
        <v>3315</v>
      </c>
      <c r="F1728" s="29" t="s">
        <v>3316</v>
      </c>
      <c r="G1728" s="30" t="n">
        <v>75015</v>
      </c>
      <c r="H1728" s="31" t="s">
        <v>36</v>
      </c>
      <c r="I1728" s="32" t="n">
        <v>142500261</v>
      </c>
      <c r="J1728" s="33" t="n">
        <v>428</v>
      </c>
      <c r="K1728" s="33" t="n">
        <v>6</v>
      </c>
      <c r="L1728" s="34"/>
      <c r="M1728" s="35"/>
      <c r="N1728" s="36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9"/>
      <c r="Z1728" s="39"/>
      <c r="AA1728" s="28"/>
      <c r="AMJ1728" s="0"/>
    </row>
    <row r="1729" s="2" customFormat="true" ht="12.75" hidden="false" customHeight="true" outlineLevel="0" collapsed="false">
      <c r="A1729" s="27" t="s">
        <v>3317</v>
      </c>
      <c r="B1729" s="27" t="s">
        <v>3318</v>
      </c>
      <c r="C1729" s="28" t="s">
        <v>41</v>
      </c>
      <c r="D1729" s="27" t="s">
        <v>3238</v>
      </c>
      <c r="E1729" s="27" t="s">
        <v>3315</v>
      </c>
      <c r="F1729" s="29" t="s">
        <v>3316</v>
      </c>
      <c r="G1729" s="30" t="n">
        <v>75015</v>
      </c>
      <c r="H1729" s="31" t="s">
        <v>36</v>
      </c>
      <c r="I1729" s="32" t="n">
        <v>142500261</v>
      </c>
      <c r="J1729" s="33" t="n">
        <v>334</v>
      </c>
      <c r="K1729" s="33" t="n">
        <v>1</v>
      </c>
      <c r="L1729" s="34"/>
      <c r="M1729" s="35"/>
      <c r="N1729" s="36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9"/>
      <c r="Z1729" s="39"/>
      <c r="AA1729" s="28"/>
      <c r="AMJ1729" s="0"/>
    </row>
    <row r="1730" s="2" customFormat="true" ht="12.75" hidden="false" customHeight="true" outlineLevel="0" collapsed="false">
      <c r="A1730" s="27" t="s">
        <v>3319</v>
      </c>
      <c r="B1730" s="27" t="s">
        <v>3320</v>
      </c>
      <c r="C1730" s="28" t="s">
        <v>41</v>
      </c>
      <c r="D1730" s="27" t="s">
        <v>3238</v>
      </c>
      <c r="E1730" s="27" t="s">
        <v>3315</v>
      </c>
      <c r="F1730" s="29" t="s">
        <v>3316</v>
      </c>
      <c r="G1730" s="30" t="n">
        <v>75015</v>
      </c>
      <c r="H1730" s="31" t="s">
        <v>36</v>
      </c>
      <c r="I1730" s="32" t="n">
        <v>142500261</v>
      </c>
      <c r="J1730" s="33" t="n">
        <v>277</v>
      </c>
      <c r="K1730" s="33" t="n">
        <v>2</v>
      </c>
      <c r="L1730" s="34"/>
      <c r="M1730" s="35"/>
      <c r="N1730" s="36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9"/>
      <c r="Z1730" s="39"/>
      <c r="AA1730" s="28"/>
      <c r="AMJ1730" s="0"/>
    </row>
    <row r="1731" s="2" customFormat="true" ht="12.75" hidden="false" customHeight="true" outlineLevel="0" collapsed="false">
      <c r="A1731" s="27" t="s">
        <v>3117</v>
      </c>
      <c r="B1731" s="27" t="s">
        <v>217</v>
      </c>
      <c r="C1731" s="28" t="s">
        <v>41</v>
      </c>
      <c r="D1731" s="27" t="s">
        <v>3238</v>
      </c>
      <c r="E1731" s="27" t="s">
        <v>3315</v>
      </c>
      <c r="F1731" s="29" t="s">
        <v>3316</v>
      </c>
      <c r="G1731" s="30" t="n">
        <v>75015</v>
      </c>
      <c r="H1731" s="31" t="s">
        <v>36</v>
      </c>
      <c r="I1731" s="32" t="n">
        <v>142500261</v>
      </c>
      <c r="J1731" s="33" t="n">
        <v>248</v>
      </c>
      <c r="K1731" s="33" t="n">
        <v>2</v>
      </c>
      <c r="L1731" s="34"/>
      <c r="M1731" s="35"/>
      <c r="N1731" s="36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9"/>
      <c r="Z1731" s="39"/>
      <c r="AA1731" s="28"/>
      <c r="AMJ1731" s="0"/>
    </row>
    <row r="1732" s="2" customFormat="true" ht="12.75" hidden="false" customHeight="true" outlineLevel="0" collapsed="false">
      <c r="A1732" s="27" t="s">
        <v>3321</v>
      </c>
      <c r="B1732" s="27" t="s">
        <v>3322</v>
      </c>
      <c r="C1732" s="28" t="s">
        <v>41</v>
      </c>
      <c r="D1732" s="27" t="s">
        <v>3238</v>
      </c>
      <c r="E1732" s="27" t="s">
        <v>3315</v>
      </c>
      <c r="F1732" s="29" t="s">
        <v>3316</v>
      </c>
      <c r="G1732" s="30" t="n">
        <v>75015</v>
      </c>
      <c r="H1732" s="31" t="s">
        <v>36</v>
      </c>
      <c r="I1732" s="32" t="n">
        <v>142500261</v>
      </c>
      <c r="J1732" s="33" t="n">
        <v>150</v>
      </c>
      <c r="K1732" s="33" t="n">
        <v>1</v>
      </c>
      <c r="L1732" s="34"/>
      <c r="M1732" s="35"/>
      <c r="N1732" s="36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9"/>
      <c r="Z1732" s="39"/>
      <c r="AA1732" s="28"/>
      <c r="AMJ1732" s="0"/>
    </row>
    <row r="1733" s="2" customFormat="true" ht="12.75" hidden="false" customHeight="true" outlineLevel="0" collapsed="false">
      <c r="A1733" s="27" t="s">
        <v>1026</v>
      </c>
      <c r="B1733" s="27" t="s">
        <v>112</v>
      </c>
      <c r="C1733" s="28" t="s">
        <v>121</v>
      </c>
      <c r="D1733" s="27" t="s">
        <v>3238</v>
      </c>
      <c r="E1733" s="27" t="s">
        <v>3315</v>
      </c>
      <c r="F1733" s="29" t="s">
        <v>3316</v>
      </c>
      <c r="G1733" s="30" t="n">
        <v>75015</v>
      </c>
      <c r="H1733" s="31" t="s">
        <v>36</v>
      </c>
      <c r="I1733" s="32" t="n">
        <v>142500261</v>
      </c>
      <c r="J1733" s="33" t="n">
        <v>235</v>
      </c>
      <c r="K1733" s="33" t="n">
        <v>2</v>
      </c>
      <c r="L1733" s="34"/>
      <c r="M1733" s="35"/>
      <c r="N1733" s="36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9"/>
      <c r="Z1733" s="39"/>
      <c r="AA1733" s="28"/>
      <c r="AMJ1733" s="0"/>
    </row>
    <row r="1734" s="2" customFormat="true" ht="12.75" hidden="false" customHeight="true" outlineLevel="0" collapsed="false">
      <c r="A1734" s="27" t="s">
        <v>3323</v>
      </c>
      <c r="B1734" s="27" t="s">
        <v>151</v>
      </c>
      <c r="C1734" s="28" t="s">
        <v>138</v>
      </c>
      <c r="D1734" s="27" t="s">
        <v>3238</v>
      </c>
      <c r="E1734" s="27"/>
      <c r="F1734" s="29" t="s">
        <v>3324</v>
      </c>
      <c r="G1734" s="30" t="n">
        <v>75015</v>
      </c>
      <c r="H1734" s="31" t="s">
        <v>36</v>
      </c>
      <c r="I1734" s="32" t="n">
        <v>145314717</v>
      </c>
      <c r="J1734" s="33" t="n">
        <v>113</v>
      </c>
      <c r="K1734" s="33" t="n">
        <v>3</v>
      </c>
      <c r="L1734" s="34"/>
      <c r="M1734" s="35"/>
      <c r="N1734" s="36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9"/>
      <c r="Z1734" s="39"/>
      <c r="AA1734" s="28"/>
      <c r="AMJ1734" s="0"/>
    </row>
    <row r="1735" s="2" customFormat="true" ht="12.75" hidden="false" customHeight="true" outlineLevel="0" collapsed="false">
      <c r="A1735" s="27" t="s">
        <v>3325</v>
      </c>
      <c r="B1735" s="27" t="s">
        <v>149</v>
      </c>
      <c r="C1735" s="28" t="s">
        <v>41</v>
      </c>
      <c r="D1735" s="27" t="s">
        <v>3238</v>
      </c>
      <c r="E1735" s="27"/>
      <c r="F1735" s="29" t="s">
        <v>3326</v>
      </c>
      <c r="G1735" s="30" t="n">
        <v>75015</v>
      </c>
      <c r="H1735" s="31" t="s">
        <v>36</v>
      </c>
      <c r="I1735" s="32" t="n">
        <v>145334099</v>
      </c>
      <c r="J1735" s="33" t="n">
        <v>263</v>
      </c>
      <c r="K1735" s="33" t="n">
        <v>10</v>
      </c>
      <c r="L1735" s="34"/>
      <c r="M1735" s="35" t="s">
        <v>164</v>
      </c>
      <c r="N1735" s="36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9"/>
      <c r="Z1735" s="39"/>
      <c r="AA1735" s="28"/>
      <c r="AMJ1735" s="0"/>
    </row>
    <row r="1736" s="2" customFormat="true" ht="12.75" hidden="false" customHeight="true" outlineLevel="0" collapsed="false">
      <c r="A1736" s="27" t="s">
        <v>3327</v>
      </c>
      <c r="B1736" s="27" t="s">
        <v>3328</v>
      </c>
      <c r="C1736" s="28" t="s">
        <v>41</v>
      </c>
      <c r="D1736" s="27" t="s">
        <v>3238</v>
      </c>
      <c r="E1736" s="27"/>
      <c r="F1736" s="29" t="s">
        <v>3329</v>
      </c>
      <c r="G1736" s="30" t="n">
        <v>75015</v>
      </c>
      <c r="H1736" s="31" t="s">
        <v>36</v>
      </c>
      <c r="I1736" s="32" t="n">
        <v>145312131</v>
      </c>
      <c r="J1736" s="33" t="n">
        <v>278</v>
      </c>
      <c r="K1736" s="33" t="n">
        <v>2</v>
      </c>
      <c r="L1736" s="34"/>
      <c r="M1736" s="35"/>
      <c r="N1736" s="36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9"/>
      <c r="Z1736" s="39"/>
      <c r="AA1736" s="28"/>
      <c r="AMJ1736" s="0"/>
    </row>
    <row r="1737" s="2" customFormat="true" ht="12.75" hidden="false" customHeight="true" outlineLevel="0" collapsed="false">
      <c r="A1737" s="27" t="s">
        <v>3330</v>
      </c>
      <c r="B1737" s="27" t="s">
        <v>3331</v>
      </c>
      <c r="C1737" s="28" t="s">
        <v>41</v>
      </c>
      <c r="D1737" s="27" t="s">
        <v>3238</v>
      </c>
      <c r="E1737" s="27"/>
      <c r="F1737" s="29" t="s">
        <v>3329</v>
      </c>
      <c r="G1737" s="30" t="n">
        <v>75015</v>
      </c>
      <c r="H1737" s="31" t="s">
        <v>36</v>
      </c>
      <c r="I1737" s="32" t="n">
        <v>145312131</v>
      </c>
      <c r="J1737" s="33" t="n">
        <v>185</v>
      </c>
      <c r="K1737" s="33" t="n">
        <v>1</v>
      </c>
      <c r="L1737" s="34"/>
      <c r="M1737" s="35"/>
      <c r="N1737" s="36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9"/>
      <c r="Z1737" s="39"/>
      <c r="AA1737" s="28"/>
      <c r="AMJ1737" s="0"/>
    </row>
    <row r="1738" s="2" customFormat="true" ht="12.75" hidden="false" customHeight="true" outlineLevel="0" collapsed="false">
      <c r="A1738" s="27" t="s">
        <v>3332</v>
      </c>
      <c r="B1738" s="27" t="s">
        <v>3333</v>
      </c>
      <c r="C1738" s="28" t="s">
        <v>41</v>
      </c>
      <c r="D1738" s="27" t="s">
        <v>3238</v>
      </c>
      <c r="E1738" s="27"/>
      <c r="F1738" s="29" t="s">
        <v>3329</v>
      </c>
      <c r="G1738" s="30" t="n">
        <v>75015</v>
      </c>
      <c r="H1738" s="31" t="s">
        <v>36</v>
      </c>
      <c r="I1738" s="32" t="n">
        <v>145312131</v>
      </c>
      <c r="J1738" s="33" t="n">
        <v>173</v>
      </c>
      <c r="K1738" s="33" t="n">
        <v>1</v>
      </c>
      <c r="L1738" s="34"/>
      <c r="M1738" s="35"/>
      <c r="N1738" s="36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9"/>
      <c r="Z1738" s="39"/>
      <c r="AA1738" s="28"/>
      <c r="AMJ1738" s="0"/>
    </row>
    <row r="1739" s="2" customFormat="true" ht="12.75" hidden="false" customHeight="true" outlineLevel="0" collapsed="false">
      <c r="A1739" s="27" t="s">
        <v>3334</v>
      </c>
      <c r="B1739" s="27" t="s">
        <v>3335</v>
      </c>
      <c r="C1739" s="28" t="s">
        <v>41</v>
      </c>
      <c r="D1739" s="27" t="s">
        <v>3238</v>
      </c>
      <c r="E1739" s="27"/>
      <c r="F1739" s="29" t="s">
        <v>3329</v>
      </c>
      <c r="G1739" s="30" t="n">
        <v>75015</v>
      </c>
      <c r="H1739" s="31" t="s">
        <v>36</v>
      </c>
      <c r="I1739" s="32" t="n">
        <v>145312131</v>
      </c>
      <c r="J1739" s="33" t="n">
        <v>162</v>
      </c>
      <c r="K1739" s="33" t="n">
        <v>1</v>
      </c>
      <c r="L1739" s="34"/>
      <c r="M1739" s="35"/>
      <c r="N1739" s="36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9"/>
      <c r="Z1739" s="39"/>
      <c r="AA1739" s="28"/>
      <c r="AMJ1739" s="0"/>
    </row>
    <row r="1740" s="2" customFormat="true" ht="12.75" hidden="false" customHeight="true" outlineLevel="0" collapsed="false">
      <c r="A1740" s="27" t="s">
        <v>3336</v>
      </c>
      <c r="B1740" s="27" t="s">
        <v>3337</v>
      </c>
      <c r="C1740" s="28" t="s">
        <v>41</v>
      </c>
      <c r="D1740" s="27" t="s">
        <v>3238</v>
      </c>
      <c r="E1740" s="27"/>
      <c r="F1740" s="29" t="s">
        <v>3338</v>
      </c>
      <c r="G1740" s="30" t="n">
        <v>75015</v>
      </c>
      <c r="H1740" s="31" t="s">
        <v>36</v>
      </c>
      <c r="I1740" s="32" t="n">
        <v>140610610</v>
      </c>
      <c r="J1740" s="33" t="n">
        <v>533</v>
      </c>
      <c r="K1740" s="33" t="n">
        <v>1</v>
      </c>
      <c r="L1740" s="34"/>
      <c r="M1740" s="35"/>
      <c r="N1740" s="36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9"/>
      <c r="Z1740" s="39"/>
      <c r="AA1740" s="28"/>
      <c r="AMJ1740" s="0"/>
    </row>
    <row r="1741" s="2" customFormat="true" ht="12.75" hidden="false" customHeight="true" outlineLevel="0" collapsed="false">
      <c r="A1741" s="27" t="s">
        <v>3339</v>
      </c>
      <c r="B1741" s="27" t="s">
        <v>92</v>
      </c>
      <c r="C1741" s="28" t="s">
        <v>41</v>
      </c>
      <c r="D1741" s="27" t="s">
        <v>3238</v>
      </c>
      <c r="E1741" s="27"/>
      <c r="F1741" s="29" t="s">
        <v>3340</v>
      </c>
      <c r="G1741" s="30" t="n">
        <v>75015</v>
      </c>
      <c r="H1741" s="31" t="s">
        <v>36</v>
      </c>
      <c r="I1741" s="32"/>
      <c r="J1741" s="33" t="n">
        <v>86</v>
      </c>
      <c r="K1741" s="33" t="n">
        <v>1</v>
      </c>
      <c r="L1741" s="34"/>
      <c r="M1741" s="35"/>
      <c r="N1741" s="36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9"/>
      <c r="Z1741" s="39"/>
      <c r="AA1741" s="28"/>
      <c r="AMJ1741" s="0"/>
    </row>
    <row r="1742" s="2" customFormat="true" ht="12.75" hidden="false" customHeight="true" outlineLevel="0" collapsed="false">
      <c r="A1742" s="27" t="s">
        <v>3341</v>
      </c>
      <c r="B1742" s="27" t="s">
        <v>2645</v>
      </c>
      <c r="C1742" s="28" t="s">
        <v>33</v>
      </c>
      <c r="D1742" s="27" t="s">
        <v>3238</v>
      </c>
      <c r="E1742" s="27"/>
      <c r="F1742" s="29" t="s">
        <v>3342</v>
      </c>
      <c r="G1742" s="30" t="n">
        <v>75015</v>
      </c>
      <c r="H1742" s="31" t="s">
        <v>36</v>
      </c>
      <c r="I1742" s="32" t="n">
        <v>145656111</v>
      </c>
      <c r="J1742" s="33" t="n">
        <v>48</v>
      </c>
      <c r="K1742" s="33" t="n">
        <v>2</v>
      </c>
      <c r="L1742" s="34"/>
      <c r="M1742" s="35"/>
      <c r="N1742" s="36"/>
      <c r="O1742" s="37"/>
      <c r="P1742" s="37"/>
      <c r="Q1742" s="37"/>
      <c r="R1742" s="37"/>
      <c r="S1742" s="37"/>
      <c r="T1742" s="37"/>
      <c r="U1742" s="37"/>
      <c r="V1742" s="37"/>
      <c r="W1742" s="37"/>
      <c r="X1742" s="37"/>
      <c r="Y1742" s="39"/>
      <c r="Z1742" s="39"/>
      <c r="AA1742" s="28"/>
      <c r="AC1742" s="2" t="s">
        <v>197</v>
      </c>
      <c r="AMJ1742" s="0"/>
    </row>
    <row r="1743" s="2" customFormat="true" ht="12.75" hidden="false" customHeight="true" outlineLevel="0" collapsed="false">
      <c r="A1743" s="27" t="s">
        <v>3343</v>
      </c>
      <c r="B1743" s="27" t="s">
        <v>749</v>
      </c>
      <c r="C1743" s="28" t="s">
        <v>33</v>
      </c>
      <c r="D1743" s="27" t="s">
        <v>3238</v>
      </c>
      <c r="E1743" s="27"/>
      <c r="F1743" s="29" t="s">
        <v>3342</v>
      </c>
      <c r="G1743" s="30" t="n">
        <v>75015</v>
      </c>
      <c r="H1743" s="31" t="s">
        <v>36</v>
      </c>
      <c r="I1743" s="32" t="n">
        <v>145656119</v>
      </c>
      <c r="J1743" s="33" t="n">
        <v>37</v>
      </c>
      <c r="K1743" s="33" t="n">
        <v>1</v>
      </c>
      <c r="L1743" s="34"/>
      <c r="M1743" s="35"/>
      <c r="N1743" s="36"/>
      <c r="O1743" s="37"/>
      <c r="P1743" s="37"/>
      <c r="Q1743" s="37"/>
      <c r="R1743" s="37"/>
      <c r="S1743" s="37"/>
      <c r="T1743" s="37"/>
      <c r="U1743" s="37"/>
      <c r="V1743" s="37"/>
      <c r="W1743" s="37"/>
      <c r="X1743" s="37"/>
      <c r="Y1743" s="39"/>
      <c r="Z1743" s="39"/>
      <c r="AA1743" s="28"/>
      <c r="AC1743" s="2" t="s">
        <v>197</v>
      </c>
      <c r="AMJ1743" s="0"/>
    </row>
    <row r="1744" s="2" customFormat="true" ht="12.75" hidden="false" customHeight="true" outlineLevel="0" collapsed="false">
      <c r="A1744" s="27" t="s">
        <v>3344</v>
      </c>
      <c r="B1744" s="27" t="s">
        <v>1805</v>
      </c>
      <c r="C1744" s="28" t="s">
        <v>33</v>
      </c>
      <c r="D1744" s="27" t="s">
        <v>3238</v>
      </c>
      <c r="E1744" s="27"/>
      <c r="F1744" s="29" t="s">
        <v>3342</v>
      </c>
      <c r="G1744" s="30" t="n">
        <v>75015</v>
      </c>
      <c r="H1744" s="31" t="s">
        <v>36</v>
      </c>
      <c r="I1744" s="32" t="n">
        <v>145656111</v>
      </c>
      <c r="J1744" s="33" t="n">
        <v>36</v>
      </c>
      <c r="K1744" s="33" t="n">
        <v>3</v>
      </c>
      <c r="L1744" s="34"/>
      <c r="M1744" s="35"/>
      <c r="N1744" s="36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9"/>
      <c r="Z1744" s="39"/>
      <c r="AA1744" s="28"/>
      <c r="AC1744" s="2" t="s">
        <v>38</v>
      </c>
      <c r="AMJ1744" s="0"/>
    </row>
    <row r="1745" s="2" customFormat="true" ht="12.75" hidden="false" customHeight="true" outlineLevel="0" collapsed="false">
      <c r="A1745" s="27" t="s">
        <v>3345</v>
      </c>
      <c r="B1745" s="27" t="s">
        <v>813</v>
      </c>
      <c r="C1745" s="28" t="s">
        <v>33</v>
      </c>
      <c r="D1745" s="27" t="s">
        <v>3238</v>
      </c>
      <c r="E1745" s="27"/>
      <c r="F1745" s="29" t="s">
        <v>3342</v>
      </c>
      <c r="G1745" s="30" t="n">
        <v>75015</v>
      </c>
      <c r="H1745" s="31" t="s">
        <v>36</v>
      </c>
      <c r="I1745" s="32" t="n">
        <v>145656111</v>
      </c>
      <c r="J1745" s="33" t="n">
        <v>0</v>
      </c>
      <c r="K1745" s="33"/>
      <c r="L1745" s="34"/>
      <c r="M1745" s="35"/>
      <c r="N1745" s="36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9"/>
      <c r="Z1745" s="39"/>
      <c r="AA1745" s="28"/>
      <c r="AC1745" s="2" t="s">
        <v>38</v>
      </c>
      <c r="AMJ1745" s="0"/>
    </row>
    <row r="1746" s="2" customFormat="true" ht="12.75" hidden="false" customHeight="true" outlineLevel="0" collapsed="false">
      <c r="A1746" s="27" t="s">
        <v>3346</v>
      </c>
      <c r="B1746" s="27" t="s">
        <v>3347</v>
      </c>
      <c r="C1746" s="28" t="s">
        <v>33</v>
      </c>
      <c r="D1746" s="27" t="s">
        <v>3238</v>
      </c>
      <c r="E1746" s="27"/>
      <c r="F1746" s="29" t="s">
        <v>3348</v>
      </c>
      <c r="G1746" s="30" t="n">
        <v>75015</v>
      </c>
      <c r="H1746" s="31" t="s">
        <v>36</v>
      </c>
      <c r="I1746" s="32" t="n">
        <v>145656121</v>
      </c>
      <c r="J1746" s="33" t="n">
        <v>400</v>
      </c>
      <c r="K1746" s="33" t="n">
        <v>1</v>
      </c>
      <c r="L1746" s="34"/>
      <c r="M1746" s="35"/>
      <c r="N1746" s="36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9"/>
      <c r="Z1746" s="39"/>
      <c r="AA1746" s="28"/>
      <c r="AC1746" s="2" t="s">
        <v>38</v>
      </c>
      <c r="AMJ1746" s="0"/>
    </row>
    <row r="1747" s="2" customFormat="true" ht="12.75" hidden="false" customHeight="true" outlineLevel="0" collapsed="false">
      <c r="A1747" s="27" t="s">
        <v>3349</v>
      </c>
      <c r="B1747" s="27" t="s">
        <v>525</v>
      </c>
      <c r="C1747" s="28" t="s">
        <v>41</v>
      </c>
      <c r="D1747" s="27" t="s">
        <v>3238</v>
      </c>
      <c r="E1747" s="27"/>
      <c r="F1747" s="29" t="s">
        <v>3350</v>
      </c>
      <c r="G1747" s="30" t="n">
        <v>75015</v>
      </c>
      <c r="H1747" s="31" t="s">
        <v>36</v>
      </c>
      <c r="I1747" s="32" t="n">
        <v>148562172</v>
      </c>
      <c r="J1747" s="33" t="n">
        <v>286</v>
      </c>
      <c r="K1747" s="33" t="n">
        <v>5</v>
      </c>
      <c r="L1747" s="34"/>
      <c r="M1747" s="35"/>
      <c r="N1747" s="36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9"/>
      <c r="Z1747" s="39"/>
      <c r="AA1747" s="28"/>
      <c r="AMJ1747" s="0"/>
    </row>
    <row r="1748" s="2" customFormat="true" ht="12.75" hidden="false" customHeight="true" outlineLevel="0" collapsed="false">
      <c r="A1748" s="27" t="s">
        <v>3351</v>
      </c>
      <c r="B1748" s="27" t="s">
        <v>177</v>
      </c>
      <c r="C1748" s="28" t="s">
        <v>33</v>
      </c>
      <c r="D1748" s="27" t="s">
        <v>3238</v>
      </c>
      <c r="E1748" s="27"/>
      <c r="F1748" s="29" t="s">
        <v>3352</v>
      </c>
      <c r="G1748" s="30" t="n">
        <v>75015</v>
      </c>
      <c r="H1748" s="31" t="s">
        <v>36</v>
      </c>
      <c r="I1748" s="32" t="n">
        <v>145300306</v>
      </c>
      <c r="J1748" s="33" t="n">
        <v>52</v>
      </c>
      <c r="K1748" s="33" t="n">
        <v>0</v>
      </c>
      <c r="L1748" s="34"/>
      <c r="M1748" s="35"/>
      <c r="N1748" s="36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9"/>
      <c r="Z1748" s="39"/>
      <c r="AA1748" s="28"/>
      <c r="AC1748" s="2" t="s">
        <v>38</v>
      </c>
      <c r="AMJ1748" s="0"/>
    </row>
    <row r="1749" s="2" customFormat="true" ht="12.75" hidden="false" customHeight="true" outlineLevel="0" collapsed="false">
      <c r="A1749" s="27" t="s">
        <v>3353</v>
      </c>
      <c r="B1749" s="27" t="s">
        <v>374</v>
      </c>
      <c r="C1749" s="28" t="s">
        <v>138</v>
      </c>
      <c r="D1749" s="27" t="s">
        <v>3238</v>
      </c>
      <c r="E1749" s="27"/>
      <c r="F1749" s="29" t="s">
        <v>3354</v>
      </c>
      <c r="G1749" s="30" t="n">
        <v>75015</v>
      </c>
      <c r="H1749" s="31" t="s">
        <v>36</v>
      </c>
      <c r="I1749" s="32" t="n">
        <v>140431765</v>
      </c>
      <c r="J1749" s="33" t="n">
        <v>125</v>
      </c>
      <c r="K1749" s="33" t="n">
        <v>4</v>
      </c>
      <c r="L1749" s="34" t="n">
        <v>1</v>
      </c>
      <c r="M1749" s="35" t="s">
        <v>164</v>
      </c>
      <c r="N1749" s="36"/>
      <c r="O1749" s="41"/>
      <c r="P1749" s="41"/>
      <c r="Q1749" s="41"/>
      <c r="R1749" s="41"/>
      <c r="S1749" s="41"/>
      <c r="T1749" s="41"/>
      <c r="U1749" s="41"/>
      <c r="V1749" s="41"/>
      <c r="W1749" s="41"/>
      <c r="X1749" s="41"/>
      <c r="Y1749" s="39"/>
      <c r="Z1749" s="39"/>
      <c r="AA1749" s="28" t="n">
        <v>3</v>
      </c>
      <c r="AMJ1749" s="0"/>
    </row>
    <row r="1750" s="2" customFormat="true" ht="12.75" hidden="false" customHeight="true" outlineLevel="0" collapsed="false">
      <c r="A1750" s="27" t="s">
        <v>3355</v>
      </c>
      <c r="B1750" s="27" t="s">
        <v>3356</v>
      </c>
      <c r="C1750" s="28" t="s">
        <v>138</v>
      </c>
      <c r="D1750" s="27" t="s">
        <v>3238</v>
      </c>
      <c r="E1750" s="27"/>
      <c r="F1750" s="29" t="s">
        <v>3357</v>
      </c>
      <c r="G1750" s="30" t="n">
        <v>75015</v>
      </c>
      <c r="H1750" s="31" t="s">
        <v>36</v>
      </c>
      <c r="I1750" s="32"/>
      <c r="J1750" s="33" t="n">
        <v>96</v>
      </c>
      <c r="K1750" s="33" t="n">
        <v>5</v>
      </c>
      <c r="L1750" s="34" t="n">
        <v>2</v>
      </c>
      <c r="M1750" s="35" t="s">
        <v>164</v>
      </c>
      <c r="N1750" s="36"/>
      <c r="O1750" s="41"/>
      <c r="P1750" s="41"/>
      <c r="Q1750" s="41"/>
      <c r="R1750" s="41"/>
      <c r="S1750" s="41"/>
      <c r="T1750" s="41"/>
      <c r="U1750" s="41"/>
      <c r="V1750" s="41"/>
      <c r="W1750" s="41"/>
      <c r="X1750" s="41"/>
      <c r="Y1750" s="39"/>
      <c r="Z1750" s="39"/>
      <c r="AA1750" s="28" t="n">
        <v>3</v>
      </c>
      <c r="AMJ1750" s="0"/>
    </row>
    <row r="1751" s="2" customFormat="true" ht="12.75" hidden="false" customHeight="true" outlineLevel="0" collapsed="false">
      <c r="A1751" s="27" t="s">
        <v>3358</v>
      </c>
      <c r="B1751" s="27" t="s">
        <v>1118</v>
      </c>
      <c r="C1751" s="28" t="s">
        <v>41</v>
      </c>
      <c r="D1751" s="27" t="s">
        <v>3238</v>
      </c>
      <c r="E1751" s="27"/>
      <c r="F1751" s="29" t="s">
        <v>3359</v>
      </c>
      <c r="G1751" s="30" t="n">
        <v>75015</v>
      </c>
      <c r="H1751" s="31" t="s">
        <v>36</v>
      </c>
      <c r="I1751" s="32" t="n">
        <v>145321413</v>
      </c>
      <c r="J1751" s="33" t="n">
        <v>345</v>
      </c>
      <c r="K1751" s="33" t="n">
        <v>1</v>
      </c>
      <c r="L1751" s="34"/>
      <c r="M1751" s="35"/>
      <c r="N1751" s="36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9"/>
      <c r="Z1751" s="39"/>
      <c r="AA1751" s="28"/>
      <c r="AMJ1751" s="0"/>
    </row>
    <row r="1752" s="2" customFormat="true" ht="12.75" hidden="false" customHeight="true" outlineLevel="0" collapsed="false">
      <c r="A1752" s="27" t="s">
        <v>3360</v>
      </c>
      <c r="B1752" s="27" t="s">
        <v>889</v>
      </c>
      <c r="C1752" s="28" t="s">
        <v>41</v>
      </c>
      <c r="D1752" s="27" t="s">
        <v>3238</v>
      </c>
      <c r="E1752" s="27"/>
      <c r="F1752" s="29" t="s">
        <v>3359</v>
      </c>
      <c r="G1752" s="30" t="n">
        <v>75015</v>
      </c>
      <c r="H1752" s="31" t="s">
        <v>36</v>
      </c>
      <c r="I1752" s="32" t="n">
        <v>145321413</v>
      </c>
      <c r="J1752" s="33" t="n">
        <v>253</v>
      </c>
      <c r="K1752" s="33" t="n">
        <v>2</v>
      </c>
      <c r="L1752" s="34"/>
      <c r="M1752" s="35"/>
      <c r="N1752" s="36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9"/>
      <c r="Z1752" s="39"/>
      <c r="AA1752" s="28"/>
      <c r="AMJ1752" s="0"/>
    </row>
    <row r="1753" s="2" customFormat="true" ht="12.75" hidden="false" customHeight="true" outlineLevel="0" collapsed="false">
      <c r="A1753" s="27" t="s">
        <v>3361</v>
      </c>
      <c r="B1753" s="27" t="s">
        <v>1160</v>
      </c>
      <c r="C1753" s="28" t="s">
        <v>41</v>
      </c>
      <c r="D1753" s="27" t="s">
        <v>3238</v>
      </c>
      <c r="E1753" s="27"/>
      <c r="F1753" s="29" t="s">
        <v>3362</v>
      </c>
      <c r="G1753" s="30" t="n">
        <v>75015</v>
      </c>
      <c r="H1753" s="31" t="s">
        <v>36</v>
      </c>
      <c r="I1753" s="32"/>
      <c r="J1753" s="33" t="n">
        <v>339</v>
      </c>
      <c r="K1753" s="33" t="n">
        <v>4</v>
      </c>
      <c r="L1753" s="34"/>
      <c r="M1753" s="35"/>
      <c r="N1753" s="36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9"/>
      <c r="Z1753" s="39"/>
      <c r="AA1753" s="28"/>
      <c r="AMJ1753" s="0"/>
    </row>
    <row r="1754" s="2" customFormat="true" ht="12.75" hidden="false" customHeight="true" outlineLevel="0" collapsed="false">
      <c r="A1754" s="27" t="s">
        <v>3363</v>
      </c>
      <c r="B1754" s="27" t="s">
        <v>61</v>
      </c>
      <c r="C1754" s="28" t="s">
        <v>41</v>
      </c>
      <c r="D1754" s="27" t="s">
        <v>3238</v>
      </c>
      <c r="E1754" s="27"/>
      <c r="F1754" s="29" t="s">
        <v>3362</v>
      </c>
      <c r="G1754" s="30" t="n">
        <v>75015</v>
      </c>
      <c r="H1754" s="31" t="s">
        <v>36</v>
      </c>
      <c r="I1754" s="32"/>
      <c r="J1754" s="33" t="n">
        <v>283</v>
      </c>
      <c r="K1754" s="33" t="n">
        <v>1</v>
      </c>
      <c r="L1754" s="34"/>
      <c r="M1754" s="35"/>
      <c r="N1754" s="36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9"/>
      <c r="Z1754" s="39"/>
      <c r="AA1754" s="28"/>
      <c r="AMJ1754" s="0"/>
    </row>
    <row r="1755" s="2" customFormat="true" ht="12.75" hidden="false" customHeight="true" outlineLevel="0" collapsed="false">
      <c r="A1755" s="27" t="s">
        <v>3364</v>
      </c>
      <c r="B1755" s="27" t="s">
        <v>3064</v>
      </c>
      <c r="C1755" s="28" t="s">
        <v>41</v>
      </c>
      <c r="D1755" s="27" t="s">
        <v>3238</v>
      </c>
      <c r="E1755" s="27"/>
      <c r="F1755" s="29" t="s">
        <v>3362</v>
      </c>
      <c r="G1755" s="30" t="n">
        <v>75015</v>
      </c>
      <c r="H1755" s="31" t="s">
        <v>36</v>
      </c>
      <c r="I1755" s="32"/>
      <c r="J1755" s="33" t="n">
        <v>69</v>
      </c>
      <c r="K1755" s="33" t="n">
        <v>15</v>
      </c>
      <c r="L1755" s="34" t="n">
        <v>1</v>
      </c>
      <c r="M1755" s="35" t="s">
        <v>164</v>
      </c>
      <c r="N1755" s="36"/>
      <c r="O1755" s="41"/>
      <c r="P1755" s="41"/>
      <c r="Q1755" s="41"/>
      <c r="R1755" s="41"/>
      <c r="S1755" s="41"/>
      <c r="T1755" s="41"/>
      <c r="U1755" s="41"/>
      <c r="V1755" s="41"/>
      <c r="W1755" s="41"/>
      <c r="X1755" s="41"/>
      <c r="Y1755" s="39"/>
      <c r="Z1755" s="39"/>
      <c r="AA1755" s="28" t="n">
        <v>3</v>
      </c>
      <c r="AMJ1755" s="0"/>
    </row>
    <row r="1756" s="2" customFormat="true" ht="12.75" hidden="false" customHeight="true" outlineLevel="0" collapsed="false">
      <c r="A1756" s="27" t="s">
        <v>3365</v>
      </c>
      <c r="B1756" s="27" t="s">
        <v>61</v>
      </c>
      <c r="C1756" s="28" t="s">
        <v>33</v>
      </c>
      <c r="D1756" s="27" t="s">
        <v>3238</v>
      </c>
      <c r="E1756" s="27"/>
      <c r="F1756" s="29" t="s">
        <v>3366</v>
      </c>
      <c r="G1756" s="30" t="n">
        <v>75015</v>
      </c>
      <c r="H1756" s="31" t="s">
        <v>36</v>
      </c>
      <c r="I1756" s="32" t="n">
        <v>145318926</v>
      </c>
      <c r="J1756" s="33" t="n">
        <v>52</v>
      </c>
      <c r="K1756" s="33" t="n">
        <v>0</v>
      </c>
      <c r="L1756" s="34"/>
      <c r="M1756" s="35"/>
      <c r="N1756" s="36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9"/>
      <c r="Z1756" s="39"/>
      <c r="AA1756" s="28"/>
      <c r="AC1756" s="2" t="s">
        <v>38</v>
      </c>
      <c r="AMJ1756" s="0"/>
    </row>
    <row r="1757" s="2" customFormat="true" ht="12.75" hidden="false" customHeight="true" outlineLevel="0" collapsed="false">
      <c r="A1757" s="27" t="s">
        <v>3367</v>
      </c>
      <c r="B1757" s="27" t="s">
        <v>1854</v>
      </c>
      <c r="C1757" s="28" t="s">
        <v>208</v>
      </c>
      <c r="D1757" s="27" t="s">
        <v>3238</v>
      </c>
      <c r="E1757" s="27"/>
      <c r="F1757" s="29" t="s">
        <v>3368</v>
      </c>
      <c r="G1757" s="30" t="n">
        <v>75015</v>
      </c>
      <c r="H1757" s="31" t="s">
        <v>36</v>
      </c>
      <c r="I1757" s="32"/>
      <c r="J1757" s="33" t="n">
        <v>167</v>
      </c>
      <c r="K1757" s="33" t="n">
        <v>13</v>
      </c>
      <c r="L1757" s="34" t="n">
        <v>3</v>
      </c>
      <c r="M1757" s="35" t="s">
        <v>164</v>
      </c>
      <c r="N1757" s="36"/>
      <c r="O1757" s="41"/>
      <c r="P1757" s="41"/>
      <c r="Q1757" s="41"/>
      <c r="R1757" s="41"/>
      <c r="S1757" s="41"/>
      <c r="T1757" s="41"/>
      <c r="U1757" s="41"/>
      <c r="V1757" s="41"/>
      <c r="W1757" s="41"/>
      <c r="X1757" s="41"/>
      <c r="Y1757" s="39"/>
      <c r="Z1757" s="39"/>
      <c r="AA1757" s="28" t="n">
        <v>3</v>
      </c>
      <c r="AMJ1757" s="0"/>
    </row>
    <row r="1758" s="2" customFormat="true" ht="12.75" hidden="false" customHeight="true" outlineLevel="0" collapsed="false">
      <c r="A1758" s="27" t="s">
        <v>3369</v>
      </c>
      <c r="B1758" s="27" t="s">
        <v>317</v>
      </c>
      <c r="C1758" s="28" t="s">
        <v>138</v>
      </c>
      <c r="D1758" s="27" t="s">
        <v>3238</v>
      </c>
      <c r="E1758" s="27"/>
      <c r="F1758" s="29" t="s">
        <v>3370</v>
      </c>
      <c r="G1758" s="30" t="n">
        <v>75015</v>
      </c>
      <c r="H1758" s="31" t="s">
        <v>36</v>
      </c>
      <c r="I1758" s="32" t="n">
        <v>156083208</v>
      </c>
      <c r="J1758" s="33" t="n">
        <v>65</v>
      </c>
      <c r="K1758" s="33" t="n">
        <v>6</v>
      </c>
      <c r="L1758" s="34"/>
      <c r="M1758" s="35"/>
      <c r="N1758" s="36"/>
      <c r="O1758" s="37"/>
      <c r="P1758" s="37"/>
      <c r="Q1758" s="37"/>
      <c r="R1758" s="37"/>
      <c r="S1758" s="37"/>
      <c r="T1758" s="37"/>
      <c r="U1758" s="37"/>
      <c r="V1758" s="37"/>
      <c r="W1758" s="37"/>
      <c r="X1758" s="37"/>
      <c r="Y1758" s="39"/>
      <c r="Z1758" s="39"/>
      <c r="AA1758" s="28"/>
      <c r="AMJ1758" s="0"/>
    </row>
    <row r="1759" s="2" customFormat="true" ht="12.75" hidden="false" customHeight="true" outlineLevel="0" collapsed="false">
      <c r="A1759" s="27" t="s">
        <v>3371</v>
      </c>
      <c r="B1759" s="27" t="s">
        <v>344</v>
      </c>
      <c r="C1759" s="28" t="s">
        <v>100</v>
      </c>
      <c r="D1759" s="27" t="s">
        <v>3238</v>
      </c>
      <c r="E1759" s="27"/>
      <c r="F1759" s="29" t="s">
        <v>3370</v>
      </c>
      <c r="G1759" s="30" t="n">
        <v>75015</v>
      </c>
      <c r="H1759" s="31" t="s">
        <v>36</v>
      </c>
      <c r="I1759" s="32"/>
      <c r="J1759" s="33" t="n">
        <v>400</v>
      </c>
      <c r="K1759" s="33"/>
      <c r="L1759" s="34"/>
      <c r="M1759" s="35"/>
      <c r="N1759" s="36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9"/>
      <c r="Z1759" s="39"/>
      <c r="AA1759" s="28"/>
      <c r="AMJ1759" s="0"/>
    </row>
    <row r="1760" s="2" customFormat="true" ht="12.75" hidden="false" customHeight="true" outlineLevel="0" collapsed="false">
      <c r="A1760" s="27" t="s">
        <v>3372</v>
      </c>
      <c r="B1760" s="27" t="s">
        <v>1949</v>
      </c>
      <c r="C1760" s="28" t="s">
        <v>41</v>
      </c>
      <c r="D1760" s="27" t="s">
        <v>3238</v>
      </c>
      <c r="E1760" s="27"/>
      <c r="F1760" s="29" t="s">
        <v>3373</v>
      </c>
      <c r="G1760" s="30" t="n">
        <v>75015</v>
      </c>
      <c r="H1760" s="31" t="s">
        <v>36</v>
      </c>
      <c r="I1760" s="32" t="n">
        <v>156361498</v>
      </c>
      <c r="J1760" s="33" t="n">
        <v>254</v>
      </c>
      <c r="K1760" s="33" t="n">
        <v>1</v>
      </c>
      <c r="L1760" s="34"/>
      <c r="M1760" s="35"/>
      <c r="N1760" s="36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9"/>
      <c r="Z1760" s="39"/>
      <c r="AA1760" s="28"/>
      <c r="AMJ1760" s="0"/>
    </row>
    <row r="1761" s="2" customFormat="true" ht="12.75" hidden="false" customHeight="true" outlineLevel="0" collapsed="false">
      <c r="A1761" s="27" t="s">
        <v>3374</v>
      </c>
      <c r="B1761" s="27" t="s">
        <v>428</v>
      </c>
      <c r="C1761" s="28" t="s">
        <v>33</v>
      </c>
      <c r="D1761" s="27" t="s">
        <v>3238</v>
      </c>
      <c r="E1761" s="27"/>
      <c r="F1761" s="29" t="s">
        <v>3375</v>
      </c>
      <c r="G1761" s="30" t="n">
        <v>75015</v>
      </c>
      <c r="H1761" s="31" t="s">
        <v>36</v>
      </c>
      <c r="I1761" s="32" t="n">
        <v>148286676</v>
      </c>
      <c r="J1761" s="33" t="n">
        <v>52</v>
      </c>
      <c r="K1761" s="33" t="n">
        <v>0</v>
      </c>
      <c r="L1761" s="34"/>
      <c r="M1761" s="35"/>
      <c r="N1761" s="36"/>
      <c r="O1761" s="37"/>
      <c r="P1761" s="37"/>
      <c r="Q1761" s="37"/>
      <c r="R1761" s="37"/>
      <c r="S1761" s="37"/>
      <c r="T1761" s="37"/>
      <c r="U1761" s="37"/>
      <c r="V1761" s="37"/>
      <c r="W1761" s="37"/>
      <c r="X1761" s="37"/>
      <c r="Y1761" s="39"/>
      <c r="Z1761" s="39"/>
      <c r="AA1761" s="28"/>
      <c r="AC1761" s="2" t="s">
        <v>38</v>
      </c>
      <c r="AMJ1761" s="0"/>
    </row>
    <row r="1762" s="2" customFormat="true" ht="12.75" hidden="false" customHeight="true" outlineLevel="0" collapsed="false">
      <c r="A1762" s="27" t="s">
        <v>3376</v>
      </c>
      <c r="B1762" s="27" t="s">
        <v>329</v>
      </c>
      <c r="C1762" s="28" t="s">
        <v>41</v>
      </c>
      <c r="D1762" s="27" t="s">
        <v>3238</v>
      </c>
      <c r="E1762" s="27"/>
      <c r="F1762" s="29" t="s">
        <v>3377</v>
      </c>
      <c r="G1762" s="30" t="n">
        <v>75015</v>
      </c>
      <c r="H1762" s="31" t="s">
        <v>36</v>
      </c>
      <c r="I1762" s="32" t="n">
        <v>130158922</v>
      </c>
      <c r="J1762" s="33" t="n">
        <v>359</v>
      </c>
      <c r="K1762" s="33" t="n">
        <v>1</v>
      </c>
      <c r="L1762" s="34"/>
      <c r="M1762" s="35"/>
      <c r="N1762" s="36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9"/>
      <c r="Z1762" s="39"/>
      <c r="AA1762" s="28"/>
      <c r="AMJ1762" s="0"/>
    </row>
    <row r="1763" s="2" customFormat="true" ht="12.75" hidden="false" customHeight="true" outlineLevel="0" collapsed="false">
      <c r="A1763" s="27" t="s">
        <v>3378</v>
      </c>
      <c r="B1763" s="27" t="s">
        <v>532</v>
      </c>
      <c r="C1763" s="28" t="s">
        <v>41</v>
      </c>
      <c r="D1763" s="27" t="s">
        <v>3238</v>
      </c>
      <c r="E1763" s="27"/>
      <c r="F1763" s="29" t="s">
        <v>3377</v>
      </c>
      <c r="G1763" s="30" t="n">
        <v>75015</v>
      </c>
      <c r="H1763" s="31" t="s">
        <v>36</v>
      </c>
      <c r="I1763" s="32" t="n">
        <v>130158922</v>
      </c>
      <c r="J1763" s="33" t="n">
        <v>293</v>
      </c>
      <c r="K1763" s="33" t="n">
        <v>1</v>
      </c>
      <c r="L1763" s="34"/>
      <c r="M1763" s="35"/>
      <c r="N1763" s="36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9"/>
      <c r="Z1763" s="39"/>
      <c r="AA1763" s="28"/>
      <c r="AMJ1763" s="0"/>
    </row>
    <row r="1764" s="2" customFormat="true" ht="12.75" hidden="false" customHeight="true" outlineLevel="0" collapsed="false">
      <c r="A1764" s="27" t="s">
        <v>3379</v>
      </c>
      <c r="B1764" s="27" t="s">
        <v>1110</v>
      </c>
      <c r="C1764" s="28" t="s">
        <v>41</v>
      </c>
      <c r="D1764" s="27" t="s">
        <v>3238</v>
      </c>
      <c r="E1764" s="27"/>
      <c r="F1764" s="29" t="s">
        <v>3377</v>
      </c>
      <c r="G1764" s="30" t="n">
        <v>75015</v>
      </c>
      <c r="H1764" s="31" t="s">
        <v>36</v>
      </c>
      <c r="I1764" s="32" t="n">
        <v>130158922</v>
      </c>
      <c r="J1764" s="33" t="n">
        <v>69</v>
      </c>
      <c r="K1764" s="33" t="n">
        <v>3</v>
      </c>
      <c r="L1764" s="34"/>
      <c r="M1764" s="35"/>
      <c r="N1764" s="36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9"/>
      <c r="Z1764" s="39"/>
      <c r="AA1764" s="28"/>
      <c r="AMJ1764" s="0"/>
    </row>
    <row r="1765" s="2" customFormat="true" ht="12.75" hidden="false" customHeight="true" outlineLevel="0" collapsed="false">
      <c r="A1765" s="27" t="s">
        <v>3380</v>
      </c>
      <c r="B1765" s="27" t="s">
        <v>344</v>
      </c>
      <c r="C1765" s="28" t="s">
        <v>41</v>
      </c>
      <c r="D1765" s="27" t="s">
        <v>3238</v>
      </c>
      <c r="E1765" s="27"/>
      <c r="F1765" s="29" t="s">
        <v>3381</v>
      </c>
      <c r="G1765" s="30" t="n">
        <v>75015</v>
      </c>
      <c r="H1765" s="31" t="s">
        <v>36</v>
      </c>
      <c r="I1765" s="32" t="n">
        <v>153681690</v>
      </c>
      <c r="J1765" s="33" t="n">
        <v>149</v>
      </c>
      <c r="K1765" s="33" t="n">
        <v>0</v>
      </c>
      <c r="L1765" s="34"/>
      <c r="M1765" s="35"/>
      <c r="N1765" s="36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9"/>
      <c r="Z1765" s="39"/>
      <c r="AA1765" s="28"/>
      <c r="AMJ1765" s="0"/>
    </row>
    <row r="1766" s="2" customFormat="true" ht="12.75" hidden="false" customHeight="true" outlineLevel="0" collapsed="false">
      <c r="A1766" s="27" t="s">
        <v>3382</v>
      </c>
      <c r="B1766" s="27" t="s">
        <v>598</v>
      </c>
      <c r="C1766" s="28" t="s">
        <v>178</v>
      </c>
      <c r="D1766" s="27" t="s">
        <v>3238</v>
      </c>
      <c r="E1766" s="27"/>
      <c r="F1766" s="29" t="s">
        <v>3383</v>
      </c>
      <c r="G1766" s="30" t="n">
        <v>75015</v>
      </c>
      <c r="H1766" s="31" t="s">
        <v>36</v>
      </c>
      <c r="I1766" s="32"/>
      <c r="J1766" s="33" t="n">
        <v>120</v>
      </c>
      <c r="K1766" s="33" t="n">
        <v>1</v>
      </c>
      <c r="L1766" s="34"/>
      <c r="M1766" s="35"/>
      <c r="N1766" s="36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9"/>
      <c r="Z1766" s="39"/>
      <c r="AA1766" s="28"/>
      <c r="AMJ1766" s="0"/>
    </row>
    <row r="1767" s="2" customFormat="true" ht="12.75" hidden="false" customHeight="true" outlineLevel="0" collapsed="false">
      <c r="A1767" s="27" t="s">
        <v>3384</v>
      </c>
      <c r="B1767" s="27" t="s">
        <v>3385</v>
      </c>
      <c r="C1767" s="28" t="s">
        <v>41</v>
      </c>
      <c r="D1767" s="27" t="s">
        <v>3238</v>
      </c>
      <c r="E1767" s="27"/>
      <c r="F1767" s="29" t="s">
        <v>3383</v>
      </c>
      <c r="G1767" s="30" t="n">
        <v>75015</v>
      </c>
      <c r="H1767" s="31" t="s">
        <v>36</v>
      </c>
      <c r="I1767" s="32" t="n">
        <v>144195355</v>
      </c>
      <c r="J1767" s="33" t="n">
        <v>400</v>
      </c>
      <c r="K1767" s="33" t="n">
        <v>3</v>
      </c>
      <c r="L1767" s="34"/>
      <c r="M1767" s="35"/>
      <c r="N1767" s="36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9"/>
      <c r="Z1767" s="39"/>
      <c r="AA1767" s="28"/>
      <c r="AMJ1767" s="0"/>
    </row>
    <row r="1768" s="2" customFormat="true" ht="12.75" hidden="false" customHeight="true" outlineLevel="0" collapsed="false">
      <c r="A1768" s="27" t="s">
        <v>3386</v>
      </c>
      <c r="B1768" s="27" t="s">
        <v>1760</v>
      </c>
      <c r="C1768" s="28" t="s">
        <v>41</v>
      </c>
      <c r="D1768" s="27" t="s">
        <v>3238</v>
      </c>
      <c r="E1768" s="27"/>
      <c r="F1768" s="29" t="s">
        <v>3383</v>
      </c>
      <c r="G1768" s="30" t="n">
        <v>75015</v>
      </c>
      <c r="H1768" s="31" t="s">
        <v>36</v>
      </c>
      <c r="I1768" s="32"/>
      <c r="J1768" s="33" t="n">
        <v>356</v>
      </c>
      <c r="K1768" s="33" t="n">
        <v>1</v>
      </c>
      <c r="L1768" s="34"/>
      <c r="M1768" s="35"/>
      <c r="N1768" s="36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9"/>
      <c r="Z1768" s="39"/>
      <c r="AA1768" s="28"/>
      <c r="AMJ1768" s="0"/>
    </row>
    <row r="1769" s="2" customFormat="true" ht="12.75" hidden="false" customHeight="true" outlineLevel="0" collapsed="false">
      <c r="A1769" s="27" t="s">
        <v>468</v>
      </c>
      <c r="B1769" s="27" t="s">
        <v>3387</v>
      </c>
      <c r="C1769" s="28" t="s">
        <v>41</v>
      </c>
      <c r="D1769" s="27" t="s">
        <v>3238</v>
      </c>
      <c r="E1769" s="27"/>
      <c r="F1769" s="29" t="s">
        <v>3383</v>
      </c>
      <c r="G1769" s="30" t="n">
        <v>75015</v>
      </c>
      <c r="H1769" s="31" t="s">
        <v>36</v>
      </c>
      <c r="I1769" s="32"/>
      <c r="J1769" s="33" t="n">
        <v>223</v>
      </c>
      <c r="K1769" s="33" t="n">
        <v>1</v>
      </c>
      <c r="L1769" s="34"/>
      <c r="M1769" s="35"/>
      <c r="N1769" s="36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/>
      <c r="Y1769" s="39"/>
      <c r="Z1769" s="39"/>
      <c r="AA1769" s="28"/>
      <c r="AMJ1769" s="0"/>
    </row>
    <row r="1770" s="2" customFormat="true" ht="12.75" hidden="false" customHeight="true" outlineLevel="0" collapsed="false">
      <c r="A1770" s="27" t="s">
        <v>3388</v>
      </c>
      <c r="B1770" s="27" t="s">
        <v>425</v>
      </c>
      <c r="C1770" s="28" t="s">
        <v>138</v>
      </c>
      <c r="D1770" s="27" t="s">
        <v>3238</v>
      </c>
      <c r="E1770" s="27"/>
      <c r="F1770" s="29" t="s">
        <v>3389</v>
      </c>
      <c r="G1770" s="30" t="n">
        <v>75015</v>
      </c>
      <c r="H1770" s="31" t="s">
        <v>36</v>
      </c>
      <c r="I1770" s="32"/>
      <c r="J1770" s="33" t="n">
        <v>102</v>
      </c>
      <c r="K1770" s="33" t="n">
        <v>1</v>
      </c>
      <c r="L1770" s="34"/>
      <c r="M1770" s="35"/>
      <c r="N1770" s="36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9"/>
      <c r="Z1770" s="39"/>
      <c r="AA1770" s="28"/>
      <c r="AMJ1770" s="0"/>
    </row>
    <row r="1771" s="2" customFormat="true" ht="12.75" hidden="false" customHeight="true" outlineLevel="0" collapsed="false">
      <c r="A1771" s="27" t="s">
        <v>3390</v>
      </c>
      <c r="B1771" s="27" t="s">
        <v>1529</v>
      </c>
      <c r="C1771" s="28" t="s">
        <v>77</v>
      </c>
      <c r="D1771" s="27" t="s">
        <v>3238</v>
      </c>
      <c r="E1771" s="27"/>
      <c r="F1771" s="29" t="s">
        <v>3389</v>
      </c>
      <c r="G1771" s="30" t="n">
        <v>75015</v>
      </c>
      <c r="H1771" s="31" t="s">
        <v>36</v>
      </c>
      <c r="I1771" s="32" t="n">
        <v>144195200</v>
      </c>
      <c r="J1771" s="33" t="n">
        <v>254</v>
      </c>
      <c r="K1771" s="33" t="n">
        <v>2</v>
      </c>
      <c r="L1771" s="34"/>
      <c r="M1771" s="35"/>
      <c r="N1771" s="36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9"/>
      <c r="Z1771" s="39"/>
      <c r="AA1771" s="28"/>
      <c r="AMJ1771" s="0"/>
    </row>
    <row r="1772" s="2" customFormat="true" ht="12.75" hidden="false" customHeight="true" outlineLevel="0" collapsed="false">
      <c r="A1772" s="27" t="s">
        <v>600</v>
      </c>
      <c r="B1772" s="27" t="s">
        <v>250</v>
      </c>
      <c r="C1772" s="28" t="s">
        <v>33</v>
      </c>
      <c r="D1772" s="27" t="s">
        <v>3238</v>
      </c>
      <c r="E1772" s="27"/>
      <c r="F1772" s="29" t="s">
        <v>3391</v>
      </c>
      <c r="G1772" s="30" t="n">
        <v>75015</v>
      </c>
      <c r="H1772" s="31" t="s">
        <v>36</v>
      </c>
      <c r="I1772" s="32" t="n">
        <v>145337071</v>
      </c>
      <c r="J1772" s="33" t="n">
        <v>52</v>
      </c>
      <c r="K1772" s="33" t="n">
        <v>1</v>
      </c>
      <c r="L1772" s="34"/>
      <c r="M1772" s="35"/>
      <c r="N1772" s="36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9"/>
      <c r="Z1772" s="39"/>
      <c r="AA1772" s="28"/>
      <c r="AC1772" s="2" t="s">
        <v>38</v>
      </c>
      <c r="AMJ1772" s="0"/>
    </row>
    <row r="1773" s="2" customFormat="true" ht="12.75" hidden="false" customHeight="true" outlineLevel="0" collapsed="false">
      <c r="A1773" s="27" t="s">
        <v>3392</v>
      </c>
      <c r="B1773" s="27" t="s">
        <v>3393</v>
      </c>
      <c r="C1773" s="28" t="s">
        <v>121</v>
      </c>
      <c r="D1773" s="27" t="s">
        <v>3238</v>
      </c>
      <c r="E1773" s="27"/>
      <c r="F1773" s="29" t="s">
        <v>3394</v>
      </c>
      <c r="G1773" s="30" t="n">
        <v>75015</v>
      </c>
      <c r="H1773" s="31" t="s">
        <v>36</v>
      </c>
      <c r="I1773" s="32" t="n">
        <v>142246241</v>
      </c>
      <c r="J1773" s="33" t="n">
        <v>85</v>
      </c>
      <c r="K1773" s="33" t="n">
        <v>2</v>
      </c>
      <c r="L1773" s="34"/>
      <c r="M1773" s="35"/>
      <c r="N1773" s="36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9"/>
      <c r="Z1773" s="39"/>
      <c r="AA1773" s="28"/>
      <c r="AMJ1773" s="0"/>
    </row>
    <row r="1774" s="2" customFormat="true" ht="12.75" hidden="false" customHeight="true" outlineLevel="0" collapsed="false">
      <c r="A1774" s="27" t="s">
        <v>3395</v>
      </c>
      <c r="B1774" s="27" t="s">
        <v>151</v>
      </c>
      <c r="C1774" s="28" t="s">
        <v>121</v>
      </c>
      <c r="D1774" s="27" t="s">
        <v>3238</v>
      </c>
      <c r="E1774" s="27"/>
      <c r="F1774" s="29" t="s">
        <v>3394</v>
      </c>
      <c r="G1774" s="30" t="n">
        <v>75015</v>
      </c>
      <c r="H1774" s="31" t="s">
        <v>36</v>
      </c>
      <c r="I1774" s="32"/>
      <c r="J1774" s="33" t="n">
        <v>69</v>
      </c>
      <c r="K1774" s="33" t="n">
        <v>1</v>
      </c>
      <c r="L1774" s="34"/>
      <c r="M1774" s="35"/>
      <c r="N1774" s="36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9"/>
      <c r="Z1774" s="39"/>
      <c r="AA1774" s="28"/>
      <c r="AMJ1774" s="0"/>
    </row>
    <row r="1775" s="2" customFormat="true" ht="12.75" hidden="false" customHeight="true" outlineLevel="0" collapsed="false">
      <c r="A1775" s="27" t="s">
        <v>3396</v>
      </c>
      <c r="B1775" s="27" t="s">
        <v>229</v>
      </c>
      <c r="C1775" s="28" t="s">
        <v>33</v>
      </c>
      <c r="D1775" s="27" t="s">
        <v>3238</v>
      </c>
      <c r="E1775" s="27"/>
      <c r="F1775" s="29" t="s">
        <v>3397</v>
      </c>
      <c r="G1775" s="30" t="n">
        <v>75015</v>
      </c>
      <c r="H1775" s="31" t="s">
        <v>36</v>
      </c>
      <c r="I1775" s="32" t="n">
        <v>147837931</v>
      </c>
      <c r="J1775" s="33" t="n">
        <v>51</v>
      </c>
      <c r="K1775" s="33" t="n">
        <v>0</v>
      </c>
      <c r="L1775" s="34"/>
      <c r="M1775" s="35"/>
      <c r="N1775" s="36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9"/>
      <c r="Z1775" s="39"/>
      <c r="AA1775" s="28"/>
      <c r="AC1775" s="2" t="s">
        <v>38</v>
      </c>
      <c r="AMJ1775" s="0"/>
    </row>
    <row r="1776" s="2" customFormat="true" ht="12.75" hidden="false" customHeight="true" outlineLevel="0" collapsed="false">
      <c r="A1776" s="27" t="s">
        <v>3398</v>
      </c>
      <c r="B1776" s="27" t="s">
        <v>1094</v>
      </c>
      <c r="C1776" s="28" t="s">
        <v>41</v>
      </c>
      <c r="D1776" s="27" t="s">
        <v>3238</v>
      </c>
      <c r="E1776" s="27"/>
      <c r="F1776" s="29" t="s">
        <v>3399</v>
      </c>
      <c r="G1776" s="30" t="n">
        <v>75015</v>
      </c>
      <c r="H1776" s="31" t="s">
        <v>36</v>
      </c>
      <c r="I1776" s="32"/>
      <c r="J1776" s="33" t="n">
        <v>304</v>
      </c>
      <c r="K1776" s="33" t="n">
        <v>1</v>
      </c>
      <c r="L1776" s="34"/>
      <c r="M1776" s="35"/>
      <c r="N1776" s="36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9"/>
      <c r="Z1776" s="39"/>
      <c r="AA1776" s="28"/>
      <c r="AMJ1776" s="0"/>
    </row>
    <row r="1777" s="2" customFormat="true" ht="12.75" hidden="false" customHeight="true" outlineLevel="0" collapsed="false">
      <c r="A1777" s="27" t="s">
        <v>3400</v>
      </c>
      <c r="B1777" s="27" t="s">
        <v>88</v>
      </c>
      <c r="C1777" s="28" t="s">
        <v>41</v>
      </c>
      <c r="D1777" s="27" t="s">
        <v>3401</v>
      </c>
      <c r="E1777" s="27"/>
      <c r="F1777" s="29" t="s">
        <v>3402</v>
      </c>
      <c r="G1777" s="30" t="n">
        <v>92300</v>
      </c>
      <c r="H1777" s="31" t="s">
        <v>3403</v>
      </c>
      <c r="I1777" s="32" t="n">
        <v>155633232</v>
      </c>
      <c r="J1777" s="33" t="n">
        <v>156</v>
      </c>
      <c r="K1777" s="33" t="n">
        <v>0</v>
      </c>
      <c r="L1777" s="34"/>
      <c r="M1777" s="35"/>
      <c r="N1777" s="36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9"/>
      <c r="Z1777" s="39"/>
      <c r="AA1777" s="28"/>
      <c r="AMJ1777" s="0"/>
    </row>
    <row r="1778" s="2" customFormat="true" ht="12.75" hidden="false" customHeight="true" outlineLevel="0" collapsed="false">
      <c r="A1778" s="27" t="s">
        <v>3404</v>
      </c>
      <c r="B1778" s="27" t="s">
        <v>151</v>
      </c>
      <c r="C1778" s="28" t="s">
        <v>41</v>
      </c>
      <c r="D1778" s="27" t="s">
        <v>3401</v>
      </c>
      <c r="E1778" s="27"/>
      <c r="F1778" s="29" t="s">
        <v>3402</v>
      </c>
      <c r="G1778" s="30" t="n">
        <v>92300</v>
      </c>
      <c r="H1778" s="31" t="s">
        <v>3403</v>
      </c>
      <c r="I1778" s="32" t="n">
        <v>155633232</v>
      </c>
      <c r="J1778" s="33" t="n">
        <v>156</v>
      </c>
      <c r="K1778" s="33"/>
      <c r="L1778" s="34"/>
      <c r="M1778" s="35"/>
      <c r="N1778" s="36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9"/>
      <c r="Z1778" s="39"/>
      <c r="AA1778" s="28"/>
      <c r="AMJ1778" s="0"/>
    </row>
    <row r="1779" s="2" customFormat="true" ht="12.75" hidden="false" customHeight="true" outlineLevel="0" collapsed="false">
      <c r="A1779" s="27" t="s">
        <v>3405</v>
      </c>
      <c r="B1779" s="27" t="s">
        <v>112</v>
      </c>
      <c r="C1779" s="28" t="s">
        <v>41</v>
      </c>
      <c r="D1779" s="27" t="s">
        <v>3401</v>
      </c>
      <c r="E1779" s="27"/>
      <c r="F1779" s="29" t="s">
        <v>3406</v>
      </c>
      <c r="G1779" s="30" t="n">
        <v>92300</v>
      </c>
      <c r="H1779" s="31" t="s">
        <v>3403</v>
      </c>
      <c r="I1779" s="32"/>
      <c r="J1779" s="33" t="n">
        <v>297</v>
      </c>
      <c r="K1779" s="33" t="n">
        <v>2</v>
      </c>
      <c r="L1779" s="34"/>
      <c r="M1779" s="35"/>
      <c r="N1779" s="36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9"/>
      <c r="Z1779" s="39"/>
      <c r="AA1779" s="28"/>
      <c r="AMJ1779" s="0"/>
    </row>
    <row r="1780" s="2" customFormat="true" ht="12.75" hidden="false" customHeight="true" outlineLevel="0" collapsed="false">
      <c r="A1780" s="27" t="s">
        <v>3407</v>
      </c>
      <c r="B1780" s="27" t="s">
        <v>250</v>
      </c>
      <c r="C1780" s="28" t="s">
        <v>41</v>
      </c>
      <c r="D1780" s="27" t="s">
        <v>3401</v>
      </c>
      <c r="E1780" s="27"/>
      <c r="F1780" s="29" t="s">
        <v>3406</v>
      </c>
      <c r="G1780" s="30" t="n">
        <v>92300</v>
      </c>
      <c r="H1780" s="31" t="s">
        <v>3403</v>
      </c>
      <c r="I1780" s="32"/>
      <c r="J1780" s="33" t="n">
        <v>295</v>
      </c>
      <c r="K1780" s="33" t="n">
        <v>2</v>
      </c>
      <c r="L1780" s="34"/>
      <c r="M1780" s="35"/>
      <c r="N1780" s="36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9"/>
      <c r="Z1780" s="39"/>
      <c r="AA1780" s="28"/>
      <c r="AMJ1780" s="0"/>
    </row>
    <row r="1781" s="2" customFormat="true" ht="12.75" hidden="false" customHeight="true" outlineLevel="0" collapsed="false">
      <c r="A1781" s="27" t="s">
        <v>3408</v>
      </c>
      <c r="B1781" s="27" t="s">
        <v>71</v>
      </c>
      <c r="C1781" s="28" t="s">
        <v>121</v>
      </c>
      <c r="D1781" s="27" t="s">
        <v>3401</v>
      </c>
      <c r="E1781" s="27"/>
      <c r="F1781" s="29" t="s">
        <v>3406</v>
      </c>
      <c r="G1781" s="30" t="n">
        <v>92300</v>
      </c>
      <c r="H1781" s="31" t="s">
        <v>3403</v>
      </c>
      <c r="I1781" s="32"/>
      <c r="J1781" s="33" t="n">
        <v>119</v>
      </c>
      <c r="K1781" s="33" t="n">
        <v>5</v>
      </c>
      <c r="L1781" s="34"/>
      <c r="M1781" s="35"/>
      <c r="N1781" s="36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9"/>
      <c r="Z1781" s="39"/>
      <c r="AA1781" s="28"/>
      <c r="AMJ1781" s="0"/>
    </row>
    <row r="1782" s="2" customFormat="true" ht="12.75" hidden="false" customHeight="true" outlineLevel="0" collapsed="false">
      <c r="A1782" s="27" t="s">
        <v>3409</v>
      </c>
      <c r="B1782" s="27" t="s">
        <v>3410</v>
      </c>
      <c r="C1782" s="28" t="s">
        <v>41</v>
      </c>
      <c r="D1782" s="27" t="s">
        <v>3401</v>
      </c>
      <c r="E1782" s="27"/>
      <c r="F1782" s="29" t="s">
        <v>3411</v>
      </c>
      <c r="G1782" s="30" t="n">
        <v>92300</v>
      </c>
      <c r="H1782" s="31" t="s">
        <v>3403</v>
      </c>
      <c r="I1782" s="32" t="n">
        <v>169484678</v>
      </c>
      <c r="J1782" s="33" t="n">
        <v>400</v>
      </c>
      <c r="K1782" s="33"/>
      <c r="L1782" s="34"/>
      <c r="M1782" s="35"/>
      <c r="N1782" s="36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9"/>
      <c r="Z1782" s="39"/>
      <c r="AA1782" s="28"/>
      <c r="AMJ1782" s="0"/>
    </row>
    <row r="1783" s="2" customFormat="true" ht="12.75" hidden="false" customHeight="true" outlineLevel="0" collapsed="false">
      <c r="A1783" s="27" t="s">
        <v>3412</v>
      </c>
      <c r="B1783" s="27" t="s">
        <v>210</v>
      </c>
      <c r="C1783" s="28" t="s">
        <v>41</v>
      </c>
      <c r="D1783" s="27" t="s">
        <v>3401</v>
      </c>
      <c r="E1783" s="27"/>
      <c r="F1783" s="29" t="s">
        <v>3413</v>
      </c>
      <c r="G1783" s="30" t="n">
        <v>92300</v>
      </c>
      <c r="H1783" s="31" t="s">
        <v>3403</v>
      </c>
      <c r="I1783" s="32" t="n">
        <v>147372280</v>
      </c>
      <c r="J1783" s="33" t="n">
        <v>398</v>
      </c>
      <c r="K1783" s="33" t="n">
        <v>1</v>
      </c>
      <c r="L1783" s="34"/>
      <c r="M1783" s="35"/>
      <c r="N1783" s="36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9"/>
      <c r="Z1783" s="39"/>
      <c r="AA1783" s="28"/>
      <c r="AMJ1783" s="0"/>
    </row>
    <row r="1784" s="2" customFormat="true" ht="12.75" hidden="false" customHeight="true" outlineLevel="0" collapsed="false">
      <c r="A1784" s="27" t="s">
        <v>3414</v>
      </c>
      <c r="B1784" s="27" t="s">
        <v>3415</v>
      </c>
      <c r="C1784" s="28" t="s">
        <v>41</v>
      </c>
      <c r="D1784" s="27" t="s">
        <v>3401</v>
      </c>
      <c r="E1784" s="27"/>
      <c r="F1784" s="29" t="s">
        <v>3413</v>
      </c>
      <c r="G1784" s="30" t="n">
        <v>92300</v>
      </c>
      <c r="H1784" s="31" t="s">
        <v>3403</v>
      </c>
      <c r="I1784" s="32" t="n">
        <v>147372280</v>
      </c>
      <c r="J1784" s="33" t="n">
        <v>0</v>
      </c>
      <c r="K1784" s="33" t="n">
        <v>4</v>
      </c>
      <c r="L1784" s="34"/>
      <c r="M1784" s="35"/>
      <c r="N1784" s="36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9"/>
      <c r="Z1784" s="39"/>
      <c r="AA1784" s="28"/>
      <c r="AMJ1784" s="0"/>
    </row>
    <row r="1785" s="2" customFormat="true" ht="12.75" hidden="false" customHeight="true" outlineLevel="0" collapsed="false">
      <c r="A1785" s="27" t="s">
        <v>3416</v>
      </c>
      <c r="B1785" s="27" t="s">
        <v>2049</v>
      </c>
      <c r="C1785" s="28" t="s">
        <v>41</v>
      </c>
      <c r="D1785" s="27" t="s">
        <v>3401</v>
      </c>
      <c r="E1785" s="27"/>
      <c r="F1785" s="29" t="s">
        <v>3417</v>
      </c>
      <c r="G1785" s="30" t="n">
        <v>92300</v>
      </c>
      <c r="H1785" s="31" t="s">
        <v>3403</v>
      </c>
      <c r="I1785" s="32" t="n">
        <v>155469999</v>
      </c>
      <c r="J1785" s="33" t="n">
        <v>286</v>
      </c>
      <c r="K1785" s="33" t="n">
        <v>1</v>
      </c>
      <c r="L1785" s="34"/>
      <c r="M1785" s="35"/>
      <c r="N1785" s="36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9"/>
      <c r="Z1785" s="39"/>
      <c r="AA1785" s="28"/>
      <c r="AMJ1785" s="0"/>
    </row>
    <row r="1786" s="2" customFormat="true" ht="12.75" hidden="false" customHeight="true" outlineLevel="0" collapsed="false">
      <c r="A1786" s="27" t="s">
        <v>3418</v>
      </c>
      <c r="B1786" s="27" t="s">
        <v>149</v>
      </c>
      <c r="C1786" s="28" t="s">
        <v>41</v>
      </c>
      <c r="D1786" s="27" t="s">
        <v>3401</v>
      </c>
      <c r="E1786" s="27"/>
      <c r="F1786" s="29" t="s">
        <v>3419</v>
      </c>
      <c r="G1786" s="30" t="n">
        <v>92300</v>
      </c>
      <c r="H1786" s="31" t="s">
        <v>3403</v>
      </c>
      <c r="I1786" s="32" t="n">
        <v>147393234</v>
      </c>
      <c r="J1786" s="33" t="n">
        <v>394</v>
      </c>
      <c r="K1786" s="33" t="n">
        <v>1</v>
      </c>
      <c r="L1786" s="34"/>
      <c r="M1786" s="35"/>
      <c r="N1786" s="36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9"/>
      <c r="Z1786" s="39"/>
      <c r="AA1786" s="28"/>
      <c r="AMJ1786" s="0"/>
    </row>
    <row r="1787" s="2" customFormat="true" ht="12.75" hidden="false" customHeight="true" outlineLevel="0" collapsed="false">
      <c r="A1787" s="27" t="s">
        <v>3420</v>
      </c>
      <c r="B1787" s="27" t="s">
        <v>669</v>
      </c>
      <c r="C1787" s="28" t="s">
        <v>178</v>
      </c>
      <c r="D1787" s="27" t="s">
        <v>3401</v>
      </c>
      <c r="E1787" s="27"/>
      <c r="F1787" s="29" t="s">
        <v>3421</v>
      </c>
      <c r="G1787" s="30" t="n">
        <v>92300</v>
      </c>
      <c r="H1787" s="31" t="s">
        <v>3403</v>
      </c>
      <c r="I1787" s="32" t="n">
        <v>155917500</v>
      </c>
      <c r="J1787" s="33"/>
      <c r="K1787" s="33"/>
      <c r="L1787" s="34"/>
      <c r="M1787" s="35"/>
      <c r="N1787" s="36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9"/>
      <c r="Z1787" s="39"/>
      <c r="AA1787" s="28"/>
      <c r="AMJ1787" s="0"/>
    </row>
    <row r="1788" s="2" customFormat="true" ht="12.75" hidden="false" customHeight="true" outlineLevel="0" collapsed="false">
      <c r="A1788" s="27" t="s">
        <v>3422</v>
      </c>
      <c r="B1788" s="27" t="s">
        <v>344</v>
      </c>
      <c r="C1788" s="28" t="s">
        <v>138</v>
      </c>
      <c r="D1788" s="27" t="s">
        <v>3401</v>
      </c>
      <c r="E1788" s="27"/>
      <c r="F1788" s="29" t="s">
        <v>3423</v>
      </c>
      <c r="G1788" s="30" t="n">
        <v>92300</v>
      </c>
      <c r="H1788" s="31" t="s">
        <v>3403</v>
      </c>
      <c r="I1788" s="32" t="n">
        <v>146170611</v>
      </c>
      <c r="J1788" s="33" t="n">
        <v>59</v>
      </c>
      <c r="K1788" s="33" t="n">
        <v>13</v>
      </c>
      <c r="L1788" s="34" t="n">
        <v>3</v>
      </c>
      <c r="M1788" s="35" t="s">
        <v>164</v>
      </c>
      <c r="N1788" s="36"/>
      <c r="O1788" s="41"/>
      <c r="P1788" s="41"/>
      <c r="Q1788" s="41"/>
      <c r="R1788" s="41"/>
      <c r="S1788" s="41"/>
      <c r="T1788" s="41"/>
      <c r="U1788" s="41"/>
      <c r="V1788" s="41"/>
      <c r="W1788" s="41"/>
      <c r="X1788" s="41"/>
      <c r="Y1788" s="39" t="n">
        <v>45198.4305555556</v>
      </c>
      <c r="Z1788" s="39"/>
      <c r="AA1788" s="28" t="n">
        <v>3</v>
      </c>
      <c r="AMJ1788" s="0"/>
    </row>
    <row r="1789" s="2" customFormat="true" ht="12.75" hidden="false" customHeight="true" outlineLevel="0" collapsed="false">
      <c r="A1789" s="27" t="s">
        <v>3424</v>
      </c>
      <c r="B1789" s="27" t="s">
        <v>356</v>
      </c>
      <c r="C1789" s="28" t="s">
        <v>208</v>
      </c>
      <c r="D1789" s="27" t="s">
        <v>3401</v>
      </c>
      <c r="E1789" s="27"/>
      <c r="F1789" s="29" t="s">
        <v>3423</v>
      </c>
      <c r="G1789" s="30" t="n">
        <v>92300</v>
      </c>
      <c r="H1789" s="31" t="s">
        <v>3403</v>
      </c>
      <c r="I1789" s="32" t="n">
        <v>146170611</v>
      </c>
      <c r="J1789" s="33" t="n">
        <v>156</v>
      </c>
      <c r="K1789" s="33" t="n">
        <v>9</v>
      </c>
      <c r="L1789" s="34" t="n">
        <v>2</v>
      </c>
      <c r="M1789" s="35" t="s">
        <v>164</v>
      </c>
      <c r="N1789" s="36"/>
      <c r="O1789" s="41"/>
      <c r="P1789" s="41"/>
      <c r="Q1789" s="41"/>
      <c r="R1789" s="41"/>
      <c r="S1789" s="41"/>
      <c r="T1789" s="41"/>
      <c r="U1789" s="41"/>
      <c r="V1789" s="41"/>
      <c r="W1789" s="41"/>
      <c r="X1789" s="41"/>
      <c r="Y1789" s="39"/>
      <c r="Z1789" s="39"/>
      <c r="AA1789" s="28" t="n">
        <v>3</v>
      </c>
      <c r="AMJ1789" s="0"/>
    </row>
    <row r="1790" s="2" customFormat="true" ht="12.75" hidden="false" customHeight="true" outlineLevel="0" collapsed="false">
      <c r="A1790" s="27" t="s">
        <v>3425</v>
      </c>
      <c r="B1790" s="27" t="s">
        <v>189</v>
      </c>
      <c r="C1790" s="28" t="s">
        <v>33</v>
      </c>
      <c r="D1790" s="27" t="s">
        <v>3401</v>
      </c>
      <c r="E1790" s="27"/>
      <c r="F1790" s="29" t="s">
        <v>3426</v>
      </c>
      <c r="G1790" s="30" t="n">
        <v>92300</v>
      </c>
      <c r="H1790" s="31" t="s">
        <v>3403</v>
      </c>
      <c r="I1790" s="32" t="n">
        <v>147393885</v>
      </c>
      <c r="J1790" s="33" t="n">
        <v>111</v>
      </c>
      <c r="K1790" s="33" t="n">
        <v>1</v>
      </c>
      <c r="L1790" s="34"/>
      <c r="M1790" s="35"/>
      <c r="N1790" s="36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9"/>
      <c r="Z1790" s="39"/>
      <c r="AA1790" s="28"/>
      <c r="AC1790" s="2" t="s">
        <v>1478</v>
      </c>
      <c r="AMJ1790" s="0"/>
    </row>
    <row r="1791" s="2" customFormat="true" ht="12.75" hidden="false" customHeight="true" outlineLevel="0" collapsed="false">
      <c r="A1791" s="27" t="s">
        <v>3427</v>
      </c>
      <c r="B1791" s="27" t="s">
        <v>317</v>
      </c>
      <c r="C1791" s="28" t="s">
        <v>138</v>
      </c>
      <c r="D1791" s="27" t="s">
        <v>3401</v>
      </c>
      <c r="E1791" s="27"/>
      <c r="F1791" s="29" t="s">
        <v>3428</v>
      </c>
      <c r="G1791" s="30" t="n">
        <v>92300</v>
      </c>
      <c r="H1791" s="31" t="s">
        <v>3403</v>
      </c>
      <c r="I1791" s="32" t="n">
        <v>146392235</v>
      </c>
      <c r="J1791" s="33" t="n">
        <v>59</v>
      </c>
      <c r="K1791" s="33" t="n">
        <v>17</v>
      </c>
      <c r="L1791" s="34"/>
      <c r="M1791" s="35" t="s">
        <v>164</v>
      </c>
      <c r="N1791" s="36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9"/>
      <c r="Z1791" s="39"/>
      <c r="AA1791" s="28" t="n">
        <v>4</v>
      </c>
      <c r="AMJ1791" s="0"/>
    </row>
    <row r="1792" s="2" customFormat="true" ht="12.75" hidden="false" customHeight="true" outlineLevel="0" collapsed="false">
      <c r="A1792" s="27" t="s">
        <v>3429</v>
      </c>
      <c r="B1792" s="27" t="s">
        <v>3430</v>
      </c>
      <c r="C1792" s="28" t="s">
        <v>138</v>
      </c>
      <c r="D1792" s="27" t="s">
        <v>3401</v>
      </c>
      <c r="E1792" s="27"/>
      <c r="F1792" s="29" t="s">
        <v>3428</v>
      </c>
      <c r="G1792" s="30" t="n">
        <v>92300</v>
      </c>
      <c r="H1792" s="31" t="s">
        <v>3403</v>
      </c>
      <c r="I1792" s="32"/>
      <c r="J1792" s="33" t="n">
        <v>0</v>
      </c>
      <c r="K1792" s="33" t="n">
        <v>2</v>
      </c>
      <c r="L1792" s="34"/>
      <c r="M1792" s="35"/>
      <c r="N1792" s="36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9"/>
      <c r="Z1792" s="39"/>
      <c r="AA1792" s="28"/>
      <c r="AMJ1792" s="0"/>
    </row>
    <row r="1793" s="2" customFormat="true" ht="12.75" hidden="false" customHeight="true" outlineLevel="0" collapsed="false">
      <c r="A1793" s="27" t="s">
        <v>3431</v>
      </c>
      <c r="B1793" s="27" t="s">
        <v>217</v>
      </c>
      <c r="C1793" s="28" t="s">
        <v>138</v>
      </c>
      <c r="D1793" s="27" t="s">
        <v>3401</v>
      </c>
      <c r="E1793" s="27"/>
      <c r="F1793" s="29" t="s">
        <v>3432</v>
      </c>
      <c r="G1793" s="30" t="n">
        <v>92300</v>
      </c>
      <c r="H1793" s="31" t="s">
        <v>3403</v>
      </c>
      <c r="I1793" s="32" t="n">
        <v>147599989</v>
      </c>
      <c r="J1793" s="33" t="n">
        <v>105</v>
      </c>
      <c r="K1793" s="33" t="n">
        <v>6</v>
      </c>
      <c r="L1793" s="34"/>
      <c r="M1793" s="35"/>
      <c r="N1793" s="36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9"/>
      <c r="Z1793" s="39"/>
      <c r="AA1793" s="28"/>
      <c r="AMJ1793" s="0"/>
    </row>
    <row r="1794" s="2" customFormat="true" ht="12.75" hidden="false" customHeight="true" outlineLevel="0" collapsed="false">
      <c r="A1794" s="27" t="s">
        <v>3433</v>
      </c>
      <c r="B1794" s="27" t="s">
        <v>2841</v>
      </c>
      <c r="C1794" s="28" t="s">
        <v>41</v>
      </c>
      <c r="D1794" s="27" t="s">
        <v>3401</v>
      </c>
      <c r="E1794" s="27"/>
      <c r="F1794" s="29" t="s">
        <v>3434</v>
      </c>
      <c r="G1794" s="30" t="n">
        <v>92300</v>
      </c>
      <c r="H1794" s="31" t="s">
        <v>3403</v>
      </c>
      <c r="I1794" s="32" t="n">
        <v>147573591</v>
      </c>
      <c r="J1794" s="33" t="n">
        <v>150</v>
      </c>
      <c r="K1794" s="33" t="n">
        <v>5</v>
      </c>
      <c r="L1794" s="34"/>
      <c r="M1794" s="35"/>
      <c r="N1794" s="36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9"/>
      <c r="Z1794" s="39"/>
      <c r="AA1794" s="28"/>
      <c r="AMJ1794" s="0"/>
    </row>
    <row r="1795" s="2" customFormat="true" ht="12.75" hidden="false" customHeight="true" outlineLevel="0" collapsed="false">
      <c r="A1795" s="27" t="s">
        <v>3435</v>
      </c>
      <c r="B1795" s="27" t="s">
        <v>714</v>
      </c>
      <c r="C1795" s="28" t="s">
        <v>41</v>
      </c>
      <c r="D1795" s="27" t="s">
        <v>3401</v>
      </c>
      <c r="E1795" s="27"/>
      <c r="F1795" s="29" t="s">
        <v>3436</v>
      </c>
      <c r="G1795" s="30" t="n">
        <v>92300</v>
      </c>
      <c r="H1795" s="31" t="s">
        <v>3403</v>
      </c>
      <c r="I1795" s="32" t="n">
        <v>155639010</v>
      </c>
      <c r="J1795" s="33" t="n">
        <v>294</v>
      </c>
      <c r="K1795" s="33" t="n">
        <v>1</v>
      </c>
      <c r="L1795" s="34"/>
      <c r="M1795" s="35"/>
      <c r="N1795" s="36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9"/>
      <c r="Z1795" s="39"/>
      <c r="AA1795" s="28"/>
      <c r="AMJ1795" s="0"/>
    </row>
    <row r="1796" s="2" customFormat="true" ht="12.75" hidden="false" customHeight="true" outlineLevel="0" collapsed="false">
      <c r="A1796" s="31" t="s">
        <v>3437</v>
      </c>
      <c r="B1796" s="27" t="s">
        <v>850</v>
      </c>
      <c r="C1796" s="28" t="s">
        <v>41</v>
      </c>
      <c r="D1796" s="27" t="s">
        <v>3401</v>
      </c>
      <c r="E1796" s="27"/>
      <c r="F1796" s="29" t="s">
        <v>3438</v>
      </c>
      <c r="G1796" s="30" t="n">
        <v>92300</v>
      </c>
      <c r="H1796" s="31" t="s">
        <v>3403</v>
      </c>
      <c r="I1796" s="32" t="n">
        <v>147574191</v>
      </c>
      <c r="J1796" s="33" t="n">
        <v>258</v>
      </c>
      <c r="K1796" s="33" t="n">
        <v>13</v>
      </c>
      <c r="L1796" s="34"/>
      <c r="M1796" s="35" t="s">
        <v>164</v>
      </c>
      <c r="N1796" s="36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9"/>
      <c r="Z1796" s="39"/>
      <c r="AA1796" s="28"/>
      <c r="AMJ1796" s="0"/>
    </row>
    <row r="1797" s="2" customFormat="true" ht="12.75" hidden="false" customHeight="true" outlineLevel="0" collapsed="false">
      <c r="A1797" s="27" t="s">
        <v>3439</v>
      </c>
      <c r="B1797" s="27" t="s">
        <v>3440</v>
      </c>
      <c r="C1797" s="28" t="s">
        <v>121</v>
      </c>
      <c r="D1797" s="27" t="s">
        <v>3401</v>
      </c>
      <c r="E1797" s="27"/>
      <c r="F1797" s="29" t="s">
        <v>3441</v>
      </c>
      <c r="G1797" s="30" t="n">
        <v>92300</v>
      </c>
      <c r="H1797" s="31" t="s">
        <v>3403</v>
      </c>
      <c r="I1797" s="32" t="n">
        <v>146392235</v>
      </c>
      <c r="J1797" s="33" t="n">
        <v>115</v>
      </c>
      <c r="K1797" s="33" t="n">
        <v>9</v>
      </c>
      <c r="L1797" s="34"/>
      <c r="M1797" s="35"/>
      <c r="N1797" s="36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9"/>
      <c r="Z1797" s="39"/>
      <c r="AA1797" s="28" t="n">
        <v>3</v>
      </c>
      <c r="AMJ1797" s="0"/>
    </row>
    <row r="1798" s="2" customFormat="true" ht="12.75" hidden="false" customHeight="true" outlineLevel="0" collapsed="false">
      <c r="A1798" s="27" t="s">
        <v>3442</v>
      </c>
      <c r="B1798" s="27" t="s">
        <v>1121</v>
      </c>
      <c r="C1798" s="28" t="s">
        <v>41</v>
      </c>
      <c r="D1798" s="27" t="s">
        <v>3401</v>
      </c>
      <c r="E1798" s="27"/>
      <c r="F1798" s="29" t="s">
        <v>3443</v>
      </c>
      <c r="G1798" s="30" t="n">
        <v>92300</v>
      </c>
      <c r="H1798" s="31" t="s">
        <v>3403</v>
      </c>
      <c r="I1798" s="32" t="n">
        <v>146390643</v>
      </c>
      <c r="J1798" s="33" t="n">
        <v>330</v>
      </c>
      <c r="K1798" s="33" t="n">
        <v>1</v>
      </c>
      <c r="L1798" s="34"/>
      <c r="M1798" s="35"/>
      <c r="N1798" s="36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9"/>
      <c r="Z1798" s="39"/>
      <c r="AA1798" s="28"/>
      <c r="AMJ1798" s="0"/>
    </row>
    <row r="1799" s="2" customFormat="true" ht="12.75" hidden="false" customHeight="true" outlineLevel="0" collapsed="false">
      <c r="A1799" s="27" t="s">
        <v>3444</v>
      </c>
      <c r="B1799" s="27" t="s">
        <v>639</v>
      </c>
      <c r="C1799" s="28" t="s">
        <v>41</v>
      </c>
      <c r="D1799" s="27" t="s">
        <v>3401</v>
      </c>
      <c r="E1799" s="27"/>
      <c r="F1799" s="29" t="s">
        <v>3443</v>
      </c>
      <c r="G1799" s="30" t="n">
        <v>92300</v>
      </c>
      <c r="H1799" s="31" t="s">
        <v>3403</v>
      </c>
      <c r="I1799" s="32" t="n">
        <v>298590660</v>
      </c>
      <c r="J1799" s="33" t="n">
        <v>125</v>
      </c>
      <c r="K1799" s="33" t="n">
        <v>1</v>
      </c>
      <c r="L1799" s="34"/>
      <c r="M1799" s="35"/>
      <c r="N1799" s="36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9"/>
      <c r="Z1799" s="39"/>
      <c r="AA1799" s="28"/>
      <c r="AMJ1799" s="0"/>
    </row>
    <row r="1800" s="2" customFormat="true" ht="12.75" hidden="false" customHeight="true" outlineLevel="0" collapsed="false">
      <c r="A1800" s="27" t="s">
        <v>1214</v>
      </c>
      <c r="B1800" s="27" t="s">
        <v>889</v>
      </c>
      <c r="C1800" s="28" t="s">
        <v>208</v>
      </c>
      <c r="D1800" s="27" t="s">
        <v>3401</v>
      </c>
      <c r="E1800" s="27"/>
      <c r="F1800" s="29" t="s">
        <v>3445</v>
      </c>
      <c r="G1800" s="30" t="n">
        <v>92300</v>
      </c>
      <c r="H1800" s="31" t="s">
        <v>3403</v>
      </c>
      <c r="I1800" s="32" t="n">
        <v>176217565</v>
      </c>
      <c r="J1800" s="33" t="n">
        <v>266</v>
      </c>
      <c r="K1800" s="33" t="n">
        <v>16</v>
      </c>
      <c r="L1800" s="34" t="n">
        <v>3</v>
      </c>
      <c r="M1800" s="43" t="s">
        <v>155</v>
      </c>
      <c r="N1800" s="36"/>
      <c r="O1800" s="41"/>
      <c r="P1800" s="41"/>
      <c r="Q1800" s="41"/>
      <c r="R1800" s="41"/>
      <c r="S1800" s="41"/>
      <c r="T1800" s="41"/>
      <c r="U1800" s="41"/>
      <c r="V1800" s="41"/>
      <c r="W1800" s="41"/>
      <c r="X1800" s="41"/>
      <c r="Y1800" s="39" t="n">
        <v>45198.40625</v>
      </c>
      <c r="Z1800" s="39" t="n">
        <v>45222.65625</v>
      </c>
      <c r="AA1800" s="28" t="n">
        <v>4</v>
      </c>
      <c r="AMJ1800" s="0"/>
    </row>
    <row r="1801" s="2" customFormat="true" ht="12.75" hidden="false" customHeight="true" outlineLevel="0" collapsed="false">
      <c r="A1801" s="27" t="s">
        <v>3446</v>
      </c>
      <c r="B1801" s="27" t="s">
        <v>374</v>
      </c>
      <c r="C1801" s="28" t="s">
        <v>208</v>
      </c>
      <c r="D1801" s="27" t="s">
        <v>3401</v>
      </c>
      <c r="E1801" s="27"/>
      <c r="F1801" s="29" t="s">
        <v>3445</v>
      </c>
      <c r="G1801" s="30" t="n">
        <v>92300</v>
      </c>
      <c r="H1801" s="31" t="s">
        <v>3403</v>
      </c>
      <c r="I1801" s="32" t="n">
        <v>176217565</v>
      </c>
      <c r="J1801" s="33" t="n">
        <v>247</v>
      </c>
      <c r="K1801" s="33" t="n">
        <v>13</v>
      </c>
      <c r="L1801" s="34" t="n">
        <v>3</v>
      </c>
      <c r="M1801" s="35" t="s">
        <v>164</v>
      </c>
      <c r="N1801" s="36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39"/>
      <c r="Z1801" s="39"/>
      <c r="AA1801" s="28" t="n">
        <v>3</v>
      </c>
      <c r="AMJ1801" s="0"/>
    </row>
    <row r="1802" s="2" customFormat="true" ht="12.75" hidden="false" customHeight="true" outlineLevel="0" collapsed="false">
      <c r="A1802" s="27" t="s">
        <v>3447</v>
      </c>
      <c r="B1802" s="27" t="s">
        <v>962</v>
      </c>
      <c r="C1802" s="28" t="s">
        <v>121</v>
      </c>
      <c r="D1802" s="27" t="s">
        <v>3401</v>
      </c>
      <c r="E1802" s="27"/>
      <c r="F1802" s="29" t="s">
        <v>3448</v>
      </c>
      <c r="G1802" s="30" t="n">
        <v>92300</v>
      </c>
      <c r="H1802" s="31" t="s">
        <v>3403</v>
      </c>
      <c r="I1802" s="32" t="n">
        <v>147575813</v>
      </c>
      <c r="J1802" s="33" t="n">
        <v>184</v>
      </c>
      <c r="K1802" s="33" t="n">
        <v>5</v>
      </c>
      <c r="L1802" s="34" t="n">
        <v>2</v>
      </c>
      <c r="M1802" s="35" t="s">
        <v>164</v>
      </c>
      <c r="N1802" s="36"/>
      <c r="O1802" s="41"/>
      <c r="P1802" s="41"/>
      <c r="Q1802" s="41"/>
      <c r="R1802" s="41"/>
      <c r="S1802" s="41"/>
      <c r="T1802" s="41"/>
      <c r="U1802" s="41"/>
      <c r="V1802" s="41"/>
      <c r="W1802" s="41"/>
      <c r="X1802" s="41"/>
      <c r="Y1802" s="39"/>
      <c r="Z1802" s="39"/>
      <c r="AA1802" s="28" t="n">
        <v>3</v>
      </c>
      <c r="AMJ1802" s="0"/>
    </row>
    <row r="1803" s="2" customFormat="true" ht="12.75" hidden="false" customHeight="true" outlineLevel="0" collapsed="false">
      <c r="A1803" s="27" t="s">
        <v>3449</v>
      </c>
      <c r="B1803" s="27" t="s">
        <v>1733</v>
      </c>
      <c r="C1803" s="28" t="s">
        <v>41</v>
      </c>
      <c r="D1803" s="27" t="s">
        <v>3401</v>
      </c>
      <c r="E1803" s="27"/>
      <c r="F1803" s="29" t="s">
        <v>3450</v>
      </c>
      <c r="G1803" s="30" t="n">
        <v>92300</v>
      </c>
      <c r="H1803" s="31" t="s">
        <v>3403</v>
      </c>
      <c r="I1803" s="32" t="n">
        <v>146390909</v>
      </c>
      <c r="J1803" s="33" t="n">
        <v>0</v>
      </c>
      <c r="K1803" s="33" t="n">
        <v>1</v>
      </c>
      <c r="L1803" s="34"/>
      <c r="M1803" s="35"/>
      <c r="N1803" s="36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9"/>
      <c r="Z1803" s="39"/>
      <c r="AA1803" s="28"/>
      <c r="AMJ1803" s="0"/>
    </row>
    <row r="1804" s="2" customFormat="true" ht="12.75" hidden="false" customHeight="true" outlineLevel="0" collapsed="false">
      <c r="A1804" s="27" t="s">
        <v>3451</v>
      </c>
      <c r="B1804" s="27" t="s">
        <v>3452</v>
      </c>
      <c r="C1804" s="28" t="s">
        <v>208</v>
      </c>
      <c r="D1804" s="27" t="s">
        <v>3401</v>
      </c>
      <c r="E1804" s="27"/>
      <c r="F1804" s="29" t="s">
        <v>3450</v>
      </c>
      <c r="G1804" s="30" t="n">
        <v>92300</v>
      </c>
      <c r="H1804" s="31" t="s">
        <v>3403</v>
      </c>
      <c r="I1804" s="32" t="n">
        <v>146390909</v>
      </c>
      <c r="J1804" s="33" t="n">
        <v>224</v>
      </c>
      <c r="K1804" s="33" t="n">
        <v>21</v>
      </c>
      <c r="L1804" s="34" t="n">
        <v>2</v>
      </c>
      <c r="M1804" s="43" t="s">
        <v>155</v>
      </c>
      <c r="N1804" s="36"/>
      <c r="O1804" s="41"/>
      <c r="P1804" s="41"/>
      <c r="Q1804" s="41"/>
      <c r="R1804" s="41"/>
      <c r="S1804" s="41"/>
      <c r="T1804" s="41"/>
      <c r="U1804" s="41"/>
      <c r="V1804" s="41"/>
      <c r="W1804" s="41"/>
      <c r="X1804" s="41"/>
      <c r="Y1804" s="39" t="n">
        <v>45106.625</v>
      </c>
      <c r="Z1804" s="39" t="n">
        <v>45322.4166666667</v>
      </c>
      <c r="AA1804" s="28" t="n">
        <v>4</v>
      </c>
      <c r="AMJ1804" s="0"/>
    </row>
    <row r="1805" s="2" customFormat="true" ht="12.75" hidden="false" customHeight="true" outlineLevel="0" collapsed="false">
      <c r="A1805" s="27" t="s">
        <v>3453</v>
      </c>
      <c r="B1805" s="27" t="s">
        <v>2550</v>
      </c>
      <c r="C1805" s="28" t="s">
        <v>41</v>
      </c>
      <c r="D1805" s="27" t="s">
        <v>3401</v>
      </c>
      <c r="E1805" s="27"/>
      <c r="F1805" s="29" t="s">
        <v>3454</v>
      </c>
      <c r="G1805" s="30" t="n">
        <v>92300</v>
      </c>
      <c r="H1805" s="31" t="s">
        <v>3403</v>
      </c>
      <c r="I1805" s="32" t="n">
        <v>184007007</v>
      </c>
      <c r="J1805" s="33" t="n">
        <v>381</v>
      </c>
      <c r="K1805" s="33" t="n">
        <v>3</v>
      </c>
      <c r="L1805" s="34"/>
      <c r="M1805" s="35"/>
      <c r="N1805" s="36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9"/>
      <c r="Z1805" s="39"/>
      <c r="AA1805" s="28"/>
      <c r="AMJ1805" s="0"/>
    </row>
    <row r="1806" s="2" customFormat="true" ht="12.75" hidden="false" customHeight="true" outlineLevel="0" collapsed="false">
      <c r="A1806" s="27" t="s">
        <v>3455</v>
      </c>
      <c r="B1806" s="27" t="s">
        <v>3456</v>
      </c>
      <c r="C1806" s="28" t="s">
        <v>138</v>
      </c>
      <c r="D1806" s="27" t="s">
        <v>3401</v>
      </c>
      <c r="E1806" s="27" t="s">
        <v>3457</v>
      </c>
      <c r="F1806" s="29" t="s">
        <v>3458</v>
      </c>
      <c r="G1806" s="30" t="n">
        <v>92300</v>
      </c>
      <c r="H1806" s="31" t="s">
        <v>3403</v>
      </c>
      <c r="I1806" s="32" t="n">
        <v>134893002</v>
      </c>
      <c r="J1806" s="33" t="n">
        <v>143</v>
      </c>
      <c r="K1806" s="33" t="n">
        <v>9</v>
      </c>
      <c r="L1806" s="34" t="n">
        <v>1</v>
      </c>
      <c r="M1806" s="35" t="s">
        <v>164</v>
      </c>
      <c r="N1806" s="36"/>
      <c r="O1806" s="41"/>
      <c r="P1806" s="41"/>
      <c r="Q1806" s="41"/>
      <c r="R1806" s="41"/>
      <c r="S1806" s="41"/>
      <c r="T1806" s="41"/>
      <c r="U1806" s="41"/>
      <c r="V1806" s="41"/>
      <c r="W1806" s="41"/>
      <c r="X1806" s="41"/>
      <c r="Y1806" s="39" t="n">
        <v>45183.5972222222</v>
      </c>
      <c r="Z1806" s="39"/>
      <c r="AA1806" s="28" t="n">
        <v>3</v>
      </c>
      <c r="AMJ1806" s="0"/>
    </row>
    <row r="1807" s="2" customFormat="true" ht="12.75" hidden="false" customHeight="true" outlineLevel="0" collapsed="false">
      <c r="A1807" s="27" t="s">
        <v>3459</v>
      </c>
      <c r="B1807" s="27" t="s">
        <v>92</v>
      </c>
      <c r="C1807" s="28" t="s">
        <v>138</v>
      </c>
      <c r="D1807" s="27" t="s">
        <v>3401</v>
      </c>
      <c r="E1807" s="27" t="s">
        <v>3457</v>
      </c>
      <c r="F1807" s="29" t="s">
        <v>3458</v>
      </c>
      <c r="G1807" s="30" t="n">
        <v>92300</v>
      </c>
      <c r="H1807" s="31" t="s">
        <v>3403</v>
      </c>
      <c r="I1807" s="32" t="n">
        <v>146392235</v>
      </c>
      <c r="J1807" s="33" t="n">
        <v>105</v>
      </c>
      <c r="K1807" s="33" t="n">
        <v>9</v>
      </c>
      <c r="L1807" s="34"/>
      <c r="M1807" s="35"/>
      <c r="N1807" s="36"/>
      <c r="O1807" s="37"/>
      <c r="P1807" s="37"/>
      <c r="Q1807" s="37"/>
      <c r="R1807" s="37"/>
      <c r="S1807" s="37"/>
      <c r="T1807" s="37"/>
      <c r="U1807" s="37"/>
      <c r="V1807" s="37"/>
      <c r="W1807" s="37"/>
      <c r="X1807" s="37"/>
      <c r="Y1807" s="39"/>
      <c r="Z1807" s="39"/>
      <c r="AA1807" s="28"/>
      <c r="AMJ1807" s="0"/>
    </row>
    <row r="1808" s="2" customFormat="true" ht="12.75" hidden="false" customHeight="true" outlineLevel="0" collapsed="false">
      <c r="A1808" s="27" t="s">
        <v>3460</v>
      </c>
      <c r="B1808" s="27" t="s">
        <v>3461</v>
      </c>
      <c r="C1808" s="28" t="s">
        <v>138</v>
      </c>
      <c r="D1808" s="27" t="s">
        <v>3401</v>
      </c>
      <c r="E1808" s="27" t="s">
        <v>3457</v>
      </c>
      <c r="F1808" s="29" t="s">
        <v>3458</v>
      </c>
      <c r="G1808" s="30" t="n">
        <v>92300</v>
      </c>
      <c r="H1808" s="31" t="s">
        <v>3403</v>
      </c>
      <c r="I1808" s="32" t="n">
        <v>187446777</v>
      </c>
      <c r="J1808" s="33" t="n">
        <v>84</v>
      </c>
      <c r="K1808" s="33" t="n">
        <v>5</v>
      </c>
      <c r="L1808" s="34" t="n">
        <v>3</v>
      </c>
      <c r="M1808" s="35" t="s">
        <v>164</v>
      </c>
      <c r="N1808" s="36"/>
      <c r="O1808" s="41"/>
      <c r="P1808" s="41"/>
      <c r="Q1808" s="41"/>
      <c r="R1808" s="41"/>
      <c r="S1808" s="41"/>
      <c r="T1808" s="41"/>
      <c r="U1808" s="41"/>
      <c r="V1808" s="41"/>
      <c r="W1808" s="41"/>
      <c r="X1808" s="41"/>
      <c r="Y1808" s="39"/>
      <c r="Z1808" s="39"/>
      <c r="AA1808" s="28" t="n">
        <v>3</v>
      </c>
      <c r="AMJ1808" s="0"/>
    </row>
    <row r="1809" s="2" customFormat="true" ht="12.75" hidden="false" customHeight="true" outlineLevel="0" collapsed="false">
      <c r="A1809" s="27" t="s">
        <v>3462</v>
      </c>
      <c r="B1809" s="27" t="s">
        <v>1498</v>
      </c>
      <c r="C1809" s="28" t="s">
        <v>138</v>
      </c>
      <c r="D1809" s="27" t="s">
        <v>3401</v>
      </c>
      <c r="E1809" s="27" t="s">
        <v>3457</v>
      </c>
      <c r="F1809" s="29" t="s">
        <v>3458</v>
      </c>
      <c r="G1809" s="30" t="n">
        <v>92300</v>
      </c>
      <c r="H1809" s="31" t="s">
        <v>3403</v>
      </c>
      <c r="I1809" s="32" t="n">
        <v>146392235</v>
      </c>
      <c r="J1809" s="33" t="n">
        <v>65</v>
      </c>
      <c r="K1809" s="33" t="n">
        <v>3</v>
      </c>
      <c r="L1809" s="34" t="n">
        <v>1</v>
      </c>
      <c r="M1809" s="35" t="s">
        <v>164</v>
      </c>
      <c r="N1809" s="36"/>
      <c r="O1809" s="41"/>
      <c r="P1809" s="41"/>
      <c r="Q1809" s="41"/>
      <c r="R1809" s="41"/>
      <c r="S1809" s="41"/>
      <c r="T1809" s="41"/>
      <c r="U1809" s="41"/>
      <c r="V1809" s="41"/>
      <c r="W1809" s="41"/>
      <c r="X1809" s="41"/>
      <c r="Y1809" s="39"/>
      <c r="Z1809" s="39"/>
      <c r="AA1809" s="28" t="n">
        <v>3</v>
      </c>
      <c r="AMJ1809" s="0"/>
    </row>
    <row r="1810" s="2" customFormat="true" ht="12.75" hidden="false" customHeight="true" outlineLevel="0" collapsed="false">
      <c r="A1810" s="27" t="s">
        <v>3463</v>
      </c>
      <c r="B1810" s="27" t="s">
        <v>395</v>
      </c>
      <c r="C1810" s="28" t="s">
        <v>138</v>
      </c>
      <c r="D1810" s="27" t="s">
        <v>3401</v>
      </c>
      <c r="E1810" s="27" t="s">
        <v>3457</v>
      </c>
      <c r="F1810" s="29" t="s">
        <v>3458</v>
      </c>
      <c r="G1810" s="30" t="n">
        <v>92300</v>
      </c>
      <c r="H1810" s="31" t="s">
        <v>3403</v>
      </c>
      <c r="I1810" s="32" t="n">
        <v>146392235</v>
      </c>
      <c r="J1810" s="33" t="n">
        <v>59</v>
      </c>
      <c r="K1810" s="33" t="n">
        <v>1</v>
      </c>
      <c r="L1810" s="34"/>
      <c r="M1810" s="35"/>
      <c r="N1810" s="36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9"/>
      <c r="Z1810" s="39"/>
      <c r="AA1810" s="28"/>
      <c r="AMJ1810" s="0"/>
    </row>
    <row r="1811" s="2" customFormat="true" ht="12.75" hidden="false" customHeight="true" outlineLevel="0" collapsed="false">
      <c r="A1811" s="27" t="s">
        <v>3464</v>
      </c>
      <c r="B1811" s="27" t="s">
        <v>3465</v>
      </c>
      <c r="C1811" s="28" t="s">
        <v>138</v>
      </c>
      <c r="D1811" s="27" t="s">
        <v>3401</v>
      </c>
      <c r="E1811" s="27" t="s">
        <v>3457</v>
      </c>
      <c r="F1811" s="29" t="s">
        <v>3458</v>
      </c>
      <c r="G1811" s="30" t="n">
        <v>92300</v>
      </c>
      <c r="H1811" s="31" t="s">
        <v>3403</v>
      </c>
      <c r="I1811" s="32" t="n">
        <v>146392234</v>
      </c>
      <c r="J1811" s="33" t="n">
        <v>59</v>
      </c>
      <c r="K1811" s="33" t="n">
        <v>6</v>
      </c>
      <c r="L1811" s="34"/>
      <c r="M1811" s="35"/>
      <c r="N1811" s="36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9"/>
      <c r="Z1811" s="39"/>
      <c r="AA1811" s="28"/>
      <c r="AMJ1811" s="0"/>
    </row>
    <row r="1812" s="2" customFormat="true" ht="12.75" hidden="false" customHeight="true" outlineLevel="0" collapsed="false">
      <c r="A1812" s="27" t="s">
        <v>3466</v>
      </c>
      <c r="B1812" s="27" t="s">
        <v>490</v>
      </c>
      <c r="C1812" s="28" t="s">
        <v>138</v>
      </c>
      <c r="D1812" s="27" t="s">
        <v>3401</v>
      </c>
      <c r="E1812" s="27" t="s">
        <v>3457</v>
      </c>
      <c r="F1812" s="29" t="s">
        <v>3458</v>
      </c>
      <c r="G1812" s="30" t="n">
        <v>92300</v>
      </c>
      <c r="H1812" s="31" t="s">
        <v>3403</v>
      </c>
      <c r="I1812" s="32" t="n">
        <v>146392235</v>
      </c>
      <c r="J1812" s="33" t="n">
        <v>59</v>
      </c>
      <c r="K1812" s="33" t="n">
        <v>1</v>
      </c>
      <c r="L1812" s="34"/>
      <c r="M1812" s="35"/>
      <c r="N1812" s="36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9"/>
      <c r="Z1812" s="39"/>
      <c r="AA1812" s="28"/>
      <c r="AMJ1812" s="0"/>
    </row>
    <row r="1813" s="2" customFormat="true" ht="12.75" hidden="false" customHeight="true" outlineLevel="0" collapsed="false">
      <c r="A1813" s="27" t="s">
        <v>3467</v>
      </c>
      <c r="B1813" s="27" t="s">
        <v>2772</v>
      </c>
      <c r="C1813" s="28" t="s">
        <v>138</v>
      </c>
      <c r="D1813" s="27" t="s">
        <v>3401</v>
      </c>
      <c r="E1813" s="27" t="s">
        <v>3457</v>
      </c>
      <c r="F1813" s="29" t="s">
        <v>3458</v>
      </c>
      <c r="G1813" s="30" t="n">
        <v>92300</v>
      </c>
      <c r="H1813" s="31" t="s">
        <v>3403</v>
      </c>
      <c r="I1813" s="32" t="n">
        <v>147584060</v>
      </c>
      <c r="J1813" s="33" t="n">
        <v>59</v>
      </c>
      <c r="K1813" s="33" t="n">
        <v>5</v>
      </c>
      <c r="L1813" s="34" t="n">
        <v>1</v>
      </c>
      <c r="M1813" s="35" t="s">
        <v>164</v>
      </c>
      <c r="N1813" s="36"/>
      <c r="O1813" s="41"/>
      <c r="P1813" s="41"/>
      <c r="Q1813" s="41"/>
      <c r="R1813" s="41"/>
      <c r="S1813" s="41"/>
      <c r="T1813" s="41"/>
      <c r="U1813" s="41"/>
      <c r="V1813" s="41"/>
      <c r="W1813" s="41"/>
      <c r="X1813" s="41"/>
      <c r="Y1813" s="39"/>
      <c r="Z1813" s="39"/>
      <c r="AA1813" s="28" t="n">
        <v>3</v>
      </c>
      <c r="AMJ1813" s="0"/>
    </row>
    <row r="1814" s="2" customFormat="true" ht="12.75" hidden="false" customHeight="true" outlineLevel="0" collapsed="false">
      <c r="A1814" s="27" t="s">
        <v>3468</v>
      </c>
      <c r="B1814" s="27" t="s">
        <v>1211</v>
      </c>
      <c r="C1814" s="28" t="s">
        <v>138</v>
      </c>
      <c r="D1814" s="27" t="s">
        <v>3401</v>
      </c>
      <c r="E1814" s="27" t="s">
        <v>3457</v>
      </c>
      <c r="F1814" s="29" t="s">
        <v>3458</v>
      </c>
      <c r="G1814" s="30" t="n">
        <v>92300</v>
      </c>
      <c r="H1814" s="31" t="s">
        <v>3403</v>
      </c>
      <c r="I1814" s="32" t="n">
        <v>146392235</v>
      </c>
      <c r="J1814" s="33" t="n">
        <v>59</v>
      </c>
      <c r="K1814" s="33" t="n">
        <v>4</v>
      </c>
      <c r="L1814" s="34"/>
      <c r="M1814" s="35"/>
      <c r="N1814" s="36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9"/>
      <c r="Z1814" s="39"/>
      <c r="AA1814" s="28"/>
      <c r="AMJ1814" s="0"/>
    </row>
    <row r="1815" s="2" customFormat="true" ht="12.75" hidden="false" customHeight="true" outlineLevel="0" collapsed="false">
      <c r="A1815" s="27" t="s">
        <v>3469</v>
      </c>
      <c r="B1815" s="27" t="s">
        <v>782</v>
      </c>
      <c r="C1815" s="28" t="s">
        <v>138</v>
      </c>
      <c r="D1815" s="27" t="s">
        <v>3401</v>
      </c>
      <c r="E1815" s="27" t="s">
        <v>3457</v>
      </c>
      <c r="F1815" s="29" t="s">
        <v>3458</v>
      </c>
      <c r="G1815" s="30" t="n">
        <v>92300</v>
      </c>
      <c r="H1815" s="31" t="s">
        <v>3403</v>
      </c>
      <c r="I1815" s="32" t="n">
        <v>146392235</v>
      </c>
      <c r="J1815" s="33" t="n">
        <v>56</v>
      </c>
      <c r="K1815" s="33" t="n">
        <v>2</v>
      </c>
      <c r="L1815" s="34" t="n">
        <v>1</v>
      </c>
      <c r="M1815" s="35" t="s">
        <v>164</v>
      </c>
      <c r="N1815" s="36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39"/>
      <c r="Z1815" s="39"/>
      <c r="AA1815" s="28" t="n">
        <v>3</v>
      </c>
      <c r="AMJ1815" s="0"/>
    </row>
    <row r="1816" s="2" customFormat="true" ht="12.75" hidden="false" customHeight="true" outlineLevel="0" collapsed="false">
      <c r="A1816" s="27" t="s">
        <v>3470</v>
      </c>
      <c r="B1816" s="27" t="s">
        <v>3356</v>
      </c>
      <c r="C1816" s="28" t="s">
        <v>41</v>
      </c>
      <c r="D1816" s="27" t="s">
        <v>3401</v>
      </c>
      <c r="E1816" s="27" t="s">
        <v>3457</v>
      </c>
      <c r="F1816" s="29" t="s">
        <v>3458</v>
      </c>
      <c r="G1816" s="30" t="n">
        <v>92300</v>
      </c>
      <c r="H1816" s="31" t="s">
        <v>3403</v>
      </c>
      <c r="I1816" s="32"/>
      <c r="J1816" s="33" t="n">
        <v>161</v>
      </c>
      <c r="K1816" s="33" t="n">
        <v>7</v>
      </c>
      <c r="L1816" s="34" t="n">
        <v>1</v>
      </c>
      <c r="M1816" s="35" t="s">
        <v>164</v>
      </c>
      <c r="N1816" s="36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39"/>
      <c r="Z1816" s="39"/>
      <c r="AA1816" s="28"/>
      <c r="AMJ1816" s="0"/>
    </row>
    <row r="1817" s="2" customFormat="true" ht="12.75" hidden="false" customHeight="true" outlineLevel="0" collapsed="false">
      <c r="A1817" s="27" t="s">
        <v>3471</v>
      </c>
      <c r="B1817" s="27" t="s">
        <v>1841</v>
      </c>
      <c r="C1817" s="28" t="s">
        <v>41</v>
      </c>
      <c r="D1817" s="27" t="s">
        <v>3401</v>
      </c>
      <c r="E1817" s="27" t="s">
        <v>3457</v>
      </c>
      <c r="F1817" s="29" t="s">
        <v>3458</v>
      </c>
      <c r="G1817" s="30" t="n">
        <v>92300</v>
      </c>
      <c r="H1817" s="31" t="s">
        <v>3403</v>
      </c>
      <c r="I1817" s="32"/>
      <c r="J1817" s="33" t="n">
        <v>156</v>
      </c>
      <c r="K1817" s="33" t="n">
        <v>10</v>
      </c>
      <c r="L1817" s="34"/>
      <c r="M1817" s="35" t="s">
        <v>164</v>
      </c>
      <c r="N1817" s="36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9"/>
      <c r="Z1817" s="39"/>
      <c r="AA1817" s="28"/>
      <c r="AMJ1817" s="0"/>
    </row>
    <row r="1818" s="2" customFormat="true" ht="12.75" hidden="false" customHeight="true" outlineLevel="0" collapsed="false">
      <c r="A1818" s="27" t="s">
        <v>3472</v>
      </c>
      <c r="B1818" s="27" t="s">
        <v>3473</v>
      </c>
      <c r="C1818" s="28" t="s">
        <v>41</v>
      </c>
      <c r="D1818" s="27" t="s">
        <v>3401</v>
      </c>
      <c r="E1818" s="27" t="s">
        <v>3457</v>
      </c>
      <c r="F1818" s="29" t="s">
        <v>3458</v>
      </c>
      <c r="G1818" s="30" t="n">
        <v>92300</v>
      </c>
      <c r="H1818" s="31" t="s">
        <v>3403</v>
      </c>
      <c r="I1818" s="32" t="n">
        <v>146392234</v>
      </c>
      <c r="J1818" s="33" t="n">
        <v>156</v>
      </c>
      <c r="K1818" s="33" t="n">
        <v>5</v>
      </c>
      <c r="L1818" s="34"/>
      <c r="M1818" s="35"/>
      <c r="N1818" s="36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9"/>
      <c r="Z1818" s="39"/>
      <c r="AA1818" s="28"/>
      <c r="AMJ1818" s="0"/>
    </row>
    <row r="1819" s="2" customFormat="true" ht="12.75" hidden="false" customHeight="true" outlineLevel="0" collapsed="false">
      <c r="A1819" s="27" t="s">
        <v>3474</v>
      </c>
      <c r="B1819" s="27" t="s">
        <v>3475</v>
      </c>
      <c r="C1819" s="28" t="s">
        <v>41</v>
      </c>
      <c r="D1819" s="27" t="s">
        <v>3401</v>
      </c>
      <c r="E1819" s="27" t="s">
        <v>3457</v>
      </c>
      <c r="F1819" s="29" t="s">
        <v>3458</v>
      </c>
      <c r="G1819" s="30" t="n">
        <v>92300</v>
      </c>
      <c r="H1819" s="31" t="s">
        <v>3403</v>
      </c>
      <c r="I1819" s="32" t="n">
        <v>143883636</v>
      </c>
      <c r="J1819" s="33" t="n">
        <v>109</v>
      </c>
      <c r="K1819" s="33" t="n">
        <v>13</v>
      </c>
      <c r="L1819" s="34" t="n">
        <v>1</v>
      </c>
      <c r="M1819" s="35" t="s">
        <v>164</v>
      </c>
      <c r="N1819" s="36"/>
      <c r="O1819" s="41"/>
      <c r="P1819" s="41"/>
      <c r="Q1819" s="41"/>
      <c r="R1819" s="41"/>
      <c r="S1819" s="41"/>
      <c r="T1819" s="41"/>
      <c r="U1819" s="41"/>
      <c r="V1819" s="41"/>
      <c r="W1819" s="41"/>
      <c r="X1819" s="41"/>
      <c r="Y1819" s="39" t="n">
        <v>45183.40625</v>
      </c>
      <c r="Z1819" s="39"/>
      <c r="AA1819" s="28" t="n">
        <v>3</v>
      </c>
      <c r="AMJ1819" s="0"/>
    </row>
    <row r="1820" s="2" customFormat="true" ht="12.75" hidden="false" customHeight="true" outlineLevel="0" collapsed="false">
      <c r="A1820" s="27" t="s">
        <v>3476</v>
      </c>
      <c r="B1820" s="27" t="s">
        <v>1211</v>
      </c>
      <c r="C1820" s="28" t="s">
        <v>41</v>
      </c>
      <c r="D1820" s="27" t="s">
        <v>3401</v>
      </c>
      <c r="E1820" s="27" t="s">
        <v>3457</v>
      </c>
      <c r="F1820" s="29" t="s">
        <v>3458</v>
      </c>
      <c r="G1820" s="30" t="n">
        <v>92300</v>
      </c>
      <c r="H1820" s="31" t="s">
        <v>3403</v>
      </c>
      <c r="I1820" s="32" t="n">
        <v>146170611</v>
      </c>
      <c r="J1820" s="33" t="n">
        <v>0</v>
      </c>
      <c r="K1820" s="33" t="n">
        <v>6</v>
      </c>
      <c r="L1820" s="34"/>
      <c r="M1820" s="35"/>
      <c r="N1820" s="36"/>
      <c r="O1820" s="37"/>
      <c r="P1820" s="37"/>
      <c r="Q1820" s="37"/>
      <c r="R1820" s="37"/>
      <c r="S1820" s="37"/>
      <c r="T1820" s="37"/>
      <c r="U1820" s="37"/>
      <c r="V1820" s="37"/>
      <c r="W1820" s="37"/>
      <c r="X1820" s="37"/>
      <c r="Y1820" s="39"/>
      <c r="Z1820" s="39"/>
      <c r="AA1820" s="28"/>
      <c r="AMJ1820" s="0"/>
    </row>
    <row r="1821" s="2" customFormat="true" ht="12.75" hidden="false" customHeight="true" outlineLevel="0" collapsed="false">
      <c r="A1821" s="27" t="s">
        <v>2641</v>
      </c>
      <c r="B1821" s="27" t="s">
        <v>3477</v>
      </c>
      <c r="C1821" s="28" t="s">
        <v>208</v>
      </c>
      <c r="D1821" s="27" t="s">
        <v>3401</v>
      </c>
      <c r="E1821" s="27" t="s">
        <v>3457</v>
      </c>
      <c r="F1821" s="29" t="s">
        <v>3458</v>
      </c>
      <c r="G1821" s="30" t="n">
        <v>92300</v>
      </c>
      <c r="H1821" s="31" t="s">
        <v>3403</v>
      </c>
      <c r="I1821" s="32" t="n">
        <v>146392234</v>
      </c>
      <c r="J1821" s="33" t="n">
        <v>102</v>
      </c>
      <c r="K1821" s="33" t="n">
        <v>11</v>
      </c>
      <c r="L1821" s="34" t="n">
        <v>4</v>
      </c>
      <c r="M1821" s="35" t="s">
        <v>164</v>
      </c>
      <c r="N1821" s="36"/>
      <c r="O1821" s="41"/>
      <c r="P1821" s="41"/>
      <c r="Q1821" s="41"/>
      <c r="R1821" s="41"/>
      <c r="S1821" s="41"/>
      <c r="T1821" s="41"/>
      <c r="U1821" s="41"/>
      <c r="V1821" s="41"/>
      <c r="W1821" s="41"/>
      <c r="X1821" s="41"/>
      <c r="Y1821" s="39" t="n">
        <v>45183.4826388889</v>
      </c>
      <c r="Z1821" s="39"/>
      <c r="AA1821" s="28" t="n">
        <v>3</v>
      </c>
      <c r="AMJ1821" s="0"/>
    </row>
    <row r="1822" s="2" customFormat="true" ht="12.75" hidden="false" customHeight="true" outlineLevel="0" collapsed="false">
      <c r="A1822" s="27" t="s">
        <v>3478</v>
      </c>
      <c r="B1822" s="27" t="s">
        <v>332</v>
      </c>
      <c r="C1822" s="28" t="s">
        <v>121</v>
      </c>
      <c r="D1822" s="27" t="s">
        <v>3401</v>
      </c>
      <c r="E1822" s="27" t="s">
        <v>3457</v>
      </c>
      <c r="F1822" s="29" t="s">
        <v>3458</v>
      </c>
      <c r="G1822" s="30" t="n">
        <v>92300</v>
      </c>
      <c r="H1822" s="31" t="s">
        <v>3403</v>
      </c>
      <c r="I1822" s="32" t="n">
        <v>146392253</v>
      </c>
      <c r="J1822" s="33" t="n">
        <v>134</v>
      </c>
      <c r="K1822" s="33" t="n">
        <v>3</v>
      </c>
      <c r="L1822" s="34"/>
      <c r="M1822" s="35"/>
      <c r="N1822" s="36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9"/>
      <c r="Z1822" s="39"/>
      <c r="AA1822" s="28"/>
      <c r="AMJ1822" s="0"/>
    </row>
    <row r="1823" s="2" customFormat="true" ht="12.75" hidden="false" customHeight="true" outlineLevel="0" collapsed="false">
      <c r="A1823" s="27" t="s">
        <v>3479</v>
      </c>
      <c r="B1823" s="27" t="s">
        <v>962</v>
      </c>
      <c r="C1823" s="28" t="s">
        <v>121</v>
      </c>
      <c r="D1823" s="27" t="s">
        <v>3401</v>
      </c>
      <c r="E1823" s="27" t="s">
        <v>3457</v>
      </c>
      <c r="F1823" s="29" t="s">
        <v>3458</v>
      </c>
      <c r="G1823" s="30" t="n">
        <v>92300</v>
      </c>
      <c r="H1823" s="31" t="s">
        <v>3403</v>
      </c>
      <c r="I1823" s="32" t="n">
        <v>146392210</v>
      </c>
      <c r="J1823" s="33" t="n">
        <v>134</v>
      </c>
      <c r="K1823" s="33" t="n">
        <v>4</v>
      </c>
      <c r="L1823" s="34"/>
      <c r="M1823" s="35"/>
      <c r="N1823" s="36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9"/>
      <c r="Z1823" s="39"/>
      <c r="AA1823" s="28"/>
      <c r="AMJ1823" s="0"/>
    </row>
    <row r="1824" s="2" customFormat="true" ht="12.75" hidden="false" customHeight="true" outlineLevel="0" collapsed="false">
      <c r="A1824" s="27" t="s">
        <v>3480</v>
      </c>
      <c r="B1824" s="27" t="s">
        <v>44</v>
      </c>
      <c r="C1824" s="28" t="s">
        <v>121</v>
      </c>
      <c r="D1824" s="27" t="s">
        <v>3401</v>
      </c>
      <c r="E1824" s="27" t="s">
        <v>3457</v>
      </c>
      <c r="F1824" s="29" t="s">
        <v>3458</v>
      </c>
      <c r="G1824" s="30" t="n">
        <v>92300</v>
      </c>
      <c r="H1824" s="31" t="s">
        <v>3403</v>
      </c>
      <c r="I1824" s="32" t="n">
        <v>146392253</v>
      </c>
      <c r="J1824" s="33" t="n">
        <v>86</v>
      </c>
      <c r="K1824" s="33" t="n">
        <v>1</v>
      </c>
      <c r="L1824" s="34"/>
      <c r="M1824" s="35"/>
      <c r="N1824" s="36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9"/>
      <c r="Z1824" s="39"/>
      <c r="AA1824" s="28"/>
      <c r="AMJ1824" s="0"/>
    </row>
    <row r="1825" s="2" customFormat="true" ht="12.75" hidden="false" customHeight="true" outlineLevel="0" collapsed="false">
      <c r="A1825" s="27" t="s">
        <v>3481</v>
      </c>
      <c r="B1825" s="27" t="s">
        <v>3482</v>
      </c>
      <c r="C1825" s="28" t="s">
        <v>121</v>
      </c>
      <c r="D1825" s="27" t="s">
        <v>3401</v>
      </c>
      <c r="E1825" s="27" t="s">
        <v>3457</v>
      </c>
      <c r="F1825" s="29" t="s">
        <v>3458</v>
      </c>
      <c r="G1825" s="30" t="n">
        <v>92300</v>
      </c>
      <c r="H1825" s="31" t="s">
        <v>3403</v>
      </c>
      <c r="I1825" s="32" t="n">
        <v>146392235</v>
      </c>
      <c r="J1825" s="33" t="n">
        <v>80</v>
      </c>
      <c r="K1825" s="33" t="n">
        <v>7</v>
      </c>
      <c r="L1825" s="34"/>
      <c r="M1825" s="35"/>
      <c r="N1825" s="36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9"/>
      <c r="Z1825" s="39"/>
      <c r="AA1825" s="28"/>
      <c r="AMJ1825" s="0"/>
    </row>
    <row r="1826" s="2" customFormat="true" ht="12.75" hidden="false" customHeight="true" outlineLevel="0" collapsed="false">
      <c r="A1826" s="27" t="s">
        <v>3483</v>
      </c>
      <c r="B1826" s="27" t="s">
        <v>3484</v>
      </c>
      <c r="C1826" s="28" t="s">
        <v>121</v>
      </c>
      <c r="D1826" s="27" t="s">
        <v>3401</v>
      </c>
      <c r="E1826" s="27" t="s">
        <v>3457</v>
      </c>
      <c r="F1826" s="29" t="s">
        <v>3458</v>
      </c>
      <c r="G1826" s="30" t="n">
        <v>92300</v>
      </c>
      <c r="H1826" s="31" t="s">
        <v>3403</v>
      </c>
      <c r="I1826" s="32" t="n">
        <v>146392253</v>
      </c>
      <c r="J1826" s="33" t="n">
        <v>57</v>
      </c>
      <c r="K1826" s="33"/>
      <c r="L1826" s="34"/>
      <c r="M1826" s="35"/>
      <c r="N1826" s="36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9"/>
      <c r="Z1826" s="39"/>
      <c r="AA1826" s="28"/>
      <c r="AMJ1826" s="0"/>
    </row>
    <row r="1827" s="2" customFormat="true" ht="12.75" hidden="false" customHeight="true" outlineLevel="0" collapsed="false">
      <c r="A1827" s="27" t="s">
        <v>3485</v>
      </c>
      <c r="B1827" s="27" t="s">
        <v>94</v>
      </c>
      <c r="C1827" s="28" t="s">
        <v>100</v>
      </c>
      <c r="D1827" s="27" t="s">
        <v>3401</v>
      </c>
      <c r="E1827" s="27" t="s">
        <v>3457</v>
      </c>
      <c r="F1827" s="29" t="s">
        <v>3458</v>
      </c>
      <c r="G1827" s="30" t="n">
        <v>92300</v>
      </c>
      <c r="H1827" s="31" t="s">
        <v>3403</v>
      </c>
      <c r="I1827" s="32" t="n">
        <v>146392235</v>
      </c>
      <c r="J1827" s="33" t="n">
        <v>400</v>
      </c>
      <c r="K1827" s="33"/>
      <c r="L1827" s="34" t="n">
        <v>3</v>
      </c>
      <c r="M1827" s="35" t="s">
        <v>164</v>
      </c>
      <c r="N1827" s="36"/>
      <c r="O1827" s="41"/>
      <c r="P1827" s="41"/>
      <c r="Q1827" s="41"/>
      <c r="R1827" s="41"/>
      <c r="S1827" s="41"/>
      <c r="T1827" s="41"/>
      <c r="U1827" s="41"/>
      <c r="V1827" s="41"/>
      <c r="W1827" s="41"/>
      <c r="X1827" s="41"/>
      <c r="Y1827" s="39"/>
      <c r="Z1827" s="39"/>
      <c r="AA1827" s="28"/>
      <c r="AMJ1827" s="0"/>
    </row>
    <row r="1828" s="2" customFormat="true" ht="12.75" hidden="false" customHeight="true" outlineLevel="0" collapsed="false">
      <c r="A1828" s="27" t="s">
        <v>3486</v>
      </c>
      <c r="B1828" s="27" t="s">
        <v>1085</v>
      </c>
      <c r="C1828" s="28" t="s">
        <v>100</v>
      </c>
      <c r="D1828" s="27" t="s">
        <v>3401</v>
      </c>
      <c r="E1828" s="27" t="s">
        <v>3457</v>
      </c>
      <c r="F1828" s="29" t="s">
        <v>3458</v>
      </c>
      <c r="G1828" s="30" t="n">
        <v>92300</v>
      </c>
      <c r="H1828" s="31" t="s">
        <v>3403</v>
      </c>
      <c r="I1828" s="32" t="n">
        <v>146392235</v>
      </c>
      <c r="J1828" s="33" t="n">
        <v>0</v>
      </c>
      <c r="K1828" s="33"/>
      <c r="L1828" s="34" t="n">
        <v>1</v>
      </c>
      <c r="M1828" s="35" t="s">
        <v>164</v>
      </c>
      <c r="N1828" s="36"/>
      <c r="O1828" s="41"/>
      <c r="P1828" s="41"/>
      <c r="Q1828" s="41"/>
      <c r="R1828" s="41"/>
      <c r="S1828" s="41"/>
      <c r="T1828" s="41"/>
      <c r="U1828" s="41"/>
      <c r="V1828" s="41"/>
      <c r="W1828" s="41"/>
      <c r="X1828" s="41"/>
      <c r="Y1828" s="39"/>
      <c r="Z1828" s="39"/>
      <c r="AA1828" s="28"/>
      <c r="AMJ1828" s="0"/>
    </row>
    <row r="1829" s="2" customFormat="true" ht="12.75" hidden="false" customHeight="true" outlineLevel="0" collapsed="false">
      <c r="A1829" s="27" t="s">
        <v>3487</v>
      </c>
      <c r="B1829" s="27" t="s">
        <v>177</v>
      </c>
      <c r="C1829" s="28" t="s">
        <v>100</v>
      </c>
      <c r="D1829" s="27" t="s">
        <v>3401</v>
      </c>
      <c r="E1829" s="27" t="s">
        <v>3457</v>
      </c>
      <c r="F1829" s="29" t="s">
        <v>3458</v>
      </c>
      <c r="G1829" s="30" t="n">
        <v>92300</v>
      </c>
      <c r="H1829" s="31" t="s">
        <v>3403</v>
      </c>
      <c r="I1829" s="32" t="n">
        <v>146392235</v>
      </c>
      <c r="J1829" s="33"/>
      <c r="K1829" s="33"/>
      <c r="L1829" s="34" t="n">
        <v>2</v>
      </c>
      <c r="M1829" s="35" t="s">
        <v>164</v>
      </c>
      <c r="N1829" s="36"/>
      <c r="O1829" s="41"/>
      <c r="P1829" s="41"/>
      <c r="Q1829" s="41"/>
      <c r="R1829" s="41"/>
      <c r="S1829" s="41"/>
      <c r="T1829" s="41"/>
      <c r="U1829" s="41"/>
      <c r="V1829" s="41"/>
      <c r="W1829" s="41"/>
      <c r="X1829" s="41"/>
      <c r="Y1829" s="39"/>
      <c r="Z1829" s="39"/>
      <c r="AA1829" s="28"/>
      <c r="AMJ1829" s="0"/>
    </row>
    <row r="1830" s="2" customFormat="true" ht="12.75" hidden="false" customHeight="true" outlineLevel="0" collapsed="false">
      <c r="A1830" s="27" t="s">
        <v>3488</v>
      </c>
      <c r="B1830" s="27" t="s">
        <v>217</v>
      </c>
      <c r="C1830" s="28" t="s">
        <v>121</v>
      </c>
      <c r="D1830" s="27" t="s">
        <v>3401</v>
      </c>
      <c r="E1830" s="27"/>
      <c r="F1830" s="29" t="s">
        <v>3489</v>
      </c>
      <c r="G1830" s="30" t="n">
        <v>92300</v>
      </c>
      <c r="H1830" s="31" t="s">
        <v>3403</v>
      </c>
      <c r="I1830" s="32" t="n">
        <v>973055603</v>
      </c>
      <c r="J1830" s="33" t="n">
        <v>131</v>
      </c>
      <c r="K1830" s="33" t="n">
        <v>6</v>
      </c>
      <c r="L1830" s="34" t="n">
        <v>1</v>
      </c>
      <c r="M1830" s="35" t="s">
        <v>164</v>
      </c>
      <c r="N1830" s="36"/>
      <c r="O1830" s="41"/>
      <c r="P1830" s="41"/>
      <c r="Q1830" s="41"/>
      <c r="R1830" s="41"/>
      <c r="S1830" s="41"/>
      <c r="T1830" s="41"/>
      <c r="U1830" s="41"/>
      <c r="V1830" s="41"/>
      <c r="W1830" s="41"/>
      <c r="X1830" s="41"/>
      <c r="Y1830" s="39"/>
      <c r="Z1830" s="39"/>
      <c r="AA1830" s="28" t="n">
        <v>3</v>
      </c>
      <c r="AMJ1830" s="0"/>
    </row>
    <row r="1831" s="2" customFormat="true" ht="12.75" hidden="false" customHeight="true" outlineLevel="0" collapsed="false">
      <c r="A1831" s="27" t="s">
        <v>3490</v>
      </c>
      <c r="B1831" s="27" t="s">
        <v>3491</v>
      </c>
      <c r="C1831" s="28" t="s">
        <v>121</v>
      </c>
      <c r="D1831" s="27" t="s">
        <v>3401</v>
      </c>
      <c r="E1831" s="27"/>
      <c r="F1831" s="29" t="s">
        <v>3489</v>
      </c>
      <c r="G1831" s="30" t="n">
        <v>92300</v>
      </c>
      <c r="H1831" s="31" t="s">
        <v>3403</v>
      </c>
      <c r="I1831" s="32" t="n">
        <v>973055603</v>
      </c>
      <c r="J1831" s="33" t="n">
        <v>56</v>
      </c>
      <c r="K1831" s="33" t="n">
        <v>5</v>
      </c>
      <c r="L1831" s="34" t="n">
        <v>2</v>
      </c>
      <c r="M1831" s="35" t="s">
        <v>164</v>
      </c>
      <c r="N1831" s="36"/>
      <c r="O1831" s="41"/>
      <c r="P1831" s="41"/>
      <c r="Q1831" s="41"/>
      <c r="R1831" s="41"/>
      <c r="S1831" s="41"/>
      <c r="T1831" s="41"/>
      <c r="U1831" s="41"/>
      <c r="V1831" s="41"/>
      <c r="W1831" s="41"/>
      <c r="X1831" s="41"/>
      <c r="Y1831" s="39"/>
      <c r="Z1831" s="39"/>
      <c r="AA1831" s="28" t="n">
        <v>3</v>
      </c>
      <c r="AMJ1831" s="0"/>
    </row>
    <row r="1832" s="2" customFormat="true" ht="12.75" hidden="false" customHeight="true" outlineLevel="0" collapsed="false">
      <c r="A1832" s="27" t="s">
        <v>3492</v>
      </c>
      <c r="B1832" s="27" t="s">
        <v>273</v>
      </c>
      <c r="C1832" s="28" t="s">
        <v>41</v>
      </c>
      <c r="D1832" s="27" t="s">
        <v>3401</v>
      </c>
      <c r="E1832" s="27"/>
      <c r="F1832" s="29" t="s">
        <v>3493</v>
      </c>
      <c r="G1832" s="30" t="n">
        <v>92300</v>
      </c>
      <c r="H1832" s="31" t="s">
        <v>3403</v>
      </c>
      <c r="I1832" s="32" t="n">
        <v>983369295</v>
      </c>
      <c r="J1832" s="33" t="n">
        <v>322</v>
      </c>
      <c r="K1832" s="33" t="n">
        <v>1</v>
      </c>
      <c r="L1832" s="34"/>
      <c r="M1832" s="35"/>
      <c r="N1832" s="36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9"/>
      <c r="Z1832" s="39"/>
      <c r="AA1832" s="28"/>
      <c r="AMJ1832" s="0"/>
    </row>
    <row r="1833" s="2" customFormat="true" ht="12.75" hidden="false" customHeight="true" outlineLevel="0" collapsed="false">
      <c r="A1833" s="27" t="s">
        <v>3494</v>
      </c>
      <c r="B1833" s="27" t="s">
        <v>88</v>
      </c>
      <c r="C1833" s="28" t="s">
        <v>41</v>
      </c>
      <c r="D1833" s="27" t="s">
        <v>3401</v>
      </c>
      <c r="E1833" s="27"/>
      <c r="F1833" s="29" t="s">
        <v>3495</v>
      </c>
      <c r="G1833" s="30" t="n">
        <v>92300</v>
      </c>
      <c r="H1833" s="31" t="s">
        <v>3403</v>
      </c>
      <c r="I1833" s="32" t="n">
        <v>147371733</v>
      </c>
      <c r="J1833" s="33" t="n">
        <v>320</v>
      </c>
      <c r="K1833" s="33" t="n">
        <v>1</v>
      </c>
      <c r="L1833" s="34"/>
      <c r="M1833" s="35"/>
      <c r="N1833" s="36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9"/>
      <c r="Z1833" s="39"/>
      <c r="AA1833" s="28"/>
      <c r="AMJ1833" s="0"/>
    </row>
    <row r="1834" s="2" customFormat="true" ht="12.75" hidden="false" customHeight="true" outlineLevel="0" collapsed="false">
      <c r="A1834" s="27" t="s">
        <v>3496</v>
      </c>
      <c r="B1834" s="27" t="s">
        <v>435</v>
      </c>
      <c r="C1834" s="28" t="s">
        <v>41</v>
      </c>
      <c r="D1834" s="27" t="s">
        <v>3401</v>
      </c>
      <c r="E1834" s="27"/>
      <c r="F1834" s="29" t="s">
        <v>3497</v>
      </c>
      <c r="G1834" s="30" t="n">
        <v>92300</v>
      </c>
      <c r="H1834" s="31" t="s">
        <v>3403</v>
      </c>
      <c r="I1834" s="32" t="n">
        <v>147575455</v>
      </c>
      <c r="J1834" s="33" t="n">
        <v>316</v>
      </c>
      <c r="K1834" s="33" t="n">
        <v>16</v>
      </c>
      <c r="L1834" s="34"/>
      <c r="M1834" s="35" t="s">
        <v>164</v>
      </c>
      <c r="N1834" s="36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9"/>
      <c r="Z1834" s="39"/>
      <c r="AA1834" s="28"/>
      <c r="AMJ1834" s="0"/>
    </row>
    <row r="1835" s="2" customFormat="true" ht="12.75" hidden="false" customHeight="true" outlineLevel="0" collapsed="false">
      <c r="A1835" s="27" t="s">
        <v>331</v>
      </c>
      <c r="B1835" s="27" t="s">
        <v>833</v>
      </c>
      <c r="C1835" s="28" t="s">
        <v>178</v>
      </c>
      <c r="D1835" s="27" t="s">
        <v>3401</v>
      </c>
      <c r="E1835" s="27" t="s">
        <v>3457</v>
      </c>
      <c r="F1835" s="29" t="s">
        <v>3498</v>
      </c>
      <c r="G1835" s="30" t="n">
        <v>92300</v>
      </c>
      <c r="H1835" s="31" t="s">
        <v>3403</v>
      </c>
      <c r="I1835" s="32" t="n">
        <v>147595512</v>
      </c>
      <c r="J1835" s="33" t="n">
        <v>288</v>
      </c>
      <c r="K1835" s="33" t="n">
        <v>1</v>
      </c>
      <c r="L1835" s="34"/>
      <c r="M1835" s="35"/>
      <c r="N1835" s="36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9"/>
      <c r="Z1835" s="39"/>
      <c r="AA1835" s="28"/>
      <c r="AMJ1835" s="0"/>
    </row>
    <row r="1836" s="2" customFormat="true" ht="12.75" hidden="false" customHeight="true" outlineLevel="0" collapsed="false">
      <c r="A1836" s="27" t="s">
        <v>3499</v>
      </c>
      <c r="B1836" s="27" t="s">
        <v>210</v>
      </c>
      <c r="C1836" s="28" t="s">
        <v>178</v>
      </c>
      <c r="D1836" s="27" t="s">
        <v>3401</v>
      </c>
      <c r="E1836" s="27" t="s">
        <v>3457</v>
      </c>
      <c r="F1836" s="29" t="s">
        <v>3498</v>
      </c>
      <c r="G1836" s="30" t="n">
        <v>92300</v>
      </c>
      <c r="H1836" s="31" t="s">
        <v>3403</v>
      </c>
      <c r="I1836" s="32" t="n">
        <v>142348210</v>
      </c>
      <c r="J1836" s="33" t="n">
        <v>275</v>
      </c>
      <c r="K1836" s="33" t="n">
        <v>5</v>
      </c>
      <c r="L1836" s="34"/>
      <c r="M1836" s="35"/>
      <c r="N1836" s="36"/>
      <c r="O1836" s="37"/>
      <c r="P1836" s="37"/>
      <c r="Q1836" s="37"/>
      <c r="R1836" s="37"/>
      <c r="S1836" s="37"/>
      <c r="T1836" s="37"/>
      <c r="U1836" s="37"/>
      <c r="V1836" s="37"/>
      <c r="W1836" s="37"/>
      <c r="X1836" s="37"/>
      <c r="Y1836" s="39"/>
      <c r="Z1836" s="39"/>
      <c r="AA1836" s="28"/>
      <c r="AMJ1836" s="0"/>
    </row>
    <row r="1837" s="2" customFormat="true" ht="12.75" hidden="false" customHeight="true" outlineLevel="0" collapsed="false">
      <c r="A1837" s="27" t="s">
        <v>3500</v>
      </c>
      <c r="B1837" s="27" t="s">
        <v>3247</v>
      </c>
      <c r="C1837" s="28" t="s">
        <v>178</v>
      </c>
      <c r="D1837" s="27" t="s">
        <v>3401</v>
      </c>
      <c r="E1837" s="27" t="s">
        <v>3457</v>
      </c>
      <c r="F1837" s="29" t="s">
        <v>3498</v>
      </c>
      <c r="G1837" s="30" t="n">
        <v>92300</v>
      </c>
      <c r="H1837" s="31" t="s">
        <v>3403</v>
      </c>
      <c r="I1837" s="32" t="n">
        <v>147595555</v>
      </c>
      <c r="J1837" s="33" t="n">
        <v>230</v>
      </c>
      <c r="K1837" s="33" t="n">
        <v>10</v>
      </c>
      <c r="L1837" s="34"/>
      <c r="M1837" s="35" t="s">
        <v>164</v>
      </c>
      <c r="N1837" s="36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  <c r="Y1837" s="39"/>
      <c r="Z1837" s="39"/>
      <c r="AA1837" s="28"/>
      <c r="AMJ1837" s="0"/>
    </row>
    <row r="1838" s="2" customFormat="true" ht="12.75" hidden="false" customHeight="true" outlineLevel="0" collapsed="false">
      <c r="A1838" s="27" t="s">
        <v>3501</v>
      </c>
      <c r="B1838" s="27" t="s">
        <v>3502</v>
      </c>
      <c r="C1838" s="28" t="s">
        <v>178</v>
      </c>
      <c r="D1838" s="27" t="s">
        <v>3401</v>
      </c>
      <c r="E1838" s="27" t="s">
        <v>3457</v>
      </c>
      <c r="F1838" s="29" t="s">
        <v>3498</v>
      </c>
      <c r="G1838" s="30" t="n">
        <v>92300</v>
      </c>
      <c r="H1838" s="31" t="s">
        <v>3403</v>
      </c>
      <c r="I1838" s="32" t="n">
        <v>147595512</v>
      </c>
      <c r="J1838" s="33" t="n">
        <v>101</v>
      </c>
      <c r="K1838" s="33" t="n">
        <v>11</v>
      </c>
      <c r="L1838" s="34"/>
      <c r="M1838" s="35" t="s">
        <v>164</v>
      </c>
      <c r="N1838" s="36"/>
      <c r="O1838" s="37"/>
      <c r="P1838" s="37"/>
      <c r="Q1838" s="37"/>
      <c r="R1838" s="37"/>
      <c r="S1838" s="37"/>
      <c r="T1838" s="37"/>
      <c r="U1838" s="37"/>
      <c r="V1838" s="37"/>
      <c r="W1838" s="37"/>
      <c r="X1838" s="37"/>
      <c r="Y1838" s="39"/>
      <c r="Z1838" s="39"/>
      <c r="AA1838" s="28"/>
      <c r="AMJ1838" s="0"/>
    </row>
    <row r="1839" s="2" customFormat="true" ht="12.75" hidden="false" customHeight="true" outlineLevel="0" collapsed="false">
      <c r="A1839" s="27" t="s">
        <v>150</v>
      </c>
      <c r="B1839" s="27" t="s">
        <v>1513</v>
      </c>
      <c r="C1839" s="28" t="s">
        <v>178</v>
      </c>
      <c r="D1839" s="27" t="s">
        <v>3401</v>
      </c>
      <c r="E1839" s="27" t="s">
        <v>3457</v>
      </c>
      <c r="F1839" s="29" t="s">
        <v>3498</v>
      </c>
      <c r="G1839" s="30" t="n">
        <v>92300</v>
      </c>
      <c r="H1839" s="31" t="s">
        <v>3403</v>
      </c>
      <c r="I1839" s="32" t="n">
        <v>147595512</v>
      </c>
      <c r="J1839" s="33" t="n">
        <v>0</v>
      </c>
      <c r="K1839" s="33" t="n">
        <v>5</v>
      </c>
      <c r="L1839" s="34"/>
      <c r="M1839" s="35"/>
      <c r="N1839" s="36"/>
      <c r="O1839" s="37"/>
      <c r="P1839" s="37"/>
      <c r="Q1839" s="37"/>
      <c r="R1839" s="37"/>
      <c r="S1839" s="37"/>
      <c r="T1839" s="37"/>
      <c r="U1839" s="37"/>
      <c r="V1839" s="37"/>
      <c r="W1839" s="37"/>
      <c r="X1839" s="37"/>
      <c r="Y1839" s="39"/>
      <c r="Z1839" s="39"/>
      <c r="AA1839" s="28"/>
      <c r="AMJ1839" s="0"/>
    </row>
    <row r="1840" s="2" customFormat="true" ht="12.75" hidden="false" customHeight="true" outlineLevel="0" collapsed="false">
      <c r="A1840" s="27" t="s">
        <v>3503</v>
      </c>
      <c r="B1840" s="27" t="s">
        <v>3504</v>
      </c>
      <c r="C1840" s="28" t="s">
        <v>41</v>
      </c>
      <c r="D1840" s="27" t="s">
        <v>3401</v>
      </c>
      <c r="E1840" s="27" t="s">
        <v>3457</v>
      </c>
      <c r="F1840" s="29" t="s">
        <v>3498</v>
      </c>
      <c r="G1840" s="30" t="n">
        <v>92300</v>
      </c>
      <c r="H1840" s="31" t="s">
        <v>3403</v>
      </c>
      <c r="I1840" s="32" t="n">
        <v>147591893</v>
      </c>
      <c r="J1840" s="33" t="n">
        <v>258</v>
      </c>
      <c r="K1840" s="33" t="n">
        <v>2</v>
      </c>
      <c r="L1840" s="34"/>
      <c r="M1840" s="35"/>
      <c r="N1840" s="36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9"/>
      <c r="Z1840" s="39"/>
      <c r="AA1840" s="28"/>
      <c r="AB1840" s="4"/>
      <c r="AC1840" s="4"/>
      <c r="AD1840" s="4"/>
      <c r="AE1840" s="4"/>
      <c r="AMJ1840" s="0"/>
    </row>
    <row r="1841" s="2" customFormat="true" ht="12.75" hidden="false" customHeight="true" outlineLevel="0" collapsed="false">
      <c r="A1841" s="27" t="s">
        <v>3505</v>
      </c>
      <c r="B1841" s="27" t="s">
        <v>229</v>
      </c>
      <c r="C1841" s="28" t="s">
        <v>41</v>
      </c>
      <c r="D1841" s="27" t="s">
        <v>3401</v>
      </c>
      <c r="E1841" s="27" t="s">
        <v>3457</v>
      </c>
      <c r="F1841" s="29" t="s">
        <v>3498</v>
      </c>
      <c r="G1841" s="30" t="n">
        <v>92300</v>
      </c>
      <c r="H1841" s="31" t="s">
        <v>3403</v>
      </c>
      <c r="I1841" s="32" t="n">
        <v>147591924</v>
      </c>
      <c r="J1841" s="33" t="n">
        <v>201</v>
      </c>
      <c r="K1841" s="33" t="n">
        <v>0</v>
      </c>
      <c r="L1841" s="34"/>
      <c r="M1841" s="35"/>
      <c r="N1841" s="36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9"/>
      <c r="Z1841" s="39"/>
      <c r="AA1841" s="28"/>
      <c r="AMJ1841" s="0"/>
    </row>
    <row r="1842" s="2" customFormat="true" ht="12.75" hidden="false" customHeight="true" outlineLevel="0" collapsed="false">
      <c r="A1842" s="27" t="s">
        <v>3506</v>
      </c>
      <c r="B1842" s="27" t="s">
        <v>769</v>
      </c>
      <c r="C1842" s="28" t="s">
        <v>41</v>
      </c>
      <c r="D1842" s="27" t="s">
        <v>3401</v>
      </c>
      <c r="E1842" s="27" t="s">
        <v>3457</v>
      </c>
      <c r="F1842" s="29" t="s">
        <v>3498</v>
      </c>
      <c r="G1842" s="30" t="n">
        <v>92300</v>
      </c>
      <c r="H1842" s="31" t="s">
        <v>3403</v>
      </c>
      <c r="I1842" s="32" t="n">
        <v>147595515</v>
      </c>
      <c r="J1842" s="33" t="n">
        <v>185</v>
      </c>
      <c r="K1842" s="33" t="n">
        <v>1</v>
      </c>
      <c r="L1842" s="34"/>
      <c r="M1842" s="35"/>
      <c r="N1842" s="36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9"/>
      <c r="Z1842" s="39"/>
      <c r="AA1842" s="28"/>
      <c r="AMJ1842" s="0"/>
    </row>
    <row r="1843" s="2" customFormat="true" ht="12.75" hidden="false" customHeight="true" outlineLevel="0" collapsed="false">
      <c r="A1843" s="27" t="s">
        <v>3507</v>
      </c>
      <c r="B1843" s="27" t="s">
        <v>229</v>
      </c>
      <c r="C1843" s="28" t="s">
        <v>41</v>
      </c>
      <c r="D1843" s="27" t="s">
        <v>3401</v>
      </c>
      <c r="E1843" s="27" t="s">
        <v>3457</v>
      </c>
      <c r="F1843" s="29" t="s">
        <v>3498</v>
      </c>
      <c r="G1843" s="30" t="n">
        <v>92300</v>
      </c>
      <c r="H1843" s="31" t="s">
        <v>3403</v>
      </c>
      <c r="I1843" s="32" t="n">
        <v>147591893</v>
      </c>
      <c r="J1843" s="33" t="n">
        <v>161</v>
      </c>
      <c r="K1843" s="33" t="n">
        <v>3</v>
      </c>
      <c r="L1843" s="34"/>
      <c r="M1843" s="35"/>
      <c r="N1843" s="36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9"/>
      <c r="Z1843" s="39"/>
      <c r="AA1843" s="28"/>
      <c r="AMJ1843" s="0"/>
    </row>
    <row r="1844" s="2" customFormat="true" ht="12.75" hidden="false" customHeight="true" outlineLevel="0" collapsed="false">
      <c r="A1844" s="27" t="s">
        <v>3508</v>
      </c>
      <c r="B1844" s="27" t="s">
        <v>3509</v>
      </c>
      <c r="C1844" s="28" t="s">
        <v>41</v>
      </c>
      <c r="D1844" s="27" t="s">
        <v>3401</v>
      </c>
      <c r="E1844" s="27" t="s">
        <v>3457</v>
      </c>
      <c r="F1844" s="29" t="s">
        <v>3498</v>
      </c>
      <c r="G1844" s="30" t="n">
        <v>92300</v>
      </c>
      <c r="H1844" s="31" t="s">
        <v>3403</v>
      </c>
      <c r="I1844" s="32" t="n">
        <v>147591893</v>
      </c>
      <c r="J1844" s="33" t="n">
        <v>161</v>
      </c>
      <c r="K1844" s="33" t="n">
        <v>4</v>
      </c>
      <c r="L1844" s="34"/>
      <c r="M1844" s="35"/>
      <c r="N1844" s="36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9"/>
      <c r="Z1844" s="39"/>
      <c r="AA1844" s="28"/>
      <c r="AMJ1844" s="0"/>
    </row>
    <row r="1845" s="2" customFormat="true" ht="12.75" hidden="false" customHeight="true" outlineLevel="0" collapsed="false">
      <c r="A1845" s="27" t="s">
        <v>3510</v>
      </c>
      <c r="B1845" s="27" t="s">
        <v>3511</v>
      </c>
      <c r="C1845" s="28" t="s">
        <v>41</v>
      </c>
      <c r="D1845" s="27" t="s">
        <v>3401</v>
      </c>
      <c r="E1845" s="27" t="s">
        <v>3457</v>
      </c>
      <c r="F1845" s="29" t="s">
        <v>3498</v>
      </c>
      <c r="G1845" s="30" t="n">
        <v>92300</v>
      </c>
      <c r="H1845" s="31" t="s">
        <v>3403</v>
      </c>
      <c r="I1845" s="32" t="n">
        <v>147595508</v>
      </c>
      <c r="J1845" s="33" t="n">
        <v>156</v>
      </c>
      <c r="K1845" s="33" t="n">
        <v>1</v>
      </c>
      <c r="L1845" s="34"/>
      <c r="M1845" s="35"/>
      <c r="N1845" s="36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9"/>
      <c r="Z1845" s="39"/>
      <c r="AA1845" s="28"/>
      <c r="AMJ1845" s="0"/>
    </row>
    <row r="1846" s="2" customFormat="true" ht="12.75" hidden="false" customHeight="true" outlineLevel="0" collapsed="false">
      <c r="A1846" s="27" t="s">
        <v>3512</v>
      </c>
      <c r="B1846" s="27" t="s">
        <v>133</v>
      </c>
      <c r="C1846" s="28" t="s">
        <v>41</v>
      </c>
      <c r="D1846" s="27" t="s">
        <v>3401</v>
      </c>
      <c r="E1846" s="27" t="s">
        <v>3457</v>
      </c>
      <c r="F1846" s="29" t="s">
        <v>3498</v>
      </c>
      <c r="G1846" s="30" t="n">
        <v>92300</v>
      </c>
      <c r="H1846" s="31" t="s">
        <v>3403</v>
      </c>
      <c r="I1846" s="32" t="n">
        <v>147591893</v>
      </c>
      <c r="J1846" s="33" t="n">
        <v>156</v>
      </c>
      <c r="K1846" s="33" t="n">
        <v>2</v>
      </c>
      <c r="L1846" s="34"/>
      <c r="M1846" s="35"/>
      <c r="N1846" s="36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9"/>
      <c r="Z1846" s="39"/>
      <c r="AA1846" s="28"/>
      <c r="AMJ1846" s="0"/>
    </row>
    <row r="1847" s="2" customFormat="true" ht="12.75" hidden="false" customHeight="true" outlineLevel="0" collapsed="false">
      <c r="A1847" s="27" t="s">
        <v>3513</v>
      </c>
      <c r="B1847" s="27" t="s">
        <v>1632</v>
      </c>
      <c r="C1847" s="28" t="s">
        <v>41</v>
      </c>
      <c r="D1847" s="27" t="s">
        <v>3401</v>
      </c>
      <c r="E1847" s="27" t="s">
        <v>3457</v>
      </c>
      <c r="F1847" s="29" t="s">
        <v>3498</v>
      </c>
      <c r="G1847" s="30" t="n">
        <v>92300</v>
      </c>
      <c r="H1847" s="31" t="s">
        <v>3403</v>
      </c>
      <c r="I1847" s="32" t="n">
        <v>147591893</v>
      </c>
      <c r="J1847" s="33" t="n">
        <v>156</v>
      </c>
      <c r="K1847" s="33" t="n">
        <v>4</v>
      </c>
      <c r="L1847" s="34"/>
      <c r="M1847" s="35"/>
      <c r="N1847" s="36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9"/>
      <c r="Z1847" s="39"/>
      <c r="AA1847" s="28"/>
      <c r="AMJ1847" s="0"/>
    </row>
    <row r="1848" s="2" customFormat="true" ht="12.75" hidden="false" customHeight="true" outlineLevel="0" collapsed="false">
      <c r="A1848" s="27" t="s">
        <v>331</v>
      </c>
      <c r="B1848" s="27" t="s">
        <v>145</v>
      </c>
      <c r="C1848" s="28" t="s">
        <v>41</v>
      </c>
      <c r="D1848" s="27" t="s">
        <v>3401</v>
      </c>
      <c r="E1848" s="27" t="s">
        <v>3457</v>
      </c>
      <c r="F1848" s="29" t="s">
        <v>3498</v>
      </c>
      <c r="G1848" s="30" t="n">
        <v>92300</v>
      </c>
      <c r="H1848" s="31" t="s">
        <v>3403</v>
      </c>
      <c r="I1848" s="32" t="n">
        <v>147591958</v>
      </c>
      <c r="J1848" s="33" t="n">
        <v>156</v>
      </c>
      <c r="K1848" s="33" t="n">
        <v>1</v>
      </c>
      <c r="L1848" s="34"/>
      <c r="M1848" s="35"/>
      <c r="N1848" s="36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9"/>
      <c r="Z1848" s="39"/>
      <c r="AA1848" s="28"/>
      <c r="AMJ1848" s="0"/>
    </row>
    <row r="1849" s="2" customFormat="true" ht="12.75" hidden="false" customHeight="true" outlineLevel="0" collapsed="false">
      <c r="A1849" s="27" t="s">
        <v>3514</v>
      </c>
      <c r="B1849" s="27" t="s">
        <v>1094</v>
      </c>
      <c r="C1849" s="28" t="s">
        <v>41</v>
      </c>
      <c r="D1849" s="27" t="s">
        <v>3401</v>
      </c>
      <c r="E1849" s="27" t="s">
        <v>3457</v>
      </c>
      <c r="F1849" s="29" t="s">
        <v>3498</v>
      </c>
      <c r="G1849" s="30" t="n">
        <v>92300</v>
      </c>
      <c r="H1849" s="31" t="s">
        <v>3403</v>
      </c>
      <c r="I1849" s="32" t="n">
        <v>147591958</v>
      </c>
      <c r="J1849" s="33" t="n">
        <v>156</v>
      </c>
      <c r="K1849" s="33" t="n">
        <v>8</v>
      </c>
      <c r="L1849" s="34"/>
      <c r="M1849" s="35"/>
      <c r="N1849" s="36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9"/>
      <c r="Z1849" s="39"/>
      <c r="AA1849" s="28"/>
      <c r="AMJ1849" s="0"/>
    </row>
    <row r="1850" s="2" customFormat="true" ht="12.75" hidden="false" customHeight="true" outlineLevel="0" collapsed="false">
      <c r="A1850" s="27" t="s">
        <v>3515</v>
      </c>
      <c r="B1850" s="27" t="s">
        <v>3516</v>
      </c>
      <c r="C1850" s="28" t="s">
        <v>41</v>
      </c>
      <c r="D1850" s="27" t="s">
        <v>3401</v>
      </c>
      <c r="E1850" s="27" t="s">
        <v>3457</v>
      </c>
      <c r="F1850" s="29" t="s">
        <v>3498</v>
      </c>
      <c r="G1850" s="30" t="n">
        <v>92300</v>
      </c>
      <c r="H1850" s="31" t="s">
        <v>3403</v>
      </c>
      <c r="I1850" s="32" t="n">
        <v>147595506</v>
      </c>
      <c r="J1850" s="33" t="n">
        <v>156</v>
      </c>
      <c r="K1850" s="33" t="n">
        <v>1</v>
      </c>
      <c r="L1850" s="34"/>
      <c r="M1850" s="35"/>
      <c r="N1850" s="36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9"/>
      <c r="Z1850" s="39"/>
      <c r="AA1850" s="28"/>
      <c r="AMJ1850" s="0"/>
    </row>
    <row r="1851" s="2" customFormat="true" ht="12.75" hidden="false" customHeight="true" outlineLevel="0" collapsed="false">
      <c r="A1851" s="27" t="s">
        <v>3517</v>
      </c>
      <c r="B1851" s="27" t="s">
        <v>884</v>
      </c>
      <c r="C1851" s="28" t="s">
        <v>41</v>
      </c>
      <c r="D1851" s="27" t="s">
        <v>3401</v>
      </c>
      <c r="E1851" s="27" t="s">
        <v>3457</v>
      </c>
      <c r="F1851" s="29" t="s">
        <v>3498</v>
      </c>
      <c r="G1851" s="30" t="n">
        <v>92300</v>
      </c>
      <c r="H1851" s="31" t="s">
        <v>3403</v>
      </c>
      <c r="I1851" s="32" t="n">
        <v>147595515</v>
      </c>
      <c r="J1851" s="33" t="n">
        <v>156</v>
      </c>
      <c r="K1851" s="33" t="n">
        <v>1</v>
      </c>
      <c r="L1851" s="34"/>
      <c r="M1851" s="35"/>
      <c r="N1851" s="36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9"/>
      <c r="Z1851" s="39"/>
      <c r="AA1851" s="28"/>
      <c r="AMJ1851" s="0"/>
    </row>
    <row r="1852" s="2" customFormat="true" ht="12.75" hidden="false" customHeight="true" outlineLevel="0" collapsed="false">
      <c r="A1852" s="27" t="s">
        <v>3518</v>
      </c>
      <c r="B1852" s="27" t="s">
        <v>1266</v>
      </c>
      <c r="C1852" s="28" t="s">
        <v>41</v>
      </c>
      <c r="D1852" s="27" t="s">
        <v>3401</v>
      </c>
      <c r="E1852" s="27" t="s">
        <v>3457</v>
      </c>
      <c r="F1852" s="29" t="s">
        <v>3498</v>
      </c>
      <c r="G1852" s="30" t="n">
        <v>92300</v>
      </c>
      <c r="H1852" s="31" t="s">
        <v>3403</v>
      </c>
      <c r="I1852" s="32"/>
      <c r="J1852" s="33" t="n">
        <v>156</v>
      </c>
      <c r="K1852" s="33" t="n">
        <v>1</v>
      </c>
      <c r="L1852" s="34"/>
      <c r="M1852" s="35"/>
      <c r="N1852" s="36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9"/>
      <c r="Z1852" s="39"/>
      <c r="AA1852" s="28"/>
      <c r="AMJ1852" s="0"/>
    </row>
    <row r="1853" s="2" customFormat="true" ht="12.75" hidden="false" customHeight="true" outlineLevel="0" collapsed="false">
      <c r="A1853" s="27" t="s">
        <v>3519</v>
      </c>
      <c r="B1853" s="27" t="s">
        <v>3520</v>
      </c>
      <c r="C1853" s="28" t="s">
        <v>41</v>
      </c>
      <c r="D1853" s="27" t="s">
        <v>3401</v>
      </c>
      <c r="E1853" s="27" t="s">
        <v>3457</v>
      </c>
      <c r="F1853" s="29" t="s">
        <v>3498</v>
      </c>
      <c r="G1853" s="30" t="n">
        <v>92300</v>
      </c>
      <c r="H1853" s="31" t="s">
        <v>3403</v>
      </c>
      <c r="I1853" s="32" t="n">
        <v>147591893</v>
      </c>
      <c r="J1853" s="33" t="n">
        <v>156</v>
      </c>
      <c r="K1853" s="33" t="n">
        <v>3</v>
      </c>
      <c r="L1853" s="34"/>
      <c r="M1853" s="35"/>
      <c r="N1853" s="36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9"/>
      <c r="Z1853" s="39"/>
      <c r="AA1853" s="28"/>
      <c r="AMJ1853" s="0"/>
    </row>
    <row r="1854" s="2" customFormat="true" ht="12.75" hidden="false" customHeight="true" outlineLevel="0" collapsed="false">
      <c r="A1854" s="27" t="s">
        <v>3521</v>
      </c>
      <c r="B1854" s="27" t="s">
        <v>1211</v>
      </c>
      <c r="C1854" s="28" t="s">
        <v>41</v>
      </c>
      <c r="D1854" s="27" t="s">
        <v>3401</v>
      </c>
      <c r="E1854" s="27" t="s">
        <v>3457</v>
      </c>
      <c r="F1854" s="29" t="s">
        <v>3498</v>
      </c>
      <c r="G1854" s="30" t="n">
        <v>92300</v>
      </c>
      <c r="H1854" s="31" t="s">
        <v>3403</v>
      </c>
      <c r="I1854" s="32" t="n">
        <v>147595993</v>
      </c>
      <c r="J1854" s="33" t="n">
        <v>156</v>
      </c>
      <c r="K1854" s="33" t="n">
        <v>1</v>
      </c>
      <c r="L1854" s="34"/>
      <c r="M1854" s="35"/>
      <c r="N1854" s="36"/>
      <c r="O1854" s="37"/>
      <c r="P1854" s="37"/>
      <c r="Q1854" s="37"/>
      <c r="R1854" s="37"/>
      <c r="S1854" s="37"/>
      <c r="T1854" s="37"/>
      <c r="U1854" s="37"/>
      <c r="V1854" s="37"/>
      <c r="W1854" s="37"/>
      <c r="X1854" s="37"/>
      <c r="Y1854" s="39"/>
      <c r="Z1854" s="39"/>
      <c r="AA1854" s="28"/>
      <c r="AMJ1854" s="0"/>
    </row>
    <row r="1855" s="2" customFormat="true" ht="12.75" hidden="false" customHeight="true" outlineLevel="0" collapsed="false">
      <c r="A1855" s="27" t="s">
        <v>3522</v>
      </c>
      <c r="B1855" s="27" t="s">
        <v>1211</v>
      </c>
      <c r="C1855" s="28" t="s">
        <v>41</v>
      </c>
      <c r="D1855" s="27" t="s">
        <v>3401</v>
      </c>
      <c r="E1855" s="27" t="s">
        <v>3457</v>
      </c>
      <c r="F1855" s="29" t="s">
        <v>3498</v>
      </c>
      <c r="G1855" s="30" t="n">
        <v>92300</v>
      </c>
      <c r="H1855" s="31" t="s">
        <v>3403</v>
      </c>
      <c r="I1855" s="32" t="n">
        <v>147591893</v>
      </c>
      <c r="J1855" s="33" t="n">
        <v>156</v>
      </c>
      <c r="K1855" s="33" t="n">
        <v>4</v>
      </c>
      <c r="L1855" s="34"/>
      <c r="M1855" s="35"/>
      <c r="N1855" s="36"/>
      <c r="O1855" s="37"/>
      <c r="P1855" s="37"/>
      <c r="Q1855" s="37"/>
      <c r="R1855" s="37"/>
      <c r="S1855" s="37"/>
      <c r="T1855" s="37"/>
      <c r="U1855" s="37"/>
      <c r="V1855" s="37"/>
      <c r="W1855" s="37"/>
      <c r="X1855" s="37"/>
      <c r="Y1855" s="39"/>
      <c r="Z1855" s="39"/>
      <c r="AA1855" s="28"/>
      <c r="AMJ1855" s="0"/>
    </row>
    <row r="1856" s="2" customFormat="true" ht="12.75" hidden="false" customHeight="true" outlineLevel="0" collapsed="false">
      <c r="A1856" s="27" t="s">
        <v>3523</v>
      </c>
      <c r="B1856" s="27" t="s">
        <v>3524</v>
      </c>
      <c r="C1856" s="28" t="s">
        <v>41</v>
      </c>
      <c r="D1856" s="27" t="s">
        <v>3401</v>
      </c>
      <c r="E1856" s="27" t="s">
        <v>3457</v>
      </c>
      <c r="F1856" s="29" t="s">
        <v>3498</v>
      </c>
      <c r="G1856" s="30" t="n">
        <v>92300</v>
      </c>
      <c r="H1856" s="31" t="s">
        <v>3403</v>
      </c>
      <c r="I1856" s="32" t="n">
        <v>147595506</v>
      </c>
      <c r="J1856" s="33" t="n">
        <v>156</v>
      </c>
      <c r="K1856" s="33" t="n">
        <v>1</v>
      </c>
      <c r="L1856" s="34"/>
      <c r="M1856" s="35"/>
      <c r="N1856" s="36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9"/>
      <c r="Z1856" s="39"/>
      <c r="AA1856" s="28"/>
      <c r="AMJ1856" s="0"/>
    </row>
    <row r="1857" s="2" customFormat="true" ht="12.75" hidden="false" customHeight="true" outlineLevel="0" collapsed="false">
      <c r="A1857" s="27" t="s">
        <v>3525</v>
      </c>
      <c r="B1857" s="27" t="s">
        <v>3526</v>
      </c>
      <c r="C1857" s="28" t="s">
        <v>41</v>
      </c>
      <c r="D1857" s="27" t="s">
        <v>3401</v>
      </c>
      <c r="E1857" s="27" t="s">
        <v>3457</v>
      </c>
      <c r="F1857" s="29" t="s">
        <v>3498</v>
      </c>
      <c r="G1857" s="30" t="n">
        <v>92300</v>
      </c>
      <c r="H1857" s="31" t="s">
        <v>3403</v>
      </c>
      <c r="I1857" s="32" t="n">
        <v>147595515</v>
      </c>
      <c r="J1857" s="33" t="n">
        <v>149</v>
      </c>
      <c r="K1857" s="33" t="n">
        <v>5</v>
      </c>
      <c r="L1857" s="34"/>
      <c r="M1857" s="35"/>
      <c r="N1857" s="36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9"/>
      <c r="Z1857" s="39"/>
      <c r="AA1857" s="28"/>
      <c r="AMJ1857" s="0"/>
    </row>
    <row r="1858" s="2" customFormat="true" ht="12.75" hidden="false" customHeight="true" outlineLevel="0" collapsed="false">
      <c r="A1858" s="27" t="s">
        <v>3527</v>
      </c>
      <c r="B1858" s="27" t="s">
        <v>833</v>
      </c>
      <c r="C1858" s="28" t="s">
        <v>41</v>
      </c>
      <c r="D1858" s="27" t="s">
        <v>3401</v>
      </c>
      <c r="E1858" s="27" t="s">
        <v>3457</v>
      </c>
      <c r="F1858" s="29" t="s">
        <v>3498</v>
      </c>
      <c r="G1858" s="30" t="n">
        <v>92300</v>
      </c>
      <c r="H1858" s="31" t="s">
        <v>3403</v>
      </c>
      <c r="I1858" s="32" t="n">
        <v>147595515</v>
      </c>
      <c r="J1858" s="33" t="n">
        <v>81</v>
      </c>
      <c r="K1858" s="33" t="n">
        <v>2</v>
      </c>
      <c r="L1858" s="34"/>
      <c r="M1858" s="35"/>
      <c r="N1858" s="36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9"/>
      <c r="Z1858" s="39"/>
      <c r="AA1858" s="28"/>
      <c r="AMJ1858" s="0"/>
    </row>
    <row r="1859" s="2" customFormat="true" ht="12.75" hidden="false" customHeight="true" outlineLevel="0" collapsed="false">
      <c r="A1859" s="27" t="s">
        <v>3528</v>
      </c>
      <c r="B1859" s="27" t="s">
        <v>349</v>
      </c>
      <c r="C1859" s="28" t="s">
        <v>41</v>
      </c>
      <c r="D1859" s="27" t="s">
        <v>3401</v>
      </c>
      <c r="E1859" s="27" t="s">
        <v>3457</v>
      </c>
      <c r="F1859" s="29" t="s">
        <v>3498</v>
      </c>
      <c r="G1859" s="30" t="n">
        <v>92300</v>
      </c>
      <c r="H1859" s="31" t="s">
        <v>3403</v>
      </c>
      <c r="I1859" s="32" t="n">
        <v>147591958</v>
      </c>
      <c r="J1859" s="33" t="n">
        <v>0</v>
      </c>
      <c r="K1859" s="33" t="n">
        <v>1</v>
      </c>
      <c r="L1859" s="34"/>
      <c r="M1859" s="35"/>
      <c r="N1859" s="36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9"/>
      <c r="Z1859" s="39"/>
      <c r="AA1859" s="28"/>
      <c r="AMJ1859" s="0"/>
    </row>
    <row r="1860" s="2" customFormat="true" ht="12.75" hidden="false" customHeight="true" outlineLevel="0" collapsed="false">
      <c r="A1860" s="27" t="s">
        <v>2261</v>
      </c>
      <c r="B1860" s="27" t="s">
        <v>544</v>
      </c>
      <c r="C1860" s="28" t="s">
        <v>41</v>
      </c>
      <c r="D1860" s="27" t="s">
        <v>3401</v>
      </c>
      <c r="E1860" s="27" t="s">
        <v>3457</v>
      </c>
      <c r="F1860" s="29" t="s">
        <v>3498</v>
      </c>
      <c r="G1860" s="30" t="n">
        <v>92300</v>
      </c>
      <c r="H1860" s="31" t="s">
        <v>3403</v>
      </c>
      <c r="I1860" s="32"/>
      <c r="J1860" s="33" t="n">
        <v>0</v>
      </c>
      <c r="K1860" s="33" t="n">
        <v>2</v>
      </c>
      <c r="L1860" s="34"/>
      <c r="M1860" s="35"/>
      <c r="N1860" s="36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9"/>
      <c r="Z1860" s="39"/>
      <c r="AA1860" s="28"/>
      <c r="AMJ1860" s="0"/>
    </row>
    <row r="1861" s="2" customFormat="true" ht="12.75" hidden="false" customHeight="true" outlineLevel="0" collapsed="false">
      <c r="A1861" s="27" t="s">
        <v>3529</v>
      </c>
      <c r="B1861" s="27" t="s">
        <v>1841</v>
      </c>
      <c r="C1861" s="28" t="s">
        <v>121</v>
      </c>
      <c r="D1861" s="27" t="s">
        <v>3401</v>
      </c>
      <c r="E1861" s="27" t="s">
        <v>3457</v>
      </c>
      <c r="F1861" s="29" t="s">
        <v>3498</v>
      </c>
      <c r="G1861" s="30" t="n">
        <v>92300</v>
      </c>
      <c r="H1861" s="31" t="s">
        <v>3403</v>
      </c>
      <c r="I1861" s="32" t="n">
        <v>147591893</v>
      </c>
      <c r="J1861" s="33" t="n">
        <v>134</v>
      </c>
      <c r="K1861" s="33" t="n">
        <v>1</v>
      </c>
      <c r="L1861" s="34"/>
      <c r="M1861" s="35"/>
      <c r="N1861" s="36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9"/>
      <c r="Z1861" s="39"/>
      <c r="AA1861" s="28"/>
      <c r="AMJ1861" s="0"/>
    </row>
    <row r="1862" s="2" customFormat="true" ht="12.75" hidden="false" customHeight="true" outlineLevel="0" collapsed="false">
      <c r="A1862" s="27" t="s">
        <v>3530</v>
      </c>
      <c r="B1862" s="27" t="s">
        <v>3531</v>
      </c>
      <c r="C1862" s="28" t="s">
        <v>121</v>
      </c>
      <c r="D1862" s="27" t="s">
        <v>3401</v>
      </c>
      <c r="E1862" s="27" t="s">
        <v>3457</v>
      </c>
      <c r="F1862" s="29" t="s">
        <v>3498</v>
      </c>
      <c r="G1862" s="30" t="n">
        <v>92300</v>
      </c>
      <c r="H1862" s="31" t="s">
        <v>3403</v>
      </c>
      <c r="I1862" s="32" t="n">
        <v>147591893</v>
      </c>
      <c r="J1862" s="33" t="n">
        <v>86</v>
      </c>
      <c r="K1862" s="33" t="n">
        <v>2</v>
      </c>
      <c r="L1862" s="34"/>
      <c r="M1862" s="35"/>
      <c r="N1862" s="36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9"/>
      <c r="Z1862" s="39"/>
      <c r="AA1862" s="28"/>
      <c r="AMJ1862" s="0"/>
    </row>
    <row r="1863" s="2" customFormat="true" ht="12.75" hidden="false" customHeight="true" outlineLevel="0" collapsed="false">
      <c r="A1863" s="27" t="s">
        <v>3532</v>
      </c>
      <c r="B1863" s="27" t="s">
        <v>1501</v>
      </c>
      <c r="C1863" s="28" t="s">
        <v>41</v>
      </c>
      <c r="D1863" s="27" t="s">
        <v>3401</v>
      </c>
      <c r="E1863" s="27"/>
      <c r="F1863" s="29" t="s">
        <v>3533</v>
      </c>
      <c r="G1863" s="30" t="n">
        <v>92300</v>
      </c>
      <c r="H1863" s="31" t="s">
        <v>3403</v>
      </c>
      <c r="I1863" s="32" t="n">
        <v>147398181</v>
      </c>
      <c r="J1863" s="33" t="n">
        <v>362</v>
      </c>
      <c r="K1863" s="33" t="n">
        <v>13</v>
      </c>
      <c r="L1863" s="34"/>
      <c r="M1863" s="35" t="s">
        <v>164</v>
      </c>
      <c r="N1863" s="36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9"/>
      <c r="Z1863" s="39"/>
      <c r="AA1863" s="28"/>
      <c r="AMJ1863" s="0"/>
    </row>
    <row r="1864" s="2" customFormat="true" ht="12.75" hidden="false" customHeight="true" outlineLevel="0" collapsed="false">
      <c r="A1864" s="27" t="s">
        <v>3534</v>
      </c>
      <c r="B1864" s="27" t="s">
        <v>151</v>
      </c>
      <c r="C1864" s="28" t="s">
        <v>41</v>
      </c>
      <c r="D1864" s="27" t="s">
        <v>3401</v>
      </c>
      <c r="E1864" s="27"/>
      <c r="F1864" s="29" t="s">
        <v>3535</v>
      </c>
      <c r="G1864" s="30" t="n">
        <v>92300</v>
      </c>
      <c r="H1864" s="31" t="s">
        <v>3403</v>
      </c>
      <c r="I1864" s="32" t="n">
        <v>153666402</v>
      </c>
      <c r="J1864" s="33" t="n">
        <v>359</v>
      </c>
      <c r="K1864" s="33" t="n">
        <v>1</v>
      </c>
      <c r="L1864" s="34"/>
      <c r="M1864" s="35"/>
      <c r="N1864" s="36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9"/>
      <c r="Z1864" s="39"/>
      <c r="AA1864" s="28"/>
      <c r="AMJ1864" s="0"/>
    </row>
    <row r="1865" s="2" customFormat="true" ht="12.75" hidden="false" customHeight="true" outlineLevel="0" collapsed="false">
      <c r="A1865" s="27" t="s">
        <v>3536</v>
      </c>
      <c r="B1865" s="27" t="s">
        <v>1695</v>
      </c>
      <c r="C1865" s="28" t="s">
        <v>41</v>
      </c>
      <c r="D1865" s="27" t="s">
        <v>3401</v>
      </c>
      <c r="E1865" s="27"/>
      <c r="F1865" s="29" t="s">
        <v>3535</v>
      </c>
      <c r="G1865" s="30" t="n">
        <v>92300</v>
      </c>
      <c r="H1865" s="31" t="s">
        <v>3403</v>
      </c>
      <c r="I1865" s="32" t="n">
        <v>153666402</v>
      </c>
      <c r="J1865" s="33" t="n">
        <v>0</v>
      </c>
      <c r="K1865" s="33" t="n">
        <v>1</v>
      </c>
      <c r="L1865" s="34"/>
      <c r="M1865" s="35"/>
      <c r="N1865" s="36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9"/>
      <c r="Z1865" s="39"/>
      <c r="AA1865" s="28"/>
      <c r="AMJ1865" s="0"/>
    </row>
    <row r="1866" s="2" customFormat="true" ht="12.75" hidden="false" customHeight="true" outlineLevel="0" collapsed="false">
      <c r="A1866" s="27" t="s">
        <v>3537</v>
      </c>
      <c r="B1866" s="27" t="s">
        <v>55</v>
      </c>
      <c r="C1866" s="28" t="s">
        <v>41</v>
      </c>
      <c r="D1866" s="27" t="s">
        <v>3401</v>
      </c>
      <c r="E1866" s="27"/>
      <c r="F1866" s="29" t="s">
        <v>3538</v>
      </c>
      <c r="G1866" s="30" t="n">
        <v>92300</v>
      </c>
      <c r="H1866" s="31" t="s">
        <v>3403</v>
      </c>
      <c r="I1866" s="32" t="n">
        <v>147481313</v>
      </c>
      <c r="J1866" s="33" t="n">
        <v>292</v>
      </c>
      <c r="K1866" s="33" t="n">
        <v>1</v>
      </c>
      <c r="L1866" s="34"/>
      <c r="M1866" s="35"/>
      <c r="N1866" s="36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9"/>
      <c r="Z1866" s="39"/>
      <c r="AA1866" s="28"/>
      <c r="AMJ1866" s="0"/>
    </row>
    <row r="1867" s="2" customFormat="true" ht="12.75" hidden="false" customHeight="true" outlineLevel="0" collapsed="false">
      <c r="A1867" s="27" t="s">
        <v>3539</v>
      </c>
      <c r="B1867" s="27" t="s">
        <v>377</v>
      </c>
      <c r="C1867" s="28" t="s">
        <v>121</v>
      </c>
      <c r="D1867" s="27" t="s">
        <v>3401</v>
      </c>
      <c r="E1867" s="27"/>
      <c r="F1867" s="29" t="s">
        <v>3540</v>
      </c>
      <c r="G1867" s="30" t="n">
        <v>92300</v>
      </c>
      <c r="H1867" s="31" t="s">
        <v>3403</v>
      </c>
      <c r="I1867" s="32" t="n">
        <v>147571213</v>
      </c>
      <c r="J1867" s="33" t="n">
        <v>196</v>
      </c>
      <c r="K1867" s="33" t="n">
        <v>9</v>
      </c>
      <c r="L1867" s="34" t="n">
        <v>1</v>
      </c>
      <c r="M1867" s="35" t="s">
        <v>164</v>
      </c>
      <c r="N1867" s="36"/>
      <c r="O1867" s="41"/>
      <c r="P1867" s="41"/>
      <c r="Q1867" s="41"/>
      <c r="R1867" s="41"/>
      <c r="S1867" s="41"/>
      <c r="T1867" s="41"/>
      <c r="U1867" s="41"/>
      <c r="V1867" s="41"/>
      <c r="W1867" s="41"/>
      <c r="X1867" s="41"/>
      <c r="Y1867" s="39"/>
      <c r="Z1867" s="39"/>
      <c r="AA1867" s="28" t="n">
        <v>3</v>
      </c>
      <c r="AMJ1867" s="0"/>
    </row>
    <row r="1868" s="2" customFormat="true" ht="12.75" hidden="false" customHeight="true" outlineLevel="0" collapsed="false">
      <c r="A1868" s="27" t="s">
        <v>3034</v>
      </c>
      <c r="B1868" s="27" t="s">
        <v>669</v>
      </c>
      <c r="C1868" s="28" t="s">
        <v>77</v>
      </c>
      <c r="D1868" s="27" t="s">
        <v>3401</v>
      </c>
      <c r="E1868" s="27"/>
      <c r="F1868" s="29" t="s">
        <v>3541</v>
      </c>
      <c r="G1868" s="30" t="n">
        <v>92300</v>
      </c>
      <c r="H1868" s="31" t="s">
        <v>3403</v>
      </c>
      <c r="I1868" s="32" t="n">
        <v>147390953</v>
      </c>
      <c r="J1868" s="33" t="n">
        <v>897</v>
      </c>
      <c r="K1868" s="33" t="n">
        <v>8</v>
      </c>
      <c r="L1868" s="34"/>
      <c r="M1868" s="35"/>
      <c r="N1868" s="36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9"/>
      <c r="Z1868" s="39"/>
      <c r="AA1868" s="28"/>
      <c r="AMJ1868" s="0"/>
    </row>
    <row r="1869" s="2" customFormat="true" ht="12.75" hidden="false" customHeight="true" outlineLevel="0" collapsed="false">
      <c r="A1869" s="27" t="s">
        <v>3542</v>
      </c>
      <c r="B1869" s="27" t="s">
        <v>103</v>
      </c>
      <c r="C1869" s="28" t="s">
        <v>138</v>
      </c>
      <c r="D1869" s="27" t="s">
        <v>3401</v>
      </c>
      <c r="E1869" s="27"/>
      <c r="F1869" s="29" t="s">
        <v>3543</v>
      </c>
      <c r="G1869" s="30" t="n">
        <v>92300</v>
      </c>
      <c r="H1869" s="31" t="s">
        <v>3403</v>
      </c>
      <c r="I1869" s="32" t="n">
        <v>142702832</v>
      </c>
      <c r="J1869" s="33" t="n">
        <v>106</v>
      </c>
      <c r="K1869" s="33" t="n">
        <v>3</v>
      </c>
      <c r="L1869" s="34" t="n">
        <v>1</v>
      </c>
      <c r="M1869" s="35" t="s">
        <v>164</v>
      </c>
      <c r="N1869" s="36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39"/>
      <c r="Z1869" s="39"/>
      <c r="AA1869" s="28" t="n">
        <v>3</v>
      </c>
      <c r="AMJ1869" s="0"/>
    </row>
    <row r="1870" s="2" customFormat="true" ht="12.75" hidden="false" customHeight="true" outlineLevel="0" collapsed="false">
      <c r="A1870" s="27" t="s">
        <v>3544</v>
      </c>
      <c r="B1870" s="27" t="s">
        <v>88</v>
      </c>
      <c r="C1870" s="28" t="s">
        <v>41</v>
      </c>
      <c r="D1870" s="27" t="s">
        <v>3401</v>
      </c>
      <c r="E1870" s="27"/>
      <c r="F1870" s="29" t="s">
        <v>3545</v>
      </c>
      <c r="G1870" s="30" t="n">
        <v>92300</v>
      </c>
      <c r="H1870" s="31" t="s">
        <v>3403</v>
      </c>
      <c r="I1870" s="32" t="n">
        <v>182248419</v>
      </c>
      <c r="J1870" s="33" t="n">
        <v>196</v>
      </c>
      <c r="K1870" s="33" t="n">
        <v>1</v>
      </c>
      <c r="L1870" s="34"/>
      <c r="M1870" s="35"/>
      <c r="N1870" s="36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9"/>
      <c r="Z1870" s="39"/>
      <c r="AA1870" s="28"/>
      <c r="AMJ1870" s="0"/>
    </row>
    <row r="1871" s="2" customFormat="true" ht="12.75" hidden="false" customHeight="true" outlineLevel="0" collapsed="false">
      <c r="A1871" s="27" t="s">
        <v>3546</v>
      </c>
      <c r="B1871" s="27" t="s">
        <v>3547</v>
      </c>
      <c r="C1871" s="28" t="s">
        <v>138</v>
      </c>
      <c r="D1871" s="27" t="s">
        <v>3401</v>
      </c>
      <c r="E1871" s="27"/>
      <c r="F1871" s="29" t="s">
        <v>3548</v>
      </c>
      <c r="G1871" s="30" t="n">
        <v>92300</v>
      </c>
      <c r="H1871" s="31" t="s">
        <v>3403</v>
      </c>
      <c r="I1871" s="32" t="n">
        <v>147574188</v>
      </c>
      <c r="J1871" s="33" t="n">
        <v>96</v>
      </c>
      <c r="K1871" s="33" t="n">
        <v>1</v>
      </c>
      <c r="L1871" s="34"/>
      <c r="M1871" s="35"/>
      <c r="N1871" s="36"/>
      <c r="O1871" s="37"/>
      <c r="P1871" s="37"/>
      <c r="Q1871" s="37"/>
      <c r="R1871" s="37"/>
      <c r="S1871" s="37"/>
      <c r="T1871" s="37"/>
      <c r="U1871" s="37"/>
      <c r="V1871" s="37"/>
      <c r="W1871" s="37"/>
      <c r="X1871" s="37"/>
      <c r="Y1871" s="39"/>
      <c r="Z1871" s="39"/>
      <c r="AA1871" s="28"/>
      <c r="AMJ1871" s="0"/>
    </row>
    <row r="1872" s="2" customFormat="true" ht="12.75" hidden="false" customHeight="true" outlineLevel="0" collapsed="false">
      <c r="A1872" s="27" t="s">
        <v>3549</v>
      </c>
      <c r="B1872" s="27" t="s">
        <v>2284</v>
      </c>
      <c r="C1872" s="28" t="s">
        <v>41</v>
      </c>
      <c r="D1872" s="27" t="s">
        <v>3401</v>
      </c>
      <c r="E1872" s="27"/>
      <c r="F1872" s="29" t="s">
        <v>3550</v>
      </c>
      <c r="G1872" s="30" t="n">
        <v>92300</v>
      </c>
      <c r="H1872" s="31" t="s">
        <v>3403</v>
      </c>
      <c r="I1872" s="32" t="n">
        <v>276559014</v>
      </c>
      <c r="J1872" s="33" t="n">
        <v>400</v>
      </c>
      <c r="K1872" s="33"/>
      <c r="L1872" s="34"/>
      <c r="M1872" s="35"/>
      <c r="N1872" s="36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9"/>
      <c r="Z1872" s="39"/>
      <c r="AA1872" s="28"/>
      <c r="AMJ1872" s="0"/>
    </row>
    <row r="1873" s="2" customFormat="true" ht="12.75" hidden="false" customHeight="true" outlineLevel="0" collapsed="false">
      <c r="A1873" s="27" t="s">
        <v>3551</v>
      </c>
      <c r="B1873" s="27" t="s">
        <v>3552</v>
      </c>
      <c r="C1873" s="28" t="s">
        <v>138</v>
      </c>
      <c r="D1873" s="27" t="s">
        <v>3401</v>
      </c>
      <c r="E1873" s="27"/>
      <c r="F1873" s="29" t="s">
        <v>3553</v>
      </c>
      <c r="G1873" s="30" t="n">
        <v>92300</v>
      </c>
      <c r="H1873" s="31" t="s">
        <v>3403</v>
      </c>
      <c r="I1873" s="32" t="n">
        <v>147586799</v>
      </c>
      <c r="J1873" s="33" t="n">
        <v>203</v>
      </c>
      <c r="K1873" s="33" t="n">
        <v>5</v>
      </c>
      <c r="L1873" s="34"/>
      <c r="M1873" s="35"/>
      <c r="N1873" s="36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9"/>
      <c r="Z1873" s="39"/>
      <c r="AA1873" s="28"/>
      <c r="AMJ1873" s="0"/>
    </row>
    <row r="1874" s="2" customFormat="true" ht="12.75" hidden="false" customHeight="true" outlineLevel="0" collapsed="false">
      <c r="A1874" s="27" t="s">
        <v>3554</v>
      </c>
      <c r="B1874" s="27" t="s">
        <v>149</v>
      </c>
      <c r="C1874" s="28" t="s">
        <v>138</v>
      </c>
      <c r="D1874" s="27" t="s">
        <v>3401</v>
      </c>
      <c r="E1874" s="27"/>
      <c r="F1874" s="29" t="s">
        <v>3555</v>
      </c>
      <c r="G1874" s="30" t="n">
        <v>92300</v>
      </c>
      <c r="H1874" s="31" t="s">
        <v>3403</v>
      </c>
      <c r="I1874" s="32" t="n">
        <v>147590931</v>
      </c>
      <c r="J1874" s="33" t="n">
        <v>96</v>
      </c>
      <c r="K1874" s="33" t="n">
        <v>2</v>
      </c>
      <c r="L1874" s="34"/>
      <c r="M1874" s="35"/>
      <c r="N1874" s="36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9"/>
      <c r="Z1874" s="39"/>
      <c r="AA1874" s="28"/>
      <c r="AMJ1874" s="0"/>
    </row>
    <row r="1875" s="2" customFormat="true" ht="12.75" hidden="false" customHeight="true" outlineLevel="0" collapsed="false">
      <c r="A1875" s="27" t="s">
        <v>3556</v>
      </c>
      <c r="B1875" s="27" t="s">
        <v>1603</v>
      </c>
      <c r="C1875" s="28" t="s">
        <v>41</v>
      </c>
      <c r="D1875" s="27" t="s">
        <v>3401</v>
      </c>
      <c r="E1875" s="27"/>
      <c r="F1875" s="29" t="s">
        <v>3557</v>
      </c>
      <c r="G1875" s="30" t="n">
        <v>92300</v>
      </c>
      <c r="H1875" s="31" t="s">
        <v>3403</v>
      </c>
      <c r="I1875" s="32"/>
      <c r="J1875" s="33" t="n">
        <v>356</v>
      </c>
      <c r="K1875" s="33" t="n">
        <v>7</v>
      </c>
      <c r="L1875" s="34"/>
      <c r="M1875" s="35"/>
      <c r="N1875" s="36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9"/>
      <c r="Z1875" s="39"/>
      <c r="AA1875" s="28"/>
      <c r="AMJ1875" s="0"/>
    </row>
    <row r="1876" s="2" customFormat="true" ht="12.75" hidden="false" customHeight="true" outlineLevel="0" collapsed="false">
      <c r="A1876" s="27" t="s">
        <v>3558</v>
      </c>
      <c r="B1876" s="27" t="s">
        <v>1901</v>
      </c>
      <c r="C1876" s="28" t="s">
        <v>178</v>
      </c>
      <c r="D1876" s="27" t="s">
        <v>3401</v>
      </c>
      <c r="E1876" s="27"/>
      <c r="F1876" s="29" t="s">
        <v>3559</v>
      </c>
      <c r="G1876" s="30" t="n">
        <v>92300</v>
      </c>
      <c r="H1876" s="31" t="s">
        <v>3403</v>
      </c>
      <c r="I1876" s="32" t="n">
        <v>147578038</v>
      </c>
      <c r="J1876" s="33" t="n">
        <v>159</v>
      </c>
      <c r="K1876" s="33" t="n">
        <v>3</v>
      </c>
      <c r="L1876" s="34" t="n">
        <v>1</v>
      </c>
      <c r="M1876" s="35" t="s">
        <v>164</v>
      </c>
      <c r="N1876" s="36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39"/>
      <c r="Z1876" s="39"/>
      <c r="AA1876" s="28" t="n">
        <v>3</v>
      </c>
      <c r="AMJ1876" s="0"/>
    </row>
    <row r="1877" s="2" customFormat="true" ht="12.75" hidden="false" customHeight="true" outlineLevel="0" collapsed="false">
      <c r="A1877" s="27" t="s">
        <v>3560</v>
      </c>
      <c r="B1877" s="27" t="s">
        <v>711</v>
      </c>
      <c r="C1877" s="28" t="s">
        <v>41</v>
      </c>
      <c r="D1877" s="27" t="s">
        <v>3401</v>
      </c>
      <c r="E1877" s="27"/>
      <c r="F1877" s="29" t="s">
        <v>3561</v>
      </c>
      <c r="G1877" s="30" t="n">
        <v>92300</v>
      </c>
      <c r="H1877" s="31" t="s">
        <v>3403</v>
      </c>
      <c r="I1877" s="32" t="n">
        <v>147374230</v>
      </c>
      <c r="J1877" s="33" t="n">
        <v>228</v>
      </c>
      <c r="K1877" s="33" t="n">
        <v>1</v>
      </c>
      <c r="L1877" s="34"/>
      <c r="M1877" s="35"/>
      <c r="N1877" s="36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9"/>
      <c r="Z1877" s="39"/>
      <c r="AA1877" s="28"/>
      <c r="AMJ1877" s="0"/>
    </row>
    <row r="1878" s="2" customFormat="true" ht="12.75" hidden="false" customHeight="true" outlineLevel="0" collapsed="false">
      <c r="A1878" s="27" t="s">
        <v>3562</v>
      </c>
      <c r="B1878" s="27" t="s">
        <v>88</v>
      </c>
      <c r="C1878" s="28" t="s">
        <v>41</v>
      </c>
      <c r="D1878" s="27" t="s">
        <v>3401</v>
      </c>
      <c r="E1878" s="27"/>
      <c r="F1878" s="29" t="s">
        <v>3563</v>
      </c>
      <c r="G1878" s="30" t="n">
        <v>92300</v>
      </c>
      <c r="H1878" s="31" t="s">
        <v>3403</v>
      </c>
      <c r="I1878" s="32"/>
      <c r="J1878" s="33" t="n">
        <v>350</v>
      </c>
      <c r="K1878" s="33" t="n">
        <v>1</v>
      </c>
      <c r="L1878" s="34"/>
      <c r="M1878" s="35"/>
      <c r="N1878" s="36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9" t="n">
        <v>45198.3645833333</v>
      </c>
      <c r="Z1878" s="39"/>
      <c r="AA1878" s="28"/>
      <c r="AMJ1878" s="0"/>
    </row>
    <row r="1879" s="2" customFormat="true" ht="12.75" hidden="false" customHeight="true" outlineLevel="0" collapsed="false">
      <c r="A1879" s="27" t="s">
        <v>3564</v>
      </c>
      <c r="B1879" s="27" t="s">
        <v>84</v>
      </c>
      <c r="C1879" s="28" t="s">
        <v>41</v>
      </c>
      <c r="D1879" s="27" t="s">
        <v>3401</v>
      </c>
      <c r="E1879" s="27"/>
      <c r="F1879" s="29" t="s">
        <v>3563</v>
      </c>
      <c r="G1879" s="30" t="n">
        <v>92300</v>
      </c>
      <c r="H1879" s="31" t="s">
        <v>3403</v>
      </c>
      <c r="I1879" s="32"/>
      <c r="J1879" s="33" t="n">
        <v>346</v>
      </c>
      <c r="K1879" s="33" t="n">
        <v>1</v>
      </c>
      <c r="L1879" s="34"/>
      <c r="M1879" s="35"/>
      <c r="N1879" s="36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9"/>
      <c r="Z1879" s="39"/>
      <c r="AA1879" s="28"/>
      <c r="AMJ1879" s="0"/>
    </row>
    <row r="1880" s="2" customFormat="true" ht="12.75" hidden="false" customHeight="true" outlineLevel="0" collapsed="false">
      <c r="A1880" s="27" t="s">
        <v>451</v>
      </c>
      <c r="B1880" s="27" t="s">
        <v>931</v>
      </c>
      <c r="C1880" s="28" t="s">
        <v>41</v>
      </c>
      <c r="D1880" s="27" t="s">
        <v>3401</v>
      </c>
      <c r="E1880" s="27"/>
      <c r="F1880" s="29" t="s">
        <v>3565</v>
      </c>
      <c r="G1880" s="30" t="n">
        <v>92300</v>
      </c>
      <c r="H1880" s="31" t="s">
        <v>3403</v>
      </c>
      <c r="I1880" s="32" t="n">
        <v>175843023</v>
      </c>
      <c r="J1880" s="33" t="n">
        <v>205</v>
      </c>
      <c r="K1880" s="33" t="n">
        <v>2</v>
      </c>
      <c r="L1880" s="34"/>
      <c r="M1880" s="35"/>
      <c r="N1880" s="36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9"/>
      <c r="Z1880" s="39"/>
      <c r="AA1880" s="28"/>
      <c r="AMJ1880" s="0"/>
    </row>
    <row r="1881" s="2" customFormat="true" ht="12.75" hidden="false" customHeight="true" outlineLevel="0" collapsed="false">
      <c r="A1881" s="27" t="s">
        <v>3566</v>
      </c>
      <c r="B1881" s="27" t="s">
        <v>88</v>
      </c>
      <c r="C1881" s="28" t="s">
        <v>178</v>
      </c>
      <c r="D1881" s="27" t="s">
        <v>3401</v>
      </c>
      <c r="E1881" s="27" t="s">
        <v>3567</v>
      </c>
      <c r="F1881" s="29" t="s">
        <v>3568</v>
      </c>
      <c r="G1881" s="30" t="n">
        <v>92300</v>
      </c>
      <c r="H1881" s="31" t="s">
        <v>3403</v>
      </c>
      <c r="I1881" s="32" t="n">
        <v>148882660</v>
      </c>
      <c r="J1881" s="33" t="n">
        <v>588</v>
      </c>
      <c r="K1881" s="33" t="n">
        <v>1</v>
      </c>
      <c r="L1881" s="34" t="n">
        <v>2</v>
      </c>
      <c r="M1881" s="35" t="s">
        <v>3569</v>
      </c>
      <c r="N1881" s="36"/>
      <c r="O1881" s="41"/>
      <c r="P1881" s="41"/>
      <c r="Q1881" s="41"/>
      <c r="R1881" s="41"/>
      <c r="S1881" s="41"/>
      <c r="T1881" s="41"/>
      <c r="U1881" s="41"/>
      <c r="V1881" s="41"/>
      <c r="W1881" s="41"/>
      <c r="X1881" s="41"/>
      <c r="Y1881" s="39"/>
      <c r="Z1881" s="39"/>
      <c r="AA1881" s="28" t="n">
        <v>2</v>
      </c>
      <c r="AMJ1881" s="0"/>
    </row>
    <row r="1882" s="2" customFormat="true" ht="12.75" hidden="false" customHeight="true" outlineLevel="0" collapsed="false">
      <c r="A1882" s="27" t="s">
        <v>3570</v>
      </c>
      <c r="B1882" s="27" t="s">
        <v>84</v>
      </c>
      <c r="C1882" s="28" t="s">
        <v>33</v>
      </c>
      <c r="D1882" s="27" t="s">
        <v>3401</v>
      </c>
      <c r="E1882" s="27"/>
      <c r="F1882" s="29" t="s">
        <v>3568</v>
      </c>
      <c r="G1882" s="30" t="n">
        <v>92300</v>
      </c>
      <c r="H1882" s="31" t="s">
        <v>3403</v>
      </c>
      <c r="I1882" s="32" t="n">
        <v>140899030</v>
      </c>
      <c r="J1882" s="33" t="n">
        <v>90</v>
      </c>
      <c r="K1882" s="33" t="n">
        <v>1</v>
      </c>
      <c r="L1882" s="34"/>
      <c r="M1882" s="35"/>
      <c r="N1882" s="36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9"/>
      <c r="Z1882" s="39"/>
      <c r="AA1882" s="28"/>
      <c r="AC1882" s="2" t="s">
        <v>197</v>
      </c>
      <c r="AMJ1882" s="0"/>
    </row>
    <row r="1883" s="2" customFormat="true" ht="12.75" hidden="false" customHeight="true" outlineLevel="0" collapsed="false">
      <c r="A1883" s="27" t="s">
        <v>3571</v>
      </c>
      <c r="B1883" s="27" t="s">
        <v>237</v>
      </c>
      <c r="C1883" s="28" t="s">
        <v>41</v>
      </c>
      <c r="D1883" s="27" t="s">
        <v>3401</v>
      </c>
      <c r="E1883" s="27"/>
      <c r="F1883" s="29" t="s">
        <v>3572</v>
      </c>
      <c r="G1883" s="30" t="n">
        <v>92300</v>
      </c>
      <c r="H1883" s="31" t="s">
        <v>3403</v>
      </c>
      <c r="I1883" s="32"/>
      <c r="J1883" s="33" t="n">
        <v>0</v>
      </c>
      <c r="K1883" s="33" t="n">
        <v>2</v>
      </c>
      <c r="L1883" s="34"/>
      <c r="M1883" s="35"/>
      <c r="N1883" s="36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9"/>
      <c r="Z1883" s="39"/>
      <c r="AA1883" s="28"/>
      <c r="AMJ1883" s="0"/>
    </row>
    <row r="1884" s="2" customFormat="true" ht="12.75" hidden="false" customHeight="true" outlineLevel="0" collapsed="false">
      <c r="A1884" s="27" t="s">
        <v>3573</v>
      </c>
      <c r="B1884" s="27" t="s">
        <v>1670</v>
      </c>
      <c r="C1884" s="28" t="s">
        <v>33</v>
      </c>
      <c r="D1884" s="27" t="s">
        <v>3401</v>
      </c>
      <c r="E1884" s="27"/>
      <c r="F1884" s="29" t="s">
        <v>3574</v>
      </c>
      <c r="G1884" s="30" t="n">
        <v>92300</v>
      </c>
      <c r="H1884" s="31" t="s">
        <v>3403</v>
      </c>
      <c r="I1884" s="32" t="n">
        <v>147480008</v>
      </c>
      <c r="J1884" s="33" t="n">
        <v>106</v>
      </c>
      <c r="K1884" s="33" t="n">
        <v>1</v>
      </c>
      <c r="L1884" s="34"/>
      <c r="M1884" s="35"/>
      <c r="N1884" s="36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9"/>
      <c r="Z1884" s="39"/>
      <c r="AA1884" s="28"/>
      <c r="AC1884" s="2" t="s">
        <v>38</v>
      </c>
      <c r="AMJ1884" s="0"/>
    </row>
    <row r="1885" s="2" customFormat="true" ht="12.75" hidden="false" customHeight="true" outlineLevel="0" collapsed="false">
      <c r="A1885" s="27" t="s">
        <v>3575</v>
      </c>
      <c r="B1885" s="27" t="s">
        <v>377</v>
      </c>
      <c r="C1885" s="28" t="s">
        <v>41</v>
      </c>
      <c r="D1885" s="27" t="s">
        <v>3401</v>
      </c>
      <c r="E1885" s="27"/>
      <c r="F1885" s="29" t="s">
        <v>3576</v>
      </c>
      <c r="G1885" s="30" t="n">
        <v>92300</v>
      </c>
      <c r="H1885" s="31" t="s">
        <v>3403</v>
      </c>
      <c r="I1885" s="32" t="n">
        <v>147370259</v>
      </c>
      <c r="J1885" s="33" t="n">
        <v>188</v>
      </c>
      <c r="K1885" s="33" t="n">
        <v>11</v>
      </c>
      <c r="L1885" s="34" t="n">
        <v>2</v>
      </c>
      <c r="M1885" s="35" t="s">
        <v>164</v>
      </c>
      <c r="N1885" s="36"/>
      <c r="O1885" s="41"/>
      <c r="P1885" s="41"/>
      <c r="Q1885" s="41"/>
      <c r="R1885" s="41"/>
      <c r="S1885" s="41"/>
      <c r="T1885" s="41"/>
      <c r="U1885" s="41"/>
      <c r="V1885" s="41"/>
      <c r="W1885" s="41"/>
      <c r="X1885" s="41"/>
      <c r="Y1885" s="39"/>
      <c r="Z1885" s="39"/>
      <c r="AA1885" s="28" t="n">
        <v>3</v>
      </c>
      <c r="AMJ1885" s="0"/>
    </row>
    <row r="1886" s="2" customFormat="true" ht="12.75" hidden="false" customHeight="true" outlineLevel="0" collapsed="false">
      <c r="A1886" s="27" t="s">
        <v>3577</v>
      </c>
      <c r="B1886" s="27" t="s">
        <v>642</v>
      </c>
      <c r="C1886" s="28" t="s">
        <v>41</v>
      </c>
      <c r="D1886" s="27" t="s">
        <v>3401</v>
      </c>
      <c r="E1886" s="27"/>
      <c r="F1886" s="29" t="s">
        <v>3578</v>
      </c>
      <c r="G1886" s="30" t="n">
        <v>92300</v>
      </c>
      <c r="H1886" s="31" t="s">
        <v>3403</v>
      </c>
      <c r="I1886" s="32" t="n">
        <v>147314478</v>
      </c>
      <c r="J1886" s="33" t="n">
        <v>344</v>
      </c>
      <c r="K1886" s="33" t="n">
        <v>1</v>
      </c>
      <c r="L1886" s="34"/>
      <c r="M1886" s="35"/>
      <c r="N1886" s="36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9"/>
      <c r="Z1886" s="39"/>
      <c r="AA1886" s="28"/>
      <c r="AMJ1886" s="0"/>
    </row>
    <row r="1887" s="2" customFormat="true" ht="12.75" hidden="false" customHeight="true" outlineLevel="0" collapsed="false">
      <c r="A1887" s="27" t="s">
        <v>549</v>
      </c>
      <c r="B1887" s="27" t="s">
        <v>428</v>
      </c>
      <c r="C1887" s="28" t="s">
        <v>41</v>
      </c>
      <c r="D1887" s="27" t="s">
        <v>3401</v>
      </c>
      <c r="E1887" s="27"/>
      <c r="F1887" s="29" t="s">
        <v>3579</v>
      </c>
      <c r="G1887" s="30" t="n">
        <v>92300</v>
      </c>
      <c r="H1887" s="31" t="s">
        <v>3403</v>
      </c>
      <c r="I1887" s="32" t="n">
        <v>147374852</v>
      </c>
      <c r="J1887" s="33" t="n">
        <v>274</v>
      </c>
      <c r="K1887" s="33" t="n">
        <v>6</v>
      </c>
      <c r="L1887" s="34"/>
      <c r="M1887" s="35"/>
      <c r="N1887" s="36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9"/>
      <c r="Z1887" s="39"/>
      <c r="AA1887" s="28"/>
      <c r="AMJ1887" s="0"/>
    </row>
    <row r="1888" s="2" customFormat="true" ht="12.75" hidden="false" customHeight="true" outlineLevel="0" collapsed="false">
      <c r="A1888" s="27" t="s">
        <v>3580</v>
      </c>
      <c r="B1888" s="27" t="s">
        <v>3581</v>
      </c>
      <c r="C1888" s="28" t="s">
        <v>41</v>
      </c>
      <c r="D1888" s="27" t="s">
        <v>3401</v>
      </c>
      <c r="E1888" s="27"/>
      <c r="F1888" s="29" t="s">
        <v>3582</v>
      </c>
      <c r="G1888" s="30" t="n">
        <v>92300</v>
      </c>
      <c r="H1888" s="31" t="s">
        <v>3403</v>
      </c>
      <c r="I1888" s="32" t="n">
        <v>147575583</v>
      </c>
      <c r="J1888" s="33" t="n">
        <v>351</v>
      </c>
      <c r="K1888" s="33" t="n">
        <v>2</v>
      </c>
      <c r="L1888" s="34"/>
      <c r="M1888" s="35"/>
      <c r="N1888" s="36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9"/>
      <c r="Z1888" s="39"/>
      <c r="AA1888" s="28"/>
      <c r="AMJ1888" s="0"/>
    </row>
    <row r="1889" s="2" customFormat="true" ht="12.75" hidden="false" customHeight="true" outlineLevel="0" collapsed="false">
      <c r="A1889" s="27" t="s">
        <v>3583</v>
      </c>
      <c r="B1889" s="27" t="s">
        <v>210</v>
      </c>
      <c r="C1889" s="28" t="s">
        <v>41</v>
      </c>
      <c r="D1889" s="27" t="s">
        <v>3401</v>
      </c>
      <c r="E1889" s="27"/>
      <c r="F1889" s="29" t="s">
        <v>3582</v>
      </c>
      <c r="G1889" s="30" t="n">
        <v>92300</v>
      </c>
      <c r="H1889" s="31" t="s">
        <v>3403</v>
      </c>
      <c r="I1889" s="32" t="n">
        <v>147575583</v>
      </c>
      <c r="J1889" s="33" t="n">
        <v>287</v>
      </c>
      <c r="K1889" s="33" t="n">
        <v>3</v>
      </c>
      <c r="L1889" s="34"/>
      <c r="M1889" s="35"/>
      <c r="N1889" s="36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9" t="n">
        <v>45196.6145833333</v>
      </c>
      <c r="Z1889" s="39"/>
      <c r="AA1889" s="28"/>
      <c r="AMJ1889" s="0"/>
    </row>
    <row r="1890" s="2" customFormat="true" ht="12.75" hidden="false" customHeight="true" outlineLevel="0" collapsed="false">
      <c r="A1890" s="27" t="s">
        <v>3584</v>
      </c>
      <c r="B1890" s="27" t="s">
        <v>210</v>
      </c>
      <c r="C1890" s="28" t="s">
        <v>41</v>
      </c>
      <c r="D1890" s="27" t="s">
        <v>3401</v>
      </c>
      <c r="E1890" s="27"/>
      <c r="F1890" s="29" t="s">
        <v>3582</v>
      </c>
      <c r="G1890" s="30" t="n">
        <v>92300</v>
      </c>
      <c r="H1890" s="31" t="s">
        <v>3403</v>
      </c>
      <c r="I1890" s="32" t="n">
        <v>147575583</v>
      </c>
      <c r="J1890" s="33" t="n">
        <v>81</v>
      </c>
      <c r="K1890" s="33" t="n">
        <v>0</v>
      </c>
      <c r="L1890" s="34"/>
      <c r="M1890" s="35"/>
      <c r="N1890" s="36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9" t="n">
        <v>45196.6666666667</v>
      </c>
      <c r="Z1890" s="39"/>
      <c r="AA1890" s="28"/>
      <c r="AMJ1890" s="0"/>
    </row>
    <row r="1891" s="2" customFormat="true" ht="12.75" hidden="false" customHeight="true" outlineLevel="0" collapsed="false">
      <c r="A1891" s="27" t="s">
        <v>3585</v>
      </c>
      <c r="B1891" s="27" t="s">
        <v>3586</v>
      </c>
      <c r="C1891" s="28" t="s">
        <v>41</v>
      </c>
      <c r="D1891" s="27" t="s">
        <v>3401</v>
      </c>
      <c r="E1891" s="27"/>
      <c r="F1891" s="29" t="s">
        <v>3582</v>
      </c>
      <c r="G1891" s="30" t="n">
        <v>92300</v>
      </c>
      <c r="H1891" s="31" t="s">
        <v>3403</v>
      </c>
      <c r="I1891" s="32" t="n">
        <v>147575583</v>
      </c>
      <c r="J1891" s="33" t="n">
        <v>0</v>
      </c>
      <c r="K1891" s="33" t="n">
        <v>2</v>
      </c>
      <c r="L1891" s="34"/>
      <c r="M1891" s="35"/>
      <c r="N1891" s="36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9"/>
      <c r="Z1891" s="39"/>
      <c r="AA1891" s="28"/>
      <c r="AMJ1891" s="0"/>
    </row>
    <row r="1892" s="2" customFormat="true" ht="12.75" hidden="false" customHeight="true" outlineLevel="0" collapsed="false">
      <c r="A1892" s="27" t="s">
        <v>3587</v>
      </c>
      <c r="B1892" s="27" t="s">
        <v>3385</v>
      </c>
      <c r="C1892" s="28" t="s">
        <v>121</v>
      </c>
      <c r="D1892" s="27" t="s">
        <v>3401</v>
      </c>
      <c r="E1892" s="27"/>
      <c r="F1892" s="29" t="s">
        <v>3588</v>
      </c>
      <c r="G1892" s="30" t="n">
        <v>92300</v>
      </c>
      <c r="H1892" s="31" t="s">
        <v>3403</v>
      </c>
      <c r="I1892" s="32" t="n">
        <v>184887553</v>
      </c>
      <c r="J1892" s="33" t="n">
        <v>102</v>
      </c>
      <c r="K1892" s="33" t="n">
        <v>1</v>
      </c>
      <c r="L1892" s="34"/>
      <c r="M1892" s="35"/>
      <c r="N1892" s="36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9"/>
      <c r="Z1892" s="39"/>
      <c r="AA1892" s="28"/>
      <c r="AMJ1892" s="0"/>
    </row>
    <row r="1893" s="2" customFormat="true" ht="12.75" hidden="false" customHeight="true" outlineLevel="0" collapsed="false">
      <c r="A1893" s="27" t="s">
        <v>3589</v>
      </c>
      <c r="B1893" s="27" t="s">
        <v>3590</v>
      </c>
      <c r="C1893" s="28" t="s">
        <v>41</v>
      </c>
      <c r="D1893" s="27" t="s">
        <v>3401</v>
      </c>
      <c r="E1893" s="27"/>
      <c r="F1893" s="29" t="s">
        <v>3591</v>
      </c>
      <c r="G1893" s="30" t="n">
        <v>92300</v>
      </c>
      <c r="H1893" s="31" t="s">
        <v>3403</v>
      </c>
      <c r="I1893" s="32" t="n">
        <v>147310029</v>
      </c>
      <c r="J1893" s="33" t="n">
        <v>623</v>
      </c>
      <c r="K1893" s="33" t="n">
        <v>5</v>
      </c>
      <c r="L1893" s="34"/>
      <c r="M1893" s="35"/>
      <c r="N1893" s="36" t="s">
        <v>3592</v>
      </c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9"/>
      <c r="Z1893" s="39"/>
      <c r="AA1893" s="28"/>
      <c r="AMJ1893" s="0"/>
    </row>
    <row r="1894" s="2" customFormat="true" ht="12.75" hidden="false" customHeight="true" outlineLevel="0" collapsed="false">
      <c r="A1894" s="27" t="s">
        <v>3593</v>
      </c>
      <c r="B1894" s="27" t="s">
        <v>112</v>
      </c>
      <c r="C1894" s="28" t="s">
        <v>41</v>
      </c>
      <c r="D1894" s="27" t="s">
        <v>3401</v>
      </c>
      <c r="E1894" s="27"/>
      <c r="F1894" s="29" t="s">
        <v>3594</v>
      </c>
      <c r="G1894" s="30" t="n">
        <v>92300</v>
      </c>
      <c r="H1894" s="31" t="s">
        <v>3403</v>
      </c>
      <c r="I1894" s="32" t="n">
        <v>953917767</v>
      </c>
      <c r="J1894" s="33" t="n">
        <v>251</v>
      </c>
      <c r="K1894" s="33" t="n">
        <v>6</v>
      </c>
      <c r="L1894" s="34" t="n">
        <v>2</v>
      </c>
      <c r="M1894" s="35" t="s">
        <v>164</v>
      </c>
      <c r="N1894" s="36"/>
      <c r="O1894" s="41"/>
      <c r="P1894" s="41"/>
      <c r="Q1894" s="41"/>
      <c r="R1894" s="41"/>
      <c r="S1894" s="41"/>
      <c r="T1894" s="41"/>
      <c r="U1894" s="41"/>
      <c r="V1894" s="41"/>
      <c r="W1894" s="41"/>
      <c r="X1894" s="41"/>
      <c r="Y1894" s="39"/>
      <c r="Z1894" s="39"/>
      <c r="AA1894" s="28"/>
      <c r="AMJ1894" s="0"/>
    </row>
    <row r="1895" s="2" customFormat="true" ht="12.75" hidden="false" customHeight="true" outlineLevel="0" collapsed="false">
      <c r="A1895" s="27" t="s">
        <v>3595</v>
      </c>
      <c r="B1895" s="27" t="s">
        <v>3596</v>
      </c>
      <c r="C1895" s="28" t="s">
        <v>121</v>
      </c>
      <c r="D1895" s="27" t="s">
        <v>3401</v>
      </c>
      <c r="E1895" s="27"/>
      <c r="F1895" s="29" t="s">
        <v>3597</v>
      </c>
      <c r="G1895" s="30" t="n">
        <v>92300</v>
      </c>
      <c r="H1895" s="31" t="s">
        <v>3403</v>
      </c>
      <c r="I1895" s="32" t="n">
        <v>147377185</v>
      </c>
      <c r="J1895" s="33" t="n">
        <v>102</v>
      </c>
      <c r="K1895" s="33" t="n">
        <v>5</v>
      </c>
      <c r="L1895" s="34"/>
      <c r="M1895" s="35"/>
      <c r="N1895" s="36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9"/>
      <c r="Z1895" s="39"/>
      <c r="AA1895" s="28"/>
      <c r="AMJ1895" s="0"/>
    </row>
    <row r="1896" s="2" customFormat="true" ht="12.75" hidden="false" customHeight="true" outlineLevel="0" collapsed="false">
      <c r="A1896" s="27" t="s">
        <v>2641</v>
      </c>
      <c r="B1896" s="27" t="s">
        <v>177</v>
      </c>
      <c r="C1896" s="28" t="s">
        <v>33</v>
      </c>
      <c r="D1896" s="27" t="s">
        <v>3401</v>
      </c>
      <c r="E1896" s="27"/>
      <c r="F1896" s="29" t="s">
        <v>3598</v>
      </c>
      <c r="G1896" s="30" t="n">
        <v>92300</v>
      </c>
      <c r="H1896" s="31" t="s">
        <v>3403</v>
      </c>
      <c r="I1896" s="32" t="n">
        <v>155469050</v>
      </c>
      <c r="J1896" s="33" t="n">
        <v>97</v>
      </c>
      <c r="K1896" s="33" t="n">
        <v>1</v>
      </c>
      <c r="L1896" s="34"/>
      <c r="M1896" s="35"/>
      <c r="N1896" s="36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9"/>
      <c r="Z1896" s="39"/>
      <c r="AA1896" s="28"/>
      <c r="AC1896" s="2" t="s">
        <v>38</v>
      </c>
      <c r="AMJ1896" s="0"/>
    </row>
    <row r="1897" s="2" customFormat="true" ht="12.75" hidden="false" customHeight="true" outlineLevel="0" collapsed="false">
      <c r="A1897" s="27" t="s">
        <v>883</v>
      </c>
      <c r="B1897" s="27" t="s">
        <v>3599</v>
      </c>
      <c r="C1897" s="28" t="s">
        <v>33</v>
      </c>
      <c r="D1897" s="27" t="s">
        <v>3401</v>
      </c>
      <c r="E1897" s="27"/>
      <c r="F1897" s="29" t="s">
        <v>3598</v>
      </c>
      <c r="G1897" s="30" t="n">
        <v>92300</v>
      </c>
      <c r="H1897" s="31" t="s">
        <v>3403</v>
      </c>
      <c r="I1897" s="32" t="n">
        <v>155469050</v>
      </c>
      <c r="J1897" s="33" t="n">
        <v>68</v>
      </c>
      <c r="K1897" s="33" t="n">
        <v>1</v>
      </c>
      <c r="L1897" s="34"/>
      <c r="M1897" s="35"/>
      <c r="N1897" s="36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9"/>
      <c r="Z1897" s="39"/>
      <c r="AA1897" s="28"/>
      <c r="AC1897" s="2" t="s">
        <v>38</v>
      </c>
      <c r="AMJ1897" s="0"/>
    </row>
    <row r="1898" s="2" customFormat="true" ht="12.75" hidden="false" customHeight="true" outlineLevel="0" collapsed="false">
      <c r="A1898" s="27" t="s">
        <v>3600</v>
      </c>
      <c r="B1898" s="27" t="s">
        <v>419</v>
      </c>
      <c r="C1898" s="28" t="s">
        <v>33</v>
      </c>
      <c r="D1898" s="27" t="s">
        <v>3401</v>
      </c>
      <c r="E1898" s="27"/>
      <c r="F1898" s="29" t="s">
        <v>3598</v>
      </c>
      <c r="G1898" s="30" t="n">
        <v>92300</v>
      </c>
      <c r="H1898" s="31" t="s">
        <v>3403</v>
      </c>
      <c r="I1898" s="32" t="n">
        <v>155469050</v>
      </c>
      <c r="J1898" s="33" t="n">
        <v>0</v>
      </c>
      <c r="K1898" s="33" t="n">
        <v>1</v>
      </c>
      <c r="L1898" s="34"/>
      <c r="M1898" s="35"/>
      <c r="N1898" s="36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9"/>
      <c r="Z1898" s="39"/>
      <c r="AA1898" s="28"/>
      <c r="AC1898" s="2" t="s">
        <v>38</v>
      </c>
      <c r="AMJ1898" s="0"/>
    </row>
    <row r="1899" s="2" customFormat="true" ht="12.75" hidden="false" customHeight="true" outlineLevel="0" collapsed="false">
      <c r="A1899" s="27" t="s">
        <v>3601</v>
      </c>
      <c r="B1899" s="27" t="s">
        <v>3602</v>
      </c>
      <c r="C1899" s="28" t="s">
        <v>41</v>
      </c>
      <c r="D1899" s="27" t="s">
        <v>3401</v>
      </c>
      <c r="E1899" s="27"/>
      <c r="F1899" s="29" t="s">
        <v>3603</v>
      </c>
      <c r="G1899" s="30" t="n">
        <v>92300</v>
      </c>
      <c r="H1899" s="31" t="s">
        <v>3403</v>
      </c>
      <c r="I1899" s="32" t="n">
        <v>147587104</v>
      </c>
      <c r="J1899" s="33" t="n">
        <v>150</v>
      </c>
      <c r="K1899" s="33" t="n">
        <v>4</v>
      </c>
      <c r="L1899" s="34"/>
      <c r="M1899" s="35"/>
      <c r="N1899" s="36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9"/>
      <c r="Z1899" s="39"/>
      <c r="AA1899" s="28"/>
      <c r="AMJ1899" s="0"/>
    </row>
    <row r="1900" s="2" customFormat="true" ht="12.75" hidden="false" customHeight="true" outlineLevel="0" collapsed="false">
      <c r="A1900" s="27" t="s">
        <v>3604</v>
      </c>
      <c r="B1900" s="27" t="s">
        <v>3605</v>
      </c>
      <c r="C1900" s="28" t="s">
        <v>41</v>
      </c>
      <c r="D1900" s="27" t="s">
        <v>3401</v>
      </c>
      <c r="E1900" s="27"/>
      <c r="F1900" s="29" t="s">
        <v>3606</v>
      </c>
      <c r="G1900" s="30" t="n">
        <v>92300</v>
      </c>
      <c r="H1900" s="31" t="s">
        <v>3403</v>
      </c>
      <c r="I1900" s="32" t="n">
        <v>146970175</v>
      </c>
      <c r="J1900" s="33" t="n">
        <v>229</v>
      </c>
      <c r="K1900" s="33" t="n">
        <v>1</v>
      </c>
      <c r="L1900" s="34"/>
      <c r="M1900" s="35"/>
      <c r="N1900" s="36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9"/>
      <c r="Z1900" s="39"/>
      <c r="AA1900" s="28"/>
      <c r="AMJ1900" s="0"/>
    </row>
    <row r="1901" s="2" customFormat="true" ht="12.75" hidden="false" customHeight="true" outlineLevel="0" collapsed="false">
      <c r="A1901" s="27" t="s">
        <v>3607</v>
      </c>
      <c r="B1901" s="27" t="s">
        <v>2550</v>
      </c>
      <c r="C1901" s="28" t="s">
        <v>121</v>
      </c>
      <c r="D1901" s="27" t="s">
        <v>3401</v>
      </c>
      <c r="E1901" s="27"/>
      <c r="F1901" s="29" t="s">
        <v>3608</v>
      </c>
      <c r="G1901" s="30" t="n">
        <v>92300</v>
      </c>
      <c r="H1901" s="31" t="s">
        <v>3403</v>
      </c>
      <c r="I1901" s="32" t="n">
        <v>147311781</v>
      </c>
      <c r="J1901" s="33" t="n">
        <v>431</v>
      </c>
      <c r="K1901" s="33" t="n">
        <v>13</v>
      </c>
      <c r="L1901" s="34" t="n">
        <v>1</v>
      </c>
      <c r="M1901" s="35" t="s">
        <v>164</v>
      </c>
      <c r="N1901" s="36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39" t="n">
        <v>45196.4895833333</v>
      </c>
      <c r="Z1901" s="39"/>
      <c r="AA1901" s="28" t="n">
        <v>3</v>
      </c>
      <c r="AMJ1901" s="0"/>
    </row>
    <row r="1902" s="2" customFormat="true" ht="12.75" hidden="false" customHeight="true" outlineLevel="0" collapsed="false">
      <c r="A1902" s="27" t="s">
        <v>3609</v>
      </c>
      <c r="B1902" s="27" t="s">
        <v>234</v>
      </c>
      <c r="C1902" s="28" t="s">
        <v>41</v>
      </c>
      <c r="D1902" s="27" t="s">
        <v>3401</v>
      </c>
      <c r="E1902" s="27"/>
      <c r="F1902" s="29" t="s">
        <v>3610</v>
      </c>
      <c r="G1902" s="30" t="n">
        <v>92300</v>
      </c>
      <c r="H1902" s="31" t="s">
        <v>3403</v>
      </c>
      <c r="I1902" s="32" t="n">
        <v>147377755</v>
      </c>
      <c r="J1902" s="33" t="n">
        <v>369</v>
      </c>
      <c r="K1902" s="33" t="n">
        <v>7</v>
      </c>
      <c r="L1902" s="34"/>
      <c r="M1902" s="35"/>
      <c r="N1902" s="36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9"/>
      <c r="Z1902" s="39"/>
      <c r="AA1902" s="28"/>
      <c r="AMJ1902" s="0"/>
    </row>
    <row r="1903" s="2" customFormat="true" ht="12.75" hidden="false" customHeight="true" outlineLevel="0" collapsed="false">
      <c r="A1903" s="27" t="s">
        <v>3611</v>
      </c>
      <c r="B1903" s="27" t="s">
        <v>187</v>
      </c>
      <c r="C1903" s="28" t="s">
        <v>41</v>
      </c>
      <c r="D1903" s="27" t="s">
        <v>3401</v>
      </c>
      <c r="E1903" s="27"/>
      <c r="F1903" s="29" t="s">
        <v>3610</v>
      </c>
      <c r="G1903" s="30" t="n">
        <v>92300</v>
      </c>
      <c r="H1903" s="31" t="s">
        <v>3403</v>
      </c>
      <c r="I1903" s="32" t="n">
        <v>147377755</v>
      </c>
      <c r="J1903" s="33" t="n">
        <v>356</v>
      </c>
      <c r="K1903" s="33" t="n">
        <v>0</v>
      </c>
      <c r="L1903" s="34"/>
      <c r="M1903" s="35"/>
      <c r="N1903" s="36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9"/>
      <c r="Z1903" s="39"/>
      <c r="AA1903" s="28"/>
      <c r="AMJ1903" s="0"/>
    </row>
    <row r="1904" s="2" customFormat="true" ht="12.75" hidden="false" customHeight="true" outlineLevel="0" collapsed="false">
      <c r="A1904" s="27" t="s">
        <v>3612</v>
      </c>
      <c r="B1904" s="27" t="s">
        <v>127</v>
      </c>
      <c r="C1904" s="28" t="s">
        <v>41</v>
      </c>
      <c r="D1904" s="27" t="s">
        <v>3401</v>
      </c>
      <c r="E1904" s="27"/>
      <c r="F1904" s="29" t="s">
        <v>3610</v>
      </c>
      <c r="G1904" s="30" t="n">
        <v>92300</v>
      </c>
      <c r="H1904" s="31" t="s">
        <v>3403</v>
      </c>
      <c r="I1904" s="32" t="n">
        <v>147377755</v>
      </c>
      <c r="J1904" s="33" t="n">
        <v>308</v>
      </c>
      <c r="K1904" s="33" t="n">
        <v>12</v>
      </c>
      <c r="L1904" s="34"/>
      <c r="M1904" s="35" t="s">
        <v>164</v>
      </c>
      <c r="N1904" s="36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9"/>
      <c r="Z1904" s="39"/>
      <c r="AA1904" s="28"/>
      <c r="AMJ1904" s="0"/>
    </row>
    <row r="1905" s="2" customFormat="true" ht="12.75" hidden="false" customHeight="true" outlineLevel="0" collapsed="false">
      <c r="A1905" s="27" t="s">
        <v>3613</v>
      </c>
      <c r="B1905" s="27" t="s">
        <v>1854</v>
      </c>
      <c r="C1905" s="28" t="s">
        <v>138</v>
      </c>
      <c r="D1905" s="27" t="s">
        <v>3401</v>
      </c>
      <c r="E1905" s="27"/>
      <c r="F1905" s="29" t="s">
        <v>3614</v>
      </c>
      <c r="G1905" s="30" t="n">
        <v>92300</v>
      </c>
      <c r="H1905" s="31" t="s">
        <v>3403</v>
      </c>
      <c r="I1905" s="32" t="n">
        <v>140893122</v>
      </c>
      <c r="J1905" s="33" t="n">
        <v>59</v>
      </c>
      <c r="K1905" s="33" t="n">
        <v>6</v>
      </c>
      <c r="L1905" s="34"/>
      <c r="M1905" s="35"/>
      <c r="N1905" s="36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9"/>
      <c r="Z1905" s="39"/>
      <c r="AA1905" s="28"/>
      <c r="AMJ1905" s="0"/>
    </row>
    <row r="1906" s="2" customFormat="true" ht="12.75" hidden="false" customHeight="true" outlineLevel="0" collapsed="false">
      <c r="A1906" s="27" t="s">
        <v>3615</v>
      </c>
      <c r="B1906" s="27" t="s">
        <v>250</v>
      </c>
      <c r="C1906" s="28" t="s">
        <v>41</v>
      </c>
      <c r="D1906" s="27" t="s">
        <v>3401</v>
      </c>
      <c r="E1906" s="27"/>
      <c r="F1906" s="29" t="s">
        <v>3614</v>
      </c>
      <c r="G1906" s="30" t="n">
        <v>92300</v>
      </c>
      <c r="H1906" s="31" t="s">
        <v>3403</v>
      </c>
      <c r="I1906" s="32"/>
      <c r="J1906" s="33" t="n">
        <v>270</v>
      </c>
      <c r="K1906" s="33" t="n">
        <v>1</v>
      </c>
      <c r="L1906" s="34"/>
      <c r="M1906" s="35"/>
      <c r="N1906" s="36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9"/>
      <c r="Z1906" s="39"/>
      <c r="AA1906" s="28"/>
      <c r="AMJ1906" s="0"/>
    </row>
    <row r="1907" s="2" customFormat="true" ht="12.75" hidden="false" customHeight="true" outlineLevel="0" collapsed="false">
      <c r="A1907" s="27" t="s">
        <v>3616</v>
      </c>
      <c r="B1907" s="27" t="s">
        <v>870</v>
      </c>
      <c r="C1907" s="28" t="s">
        <v>41</v>
      </c>
      <c r="D1907" s="27" t="s">
        <v>3401</v>
      </c>
      <c r="E1907" s="27"/>
      <c r="F1907" s="29" t="s">
        <v>3614</v>
      </c>
      <c r="G1907" s="30" t="n">
        <v>92300</v>
      </c>
      <c r="H1907" s="31" t="s">
        <v>3403</v>
      </c>
      <c r="I1907" s="32"/>
      <c r="J1907" s="33" t="n">
        <v>213</v>
      </c>
      <c r="K1907" s="33" t="n">
        <v>1</v>
      </c>
      <c r="L1907" s="34"/>
      <c r="M1907" s="35"/>
      <c r="N1907" s="36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9" t="n">
        <v>45198.4895833333</v>
      </c>
      <c r="Z1907" s="39"/>
      <c r="AA1907" s="28"/>
      <c r="AMJ1907" s="0"/>
    </row>
    <row r="1908" s="2" customFormat="true" ht="12.75" hidden="false" customHeight="true" outlineLevel="0" collapsed="false">
      <c r="A1908" s="27" t="s">
        <v>362</v>
      </c>
      <c r="B1908" s="27" t="s">
        <v>175</v>
      </c>
      <c r="C1908" s="28" t="s">
        <v>41</v>
      </c>
      <c r="D1908" s="27" t="s">
        <v>3401</v>
      </c>
      <c r="E1908" s="27"/>
      <c r="F1908" s="29" t="s">
        <v>3617</v>
      </c>
      <c r="G1908" s="30" t="n">
        <v>92300</v>
      </c>
      <c r="H1908" s="31" t="s">
        <v>3403</v>
      </c>
      <c r="I1908" s="32" t="n">
        <v>147577581</v>
      </c>
      <c r="J1908" s="33" t="n">
        <v>292</v>
      </c>
      <c r="K1908" s="33" t="n">
        <v>2</v>
      </c>
      <c r="L1908" s="34"/>
      <c r="M1908" s="35"/>
      <c r="N1908" s="36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9"/>
      <c r="Z1908" s="39"/>
      <c r="AA1908" s="28"/>
      <c r="AMJ1908" s="0"/>
    </row>
    <row r="1909" s="2" customFormat="true" ht="12.75" hidden="false" customHeight="true" outlineLevel="0" collapsed="false">
      <c r="A1909" s="27" t="s">
        <v>3618</v>
      </c>
      <c r="B1909" s="27" t="s">
        <v>210</v>
      </c>
      <c r="C1909" s="28" t="s">
        <v>121</v>
      </c>
      <c r="D1909" s="27" t="s">
        <v>3401</v>
      </c>
      <c r="E1909" s="27"/>
      <c r="F1909" s="29" t="s">
        <v>3619</v>
      </c>
      <c r="G1909" s="30" t="n">
        <v>92300</v>
      </c>
      <c r="H1909" s="31" t="s">
        <v>3403</v>
      </c>
      <c r="I1909" s="32" t="n">
        <v>141061756</v>
      </c>
      <c r="J1909" s="33" t="n">
        <v>127</v>
      </c>
      <c r="K1909" s="33" t="n">
        <v>6</v>
      </c>
      <c r="L1909" s="34" t="n">
        <v>2</v>
      </c>
      <c r="M1909" s="35" t="s">
        <v>164</v>
      </c>
      <c r="N1909" s="36"/>
      <c r="O1909" s="41"/>
      <c r="P1909" s="41"/>
      <c r="Q1909" s="41"/>
      <c r="R1909" s="41"/>
      <c r="S1909" s="41"/>
      <c r="T1909" s="41"/>
      <c r="U1909" s="41"/>
      <c r="V1909" s="41"/>
      <c r="W1909" s="41"/>
      <c r="X1909" s="41"/>
      <c r="Y1909" s="39"/>
      <c r="Z1909" s="39"/>
      <c r="AA1909" s="28" t="n">
        <v>3</v>
      </c>
      <c r="AMJ1909" s="0"/>
    </row>
    <row r="1910" s="2" customFormat="true" ht="12.75" hidden="false" customHeight="true" outlineLevel="0" collapsed="false">
      <c r="A1910" s="27" t="s">
        <v>3620</v>
      </c>
      <c r="B1910" s="27" t="s">
        <v>2540</v>
      </c>
      <c r="C1910" s="28" t="s">
        <v>41</v>
      </c>
      <c r="D1910" s="27" t="s">
        <v>3621</v>
      </c>
      <c r="E1910" s="27"/>
      <c r="F1910" s="29" t="s">
        <v>3622</v>
      </c>
      <c r="G1910" s="30" t="n">
        <v>92200</v>
      </c>
      <c r="H1910" s="31" t="s">
        <v>3403</v>
      </c>
      <c r="I1910" s="32" t="n">
        <v>981966144</v>
      </c>
      <c r="J1910" s="33" t="n">
        <v>283</v>
      </c>
      <c r="K1910" s="33" t="n">
        <v>1</v>
      </c>
      <c r="L1910" s="34"/>
      <c r="M1910" s="35"/>
      <c r="N1910" s="36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9"/>
      <c r="Z1910" s="39"/>
      <c r="AA1910" s="28"/>
      <c r="AMJ1910" s="0"/>
    </row>
    <row r="1911" s="2" customFormat="true" ht="12.75" hidden="false" customHeight="true" outlineLevel="0" collapsed="false">
      <c r="A1911" s="27" t="s">
        <v>3623</v>
      </c>
      <c r="B1911" s="27" t="s">
        <v>458</v>
      </c>
      <c r="C1911" s="28" t="s">
        <v>41</v>
      </c>
      <c r="D1911" s="27" t="s">
        <v>3621</v>
      </c>
      <c r="E1911" s="27"/>
      <c r="F1911" s="29" t="s">
        <v>3622</v>
      </c>
      <c r="G1911" s="30" t="n">
        <v>92200</v>
      </c>
      <c r="H1911" s="31" t="s">
        <v>3403</v>
      </c>
      <c r="I1911" s="32"/>
      <c r="J1911" s="33" t="n">
        <v>0</v>
      </c>
      <c r="K1911" s="33" t="n">
        <v>1</v>
      </c>
      <c r="L1911" s="34"/>
      <c r="M1911" s="35"/>
      <c r="N1911" s="36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9"/>
      <c r="Z1911" s="39"/>
      <c r="AA1911" s="28"/>
      <c r="AMJ1911" s="0"/>
    </row>
    <row r="1912" s="2" customFormat="true" ht="12.75" hidden="false" customHeight="true" outlineLevel="0" collapsed="false">
      <c r="A1912" s="27" t="s">
        <v>3624</v>
      </c>
      <c r="B1912" s="27" t="s">
        <v>103</v>
      </c>
      <c r="C1912" s="28" t="s">
        <v>41</v>
      </c>
      <c r="D1912" s="27" t="s">
        <v>3621</v>
      </c>
      <c r="E1912" s="27"/>
      <c r="F1912" s="29" t="s">
        <v>3625</v>
      </c>
      <c r="G1912" s="30" t="n">
        <v>92200</v>
      </c>
      <c r="H1912" s="31" t="s">
        <v>3626</v>
      </c>
      <c r="I1912" s="32" t="n">
        <v>146374883</v>
      </c>
      <c r="J1912" s="33" t="n">
        <v>311</v>
      </c>
      <c r="K1912" s="33" t="n">
        <v>3</v>
      </c>
      <c r="L1912" s="34"/>
      <c r="M1912" s="35"/>
      <c r="N1912" s="36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9"/>
      <c r="Z1912" s="39"/>
      <c r="AA1912" s="28"/>
      <c r="AMJ1912" s="0"/>
    </row>
    <row r="1913" s="2" customFormat="true" ht="12.75" hidden="false" customHeight="true" outlineLevel="0" collapsed="false">
      <c r="A1913" s="27" t="s">
        <v>3627</v>
      </c>
      <c r="B1913" s="27" t="s">
        <v>842</v>
      </c>
      <c r="C1913" s="28" t="s">
        <v>41</v>
      </c>
      <c r="D1913" s="27" t="s">
        <v>3621</v>
      </c>
      <c r="E1913" s="27"/>
      <c r="F1913" s="29" t="s">
        <v>3628</v>
      </c>
      <c r="G1913" s="30" t="n">
        <v>92200</v>
      </c>
      <c r="H1913" s="31" t="s">
        <v>3626</v>
      </c>
      <c r="I1913" s="32" t="n">
        <v>146376233</v>
      </c>
      <c r="J1913" s="33" t="n">
        <v>443</v>
      </c>
      <c r="K1913" s="33" t="n">
        <v>10</v>
      </c>
      <c r="L1913" s="34"/>
      <c r="M1913" s="35" t="s">
        <v>164</v>
      </c>
      <c r="N1913" s="36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9"/>
      <c r="Z1913" s="39"/>
      <c r="AA1913" s="28"/>
      <c r="AMJ1913" s="0"/>
    </row>
    <row r="1914" s="2" customFormat="true" ht="12.75" hidden="false" customHeight="true" outlineLevel="0" collapsed="false">
      <c r="A1914" s="27" t="s">
        <v>3629</v>
      </c>
      <c r="B1914" s="27" t="s">
        <v>3630</v>
      </c>
      <c r="C1914" s="28" t="s">
        <v>138</v>
      </c>
      <c r="D1914" s="27" t="s">
        <v>3621</v>
      </c>
      <c r="E1914" s="27"/>
      <c r="F1914" s="29" t="s">
        <v>3631</v>
      </c>
      <c r="G1914" s="30" t="n">
        <v>92200</v>
      </c>
      <c r="H1914" s="31" t="s">
        <v>3626</v>
      </c>
      <c r="I1914" s="32" t="n">
        <v>147476602</v>
      </c>
      <c r="J1914" s="33" t="n">
        <v>209</v>
      </c>
      <c r="K1914" s="33" t="n">
        <v>3</v>
      </c>
      <c r="L1914" s="34" t="n">
        <v>2</v>
      </c>
      <c r="M1914" s="35" t="s">
        <v>164</v>
      </c>
      <c r="N1914" s="36"/>
      <c r="O1914" s="41"/>
      <c r="P1914" s="41"/>
      <c r="Q1914" s="41"/>
      <c r="R1914" s="41"/>
      <c r="S1914" s="41"/>
      <c r="T1914" s="41"/>
      <c r="U1914" s="41"/>
      <c r="V1914" s="41"/>
      <c r="W1914" s="41"/>
      <c r="X1914" s="41"/>
      <c r="Y1914" s="39"/>
      <c r="Z1914" s="39"/>
      <c r="AA1914" s="28" t="n">
        <v>3</v>
      </c>
      <c r="AMJ1914" s="0"/>
    </row>
    <row r="1915" s="2" customFormat="true" ht="12.75" hidden="false" customHeight="true" outlineLevel="0" collapsed="false">
      <c r="A1915" s="27" t="s">
        <v>3632</v>
      </c>
      <c r="B1915" s="27" t="s">
        <v>189</v>
      </c>
      <c r="C1915" s="28" t="s">
        <v>41</v>
      </c>
      <c r="D1915" s="27" t="s">
        <v>3621</v>
      </c>
      <c r="E1915" s="27"/>
      <c r="F1915" s="29" t="s">
        <v>3631</v>
      </c>
      <c r="G1915" s="30" t="n">
        <v>92200</v>
      </c>
      <c r="H1915" s="31" t="s">
        <v>3626</v>
      </c>
      <c r="I1915" s="32" t="n">
        <v>146241143</v>
      </c>
      <c r="J1915" s="33" t="n">
        <v>375</v>
      </c>
      <c r="K1915" s="33" t="n">
        <v>0</v>
      </c>
      <c r="L1915" s="34"/>
      <c r="M1915" s="35"/>
      <c r="N1915" s="36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9"/>
      <c r="Z1915" s="39"/>
      <c r="AA1915" s="28"/>
      <c r="AMJ1915" s="0"/>
    </row>
    <row r="1916" s="2" customFormat="true" ht="12.75" hidden="false" customHeight="true" outlineLevel="0" collapsed="false">
      <c r="A1916" s="27" t="s">
        <v>3633</v>
      </c>
      <c r="B1916" s="27" t="s">
        <v>749</v>
      </c>
      <c r="C1916" s="28" t="s">
        <v>41</v>
      </c>
      <c r="D1916" s="27" t="s">
        <v>3621</v>
      </c>
      <c r="E1916" s="27"/>
      <c r="F1916" s="29" t="s">
        <v>3634</v>
      </c>
      <c r="G1916" s="30" t="n">
        <v>92200</v>
      </c>
      <c r="H1916" s="31" t="s">
        <v>3626</v>
      </c>
      <c r="I1916" s="32" t="n">
        <v>147229861</v>
      </c>
      <c r="J1916" s="33" t="n">
        <v>210</v>
      </c>
      <c r="K1916" s="33" t="n">
        <v>2</v>
      </c>
      <c r="L1916" s="34"/>
      <c r="M1916" s="35"/>
      <c r="N1916" s="36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9"/>
      <c r="Z1916" s="39"/>
      <c r="AA1916" s="28"/>
      <c r="AMJ1916" s="0"/>
    </row>
    <row r="1917" s="2" customFormat="true" ht="12.75" hidden="false" customHeight="true" outlineLevel="0" collapsed="false">
      <c r="A1917" s="27" t="s">
        <v>3635</v>
      </c>
      <c r="B1917" s="27" t="s">
        <v>177</v>
      </c>
      <c r="C1917" s="28" t="s">
        <v>138</v>
      </c>
      <c r="D1917" s="27" t="s">
        <v>3621</v>
      </c>
      <c r="E1917" s="27"/>
      <c r="F1917" s="29" t="s">
        <v>3636</v>
      </c>
      <c r="G1917" s="30" t="n">
        <v>92200</v>
      </c>
      <c r="H1917" s="31" t="s">
        <v>3626</v>
      </c>
      <c r="I1917" s="32" t="n">
        <v>147455342</v>
      </c>
      <c r="J1917" s="33" t="n">
        <v>109</v>
      </c>
      <c r="K1917" s="33" t="n">
        <v>2</v>
      </c>
      <c r="L1917" s="34"/>
      <c r="M1917" s="35"/>
      <c r="N1917" s="36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9"/>
      <c r="Z1917" s="39"/>
      <c r="AA1917" s="28"/>
      <c r="AMJ1917" s="0"/>
    </row>
    <row r="1918" s="2" customFormat="true" ht="12.75" hidden="false" customHeight="true" outlineLevel="0" collapsed="false">
      <c r="A1918" s="27" t="s">
        <v>3637</v>
      </c>
      <c r="B1918" s="27" t="s">
        <v>639</v>
      </c>
      <c r="C1918" s="28" t="s">
        <v>41</v>
      </c>
      <c r="D1918" s="27" t="s">
        <v>3621</v>
      </c>
      <c r="E1918" s="27"/>
      <c r="F1918" s="29" t="s">
        <v>3636</v>
      </c>
      <c r="G1918" s="30" t="n">
        <v>92200</v>
      </c>
      <c r="H1918" s="31" t="s">
        <v>3626</v>
      </c>
      <c r="I1918" s="32"/>
      <c r="J1918" s="33" t="n">
        <v>411</v>
      </c>
      <c r="K1918" s="33" t="n">
        <v>1</v>
      </c>
      <c r="L1918" s="34"/>
      <c r="M1918" s="35"/>
      <c r="N1918" s="36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9"/>
      <c r="Z1918" s="39"/>
      <c r="AA1918" s="28"/>
      <c r="AMJ1918" s="0"/>
    </row>
    <row r="1919" s="2" customFormat="true" ht="12.75" hidden="false" customHeight="true" outlineLevel="0" collapsed="false">
      <c r="A1919" s="27" t="s">
        <v>3638</v>
      </c>
      <c r="B1919" s="27" t="s">
        <v>1130</v>
      </c>
      <c r="C1919" s="28" t="s">
        <v>41</v>
      </c>
      <c r="D1919" s="27" t="s">
        <v>3621</v>
      </c>
      <c r="E1919" s="27"/>
      <c r="F1919" s="29" t="s">
        <v>3636</v>
      </c>
      <c r="G1919" s="30" t="n">
        <v>92200</v>
      </c>
      <c r="H1919" s="31" t="s">
        <v>3626</v>
      </c>
      <c r="I1919" s="32" t="n">
        <v>141929911</v>
      </c>
      <c r="J1919" s="33" t="n">
        <v>83</v>
      </c>
      <c r="K1919" s="33" t="n">
        <v>1</v>
      </c>
      <c r="L1919" s="34"/>
      <c r="M1919" s="35"/>
      <c r="N1919" s="36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9"/>
      <c r="Z1919" s="39"/>
      <c r="AA1919" s="28"/>
      <c r="AMJ1919" s="0"/>
    </row>
    <row r="1920" s="2" customFormat="true" ht="12.75" hidden="false" customHeight="true" outlineLevel="0" collapsed="false">
      <c r="A1920" s="27" t="s">
        <v>3639</v>
      </c>
      <c r="B1920" s="27" t="s">
        <v>3640</v>
      </c>
      <c r="C1920" s="28" t="s">
        <v>41</v>
      </c>
      <c r="D1920" s="27" t="s">
        <v>3621</v>
      </c>
      <c r="E1920" s="27"/>
      <c r="F1920" s="29" t="s">
        <v>3641</v>
      </c>
      <c r="G1920" s="30" t="n">
        <v>92200</v>
      </c>
      <c r="H1920" s="31" t="s">
        <v>3626</v>
      </c>
      <c r="I1920" s="32" t="n">
        <v>147452495</v>
      </c>
      <c r="J1920" s="33" t="n">
        <v>349</v>
      </c>
      <c r="K1920" s="33" t="n">
        <v>2</v>
      </c>
      <c r="L1920" s="34"/>
      <c r="M1920" s="35"/>
      <c r="N1920" s="36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9"/>
      <c r="Z1920" s="39"/>
      <c r="AA1920" s="28"/>
      <c r="AMJ1920" s="0"/>
    </row>
    <row r="1921" s="2" customFormat="true" ht="12.75" hidden="false" customHeight="true" outlineLevel="0" collapsed="false">
      <c r="A1921" s="27" t="s">
        <v>3642</v>
      </c>
      <c r="B1921" s="27" t="s">
        <v>217</v>
      </c>
      <c r="C1921" s="28" t="s">
        <v>178</v>
      </c>
      <c r="D1921" s="27" t="s">
        <v>3621</v>
      </c>
      <c r="E1921" s="27"/>
      <c r="F1921" s="29" t="s">
        <v>3643</v>
      </c>
      <c r="G1921" s="30" t="n">
        <v>92200</v>
      </c>
      <c r="H1921" s="31" t="s">
        <v>3626</v>
      </c>
      <c r="I1921" s="32" t="n">
        <v>146377202</v>
      </c>
      <c r="J1921" s="33" t="n">
        <v>498</v>
      </c>
      <c r="K1921" s="33" t="n">
        <v>7</v>
      </c>
      <c r="L1921" s="34"/>
      <c r="M1921" s="35"/>
      <c r="N1921" s="36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9"/>
      <c r="Z1921" s="39"/>
      <c r="AA1921" s="28"/>
      <c r="AMJ1921" s="0"/>
    </row>
    <row r="1922" s="2" customFormat="true" ht="12.75" hidden="false" customHeight="true" outlineLevel="0" collapsed="false">
      <c r="A1922" s="27" t="s">
        <v>3644</v>
      </c>
      <c r="B1922" s="27" t="s">
        <v>2797</v>
      </c>
      <c r="C1922" s="28" t="s">
        <v>138</v>
      </c>
      <c r="D1922" s="27" t="s">
        <v>3621</v>
      </c>
      <c r="E1922" s="27"/>
      <c r="F1922" s="29" t="s">
        <v>3645</v>
      </c>
      <c r="G1922" s="30" t="n">
        <v>92200</v>
      </c>
      <c r="H1922" s="31" t="s">
        <v>3626</v>
      </c>
      <c r="I1922" s="32" t="n">
        <v>147474541</v>
      </c>
      <c r="J1922" s="33" t="n">
        <v>211</v>
      </c>
      <c r="K1922" s="33" t="n">
        <v>4</v>
      </c>
      <c r="L1922" s="34"/>
      <c r="M1922" s="35"/>
      <c r="N1922" s="36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9"/>
      <c r="Z1922" s="39"/>
      <c r="AA1922" s="28"/>
      <c r="AMJ1922" s="0"/>
    </row>
    <row r="1923" s="2" customFormat="true" ht="12.75" hidden="false" customHeight="true" outlineLevel="0" collapsed="false">
      <c r="A1923" s="27" t="s">
        <v>3646</v>
      </c>
      <c r="B1923" s="27" t="s">
        <v>377</v>
      </c>
      <c r="C1923" s="28" t="s">
        <v>41</v>
      </c>
      <c r="D1923" s="27" t="s">
        <v>3621</v>
      </c>
      <c r="E1923" s="27"/>
      <c r="F1923" s="29" t="s">
        <v>3647</v>
      </c>
      <c r="G1923" s="30" t="n">
        <v>92200</v>
      </c>
      <c r="H1923" s="31" t="s">
        <v>3626</v>
      </c>
      <c r="I1923" s="32" t="n">
        <v>147223674</v>
      </c>
      <c r="J1923" s="33" t="n">
        <v>493</v>
      </c>
      <c r="K1923" s="33" t="n">
        <v>14</v>
      </c>
      <c r="L1923" s="34" t="n">
        <v>2</v>
      </c>
      <c r="M1923" s="35" t="s">
        <v>164</v>
      </c>
      <c r="N1923" s="36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39"/>
      <c r="Z1923" s="39"/>
      <c r="AA1923" s="28" t="n">
        <v>3</v>
      </c>
      <c r="AMJ1923" s="0"/>
    </row>
    <row r="1924" s="2" customFormat="true" ht="12.75" hidden="false" customHeight="true" outlineLevel="0" collapsed="false">
      <c r="A1924" s="27" t="s">
        <v>3648</v>
      </c>
      <c r="B1924" s="27" t="s">
        <v>1672</v>
      </c>
      <c r="C1924" s="28" t="s">
        <v>41</v>
      </c>
      <c r="D1924" s="27" t="s">
        <v>3621</v>
      </c>
      <c r="E1924" s="27"/>
      <c r="F1924" s="29" t="s">
        <v>3647</v>
      </c>
      <c r="G1924" s="30" t="n">
        <v>92200</v>
      </c>
      <c r="H1924" s="31" t="s">
        <v>3626</v>
      </c>
      <c r="I1924" s="32" t="n">
        <v>147223674</v>
      </c>
      <c r="J1924" s="33" t="n">
        <v>97</v>
      </c>
      <c r="K1924" s="33" t="n">
        <v>9</v>
      </c>
      <c r="L1924" s="34"/>
      <c r="M1924" s="35"/>
      <c r="N1924" s="36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9"/>
      <c r="Z1924" s="39"/>
      <c r="AA1924" s="28"/>
      <c r="AMJ1924" s="0"/>
    </row>
    <row r="1925" s="2" customFormat="true" ht="12.75" hidden="false" customHeight="true" outlineLevel="0" collapsed="false">
      <c r="A1925" s="27" t="s">
        <v>1579</v>
      </c>
      <c r="B1925" s="27" t="s">
        <v>3649</v>
      </c>
      <c r="C1925" s="28" t="s">
        <v>41</v>
      </c>
      <c r="D1925" s="27" t="s">
        <v>3621</v>
      </c>
      <c r="E1925" s="27"/>
      <c r="F1925" s="29" t="s">
        <v>3650</v>
      </c>
      <c r="G1925" s="30" t="n">
        <v>92200</v>
      </c>
      <c r="H1925" s="31" t="s">
        <v>3626</v>
      </c>
      <c r="I1925" s="32" t="n">
        <v>147452810</v>
      </c>
      <c r="J1925" s="33" t="n">
        <v>460</v>
      </c>
      <c r="K1925" s="33" t="n">
        <v>10</v>
      </c>
      <c r="L1925" s="34"/>
      <c r="M1925" s="35" t="s">
        <v>164</v>
      </c>
      <c r="N1925" s="36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9"/>
      <c r="Z1925" s="39"/>
      <c r="AA1925" s="28"/>
      <c r="AMJ1925" s="0"/>
    </row>
    <row r="1926" s="2" customFormat="true" ht="12.75" hidden="false" customHeight="true" outlineLevel="0" collapsed="false">
      <c r="A1926" s="27" t="s">
        <v>451</v>
      </c>
      <c r="B1926" s="27" t="s">
        <v>842</v>
      </c>
      <c r="C1926" s="28" t="s">
        <v>41</v>
      </c>
      <c r="D1926" s="27" t="s">
        <v>3621</v>
      </c>
      <c r="E1926" s="27"/>
      <c r="F1926" s="29" t="s">
        <v>3651</v>
      </c>
      <c r="G1926" s="30" t="n">
        <v>92200</v>
      </c>
      <c r="H1926" s="31" t="s">
        <v>3626</v>
      </c>
      <c r="I1926" s="32" t="n">
        <v>147458787</v>
      </c>
      <c r="J1926" s="33" t="n">
        <v>391</v>
      </c>
      <c r="K1926" s="33" t="n">
        <v>1</v>
      </c>
      <c r="L1926" s="34"/>
      <c r="M1926" s="35"/>
      <c r="N1926" s="36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9"/>
      <c r="Z1926" s="39"/>
      <c r="AA1926" s="28"/>
      <c r="AMJ1926" s="0"/>
    </row>
    <row r="1927" s="2" customFormat="true" ht="12.75" hidden="false" customHeight="true" outlineLevel="0" collapsed="false">
      <c r="A1927" s="27" t="s">
        <v>3652</v>
      </c>
      <c r="B1927" s="27" t="s">
        <v>608</v>
      </c>
      <c r="C1927" s="28" t="s">
        <v>41</v>
      </c>
      <c r="D1927" s="27" t="s">
        <v>3621</v>
      </c>
      <c r="E1927" s="27"/>
      <c r="F1927" s="29" t="s">
        <v>3653</v>
      </c>
      <c r="G1927" s="30" t="n">
        <v>92200</v>
      </c>
      <c r="H1927" s="31" t="s">
        <v>3626</v>
      </c>
      <c r="I1927" s="32" t="n">
        <v>140111491</v>
      </c>
      <c r="J1927" s="33" t="n">
        <v>225</v>
      </c>
      <c r="K1927" s="33" t="n">
        <v>1</v>
      </c>
      <c r="L1927" s="34"/>
      <c r="M1927" s="35"/>
      <c r="N1927" s="36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9"/>
      <c r="Z1927" s="39"/>
      <c r="AA1927" s="28"/>
      <c r="AMJ1927" s="0"/>
    </row>
    <row r="1928" s="2" customFormat="true" ht="12.75" hidden="false" customHeight="true" outlineLevel="0" collapsed="false">
      <c r="A1928" s="27" t="s">
        <v>3654</v>
      </c>
      <c r="B1928" s="27" t="s">
        <v>88</v>
      </c>
      <c r="C1928" s="28" t="s">
        <v>41</v>
      </c>
      <c r="D1928" s="27" t="s">
        <v>3621</v>
      </c>
      <c r="E1928" s="27"/>
      <c r="F1928" s="29" t="s">
        <v>3655</v>
      </c>
      <c r="G1928" s="30" t="n">
        <v>92200</v>
      </c>
      <c r="H1928" s="31" t="s">
        <v>3626</v>
      </c>
      <c r="I1928" s="32" t="n">
        <v>146241978</v>
      </c>
      <c r="J1928" s="33" t="n">
        <v>445</v>
      </c>
      <c r="K1928" s="33" t="n">
        <v>1</v>
      </c>
      <c r="L1928" s="34"/>
      <c r="M1928" s="35"/>
      <c r="N1928" s="36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9"/>
      <c r="Z1928" s="39"/>
      <c r="AA1928" s="28"/>
      <c r="AMJ1928" s="0"/>
    </row>
    <row r="1929" s="2" customFormat="true" ht="12.75" hidden="false" customHeight="true" outlineLevel="0" collapsed="false">
      <c r="A1929" s="27" t="s">
        <v>3656</v>
      </c>
      <c r="B1929" s="27" t="s">
        <v>55</v>
      </c>
      <c r="C1929" s="28" t="s">
        <v>41</v>
      </c>
      <c r="D1929" s="27" t="s">
        <v>3621</v>
      </c>
      <c r="E1929" s="27"/>
      <c r="F1929" s="29" t="s">
        <v>3657</v>
      </c>
      <c r="G1929" s="30" t="n">
        <v>92200</v>
      </c>
      <c r="H1929" s="31" t="s">
        <v>3626</v>
      </c>
      <c r="I1929" s="32" t="n">
        <v>130461862</v>
      </c>
      <c r="J1929" s="33" t="n">
        <v>455</v>
      </c>
      <c r="K1929" s="33" t="n">
        <v>1</v>
      </c>
      <c r="L1929" s="34"/>
      <c r="M1929" s="35"/>
      <c r="N1929" s="36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9"/>
      <c r="Z1929" s="39"/>
      <c r="AA1929" s="28"/>
      <c r="AMJ1929" s="0"/>
    </row>
    <row r="1930" s="2" customFormat="true" ht="12.75" hidden="false" customHeight="true" outlineLevel="0" collapsed="false">
      <c r="A1930" s="27" t="s">
        <v>3658</v>
      </c>
      <c r="B1930" s="27" t="s">
        <v>177</v>
      </c>
      <c r="C1930" s="28" t="s">
        <v>41</v>
      </c>
      <c r="D1930" s="27" t="s">
        <v>3621</v>
      </c>
      <c r="E1930" s="27"/>
      <c r="F1930" s="29" t="s">
        <v>3657</v>
      </c>
      <c r="G1930" s="30" t="n">
        <v>92200</v>
      </c>
      <c r="H1930" s="31" t="s">
        <v>3626</v>
      </c>
      <c r="I1930" s="32" t="n">
        <v>147380000</v>
      </c>
      <c r="J1930" s="33" t="n">
        <v>364</v>
      </c>
      <c r="K1930" s="33" t="n">
        <v>0</v>
      </c>
      <c r="L1930" s="34"/>
      <c r="M1930" s="35"/>
      <c r="N1930" s="36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9"/>
      <c r="Z1930" s="39"/>
      <c r="AA1930" s="28"/>
      <c r="AMJ1930" s="0"/>
    </row>
    <row r="1931" s="2" customFormat="true" ht="12.75" hidden="false" customHeight="true" outlineLevel="0" collapsed="false">
      <c r="A1931" s="27" t="s">
        <v>3659</v>
      </c>
      <c r="B1931" s="27" t="s">
        <v>3660</v>
      </c>
      <c r="C1931" s="28" t="s">
        <v>41</v>
      </c>
      <c r="D1931" s="27" t="s">
        <v>3621</v>
      </c>
      <c r="E1931" s="27"/>
      <c r="F1931" s="29" t="s">
        <v>3661</v>
      </c>
      <c r="G1931" s="30" t="n">
        <v>92200</v>
      </c>
      <c r="H1931" s="31" t="s">
        <v>3626</v>
      </c>
      <c r="I1931" s="32" t="n">
        <v>146243129</v>
      </c>
      <c r="J1931" s="33" t="n">
        <v>310</v>
      </c>
      <c r="K1931" s="33" t="n">
        <v>1</v>
      </c>
      <c r="L1931" s="34"/>
      <c r="M1931" s="35"/>
      <c r="N1931" s="36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9"/>
      <c r="Z1931" s="39"/>
      <c r="AA1931" s="28"/>
      <c r="AMJ1931" s="0"/>
    </row>
    <row r="1932" s="2" customFormat="true" ht="12.75" hidden="false" customHeight="true" outlineLevel="0" collapsed="false">
      <c r="A1932" s="27" t="s">
        <v>3662</v>
      </c>
      <c r="B1932" s="27" t="s">
        <v>88</v>
      </c>
      <c r="C1932" s="28" t="s">
        <v>41</v>
      </c>
      <c r="D1932" s="27" t="s">
        <v>3621</v>
      </c>
      <c r="E1932" s="27"/>
      <c r="F1932" s="29" t="s">
        <v>3663</v>
      </c>
      <c r="G1932" s="30" t="n">
        <v>92200</v>
      </c>
      <c r="H1932" s="31" t="s">
        <v>3626</v>
      </c>
      <c r="I1932" s="32" t="n">
        <v>149095946</v>
      </c>
      <c r="J1932" s="33" t="n">
        <v>457</v>
      </c>
      <c r="K1932" s="33" t="n">
        <v>20</v>
      </c>
      <c r="L1932" s="34"/>
      <c r="M1932" s="43" t="s">
        <v>155</v>
      </c>
      <c r="N1932" s="36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9"/>
      <c r="Z1932" s="39" t="n">
        <v>45226.59375</v>
      </c>
      <c r="AA1932" s="28"/>
      <c r="AMJ1932" s="0"/>
    </row>
    <row r="1933" s="2" customFormat="true" ht="12.75" hidden="false" customHeight="true" outlineLevel="0" collapsed="false">
      <c r="A1933" s="27" t="s">
        <v>2113</v>
      </c>
      <c r="B1933" s="27" t="s">
        <v>395</v>
      </c>
      <c r="C1933" s="28" t="s">
        <v>41</v>
      </c>
      <c r="D1933" s="27" t="s">
        <v>3621</v>
      </c>
      <c r="E1933" s="27"/>
      <c r="F1933" s="29" t="s">
        <v>3664</v>
      </c>
      <c r="G1933" s="30" t="n">
        <v>92200</v>
      </c>
      <c r="H1933" s="31" t="s">
        <v>3626</v>
      </c>
      <c r="I1933" s="32" t="n">
        <v>146375403</v>
      </c>
      <c r="J1933" s="33" t="n">
        <v>404</v>
      </c>
      <c r="K1933" s="33" t="n">
        <v>1</v>
      </c>
      <c r="L1933" s="34"/>
      <c r="M1933" s="35"/>
      <c r="N1933" s="36"/>
      <c r="O1933" s="37"/>
      <c r="P1933" s="37"/>
      <c r="Q1933" s="37"/>
      <c r="R1933" s="37"/>
      <c r="S1933" s="37"/>
      <c r="T1933" s="37"/>
      <c r="U1933" s="37"/>
      <c r="V1933" s="37"/>
      <c r="W1933" s="37"/>
      <c r="X1933" s="37"/>
      <c r="Y1933" s="39"/>
      <c r="Z1933" s="39"/>
      <c r="AA1933" s="28"/>
      <c r="AMJ1933" s="0"/>
    </row>
    <row r="1934" s="2" customFormat="true" ht="12.75" hidden="false" customHeight="true" outlineLevel="0" collapsed="false">
      <c r="A1934" s="27" t="s">
        <v>3665</v>
      </c>
      <c r="B1934" s="27" t="s">
        <v>1266</v>
      </c>
      <c r="C1934" s="28" t="s">
        <v>41</v>
      </c>
      <c r="D1934" s="27" t="s">
        <v>3621</v>
      </c>
      <c r="E1934" s="27"/>
      <c r="F1934" s="29" t="s">
        <v>3664</v>
      </c>
      <c r="G1934" s="30" t="n">
        <v>92200</v>
      </c>
      <c r="H1934" s="31" t="s">
        <v>3626</v>
      </c>
      <c r="I1934" s="32" t="n">
        <v>146375403</v>
      </c>
      <c r="J1934" s="33" t="n">
        <v>400</v>
      </c>
      <c r="K1934" s="33"/>
      <c r="L1934" s="34"/>
      <c r="M1934" s="35"/>
      <c r="N1934" s="36"/>
      <c r="O1934" s="37"/>
      <c r="P1934" s="37"/>
      <c r="Q1934" s="37"/>
      <c r="R1934" s="37"/>
      <c r="S1934" s="37"/>
      <c r="T1934" s="37"/>
      <c r="U1934" s="37"/>
      <c r="V1934" s="37"/>
      <c r="W1934" s="37"/>
      <c r="X1934" s="37"/>
      <c r="Y1934" s="39"/>
      <c r="Z1934" s="39"/>
      <c r="AA1934" s="28"/>
      <c r="AMJ1934" s="0"/>
    </row>
    <row r="1935" s="2" customFormat="true" ht="12.75" hidden="false" customHeight="true" outlineLevel="0" collapsed="false">
      <c r="A1935" s="27" t="s">
        <v>3666</v>
      </c>
      <c r="B1935" s="27" t="s">
        <v>217</v>
      </c>
      <c r="C1935" s="28" t="s">
        <v>41</v>
      </c>
      <c r="D1935" s="27" t="s">
        <v>3621</v>
      </c>
      <c r="E1935" s="27"/>
      <c r="F1935" s="29" t="s">
        <v>3664</v>
      </c>
      <c r="G1935" s="30" t="n">
        <v>92200</v>
      </c>
      <c r="H1935" s="31" t="s">
        <v>3626</v>
      </c>
      <c r="I1935" s="32" t="n">
        <v>146375403</v>
      </c>
      <c r="J1935" s="33" t="n">
        <v>95</v>
      </c>
      <c r="K1935" s="33" t="n">
        <v>2</v>
      </c>
      <c r="L1935" s="34"/>
      <c r="M1935" s="35"/>
      <c r="N1935" s="36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9"/>
      <c r="Z1935" s="39"/>
      <c r="AA1935" s="28"/>
      <c r="AMJ1935" s="0"/>
    </row>
    <row r="1936" s="2" customFormat="true" ht="12.75" hidden="false" customHeight="true" outlineLevel="0" collapsed="false">
      <c r="A1936" s="27" t="s">
        <v>3667</v>
      </c>
      <c r="B1936" s="27" t="s">
        <v>2208</v>
      </c>
      <c r="C1936" s="28" t="s">
        <v>178</v>
      </c>
      <c r="D1936" s="27" t="s">
        <v>3621</v>
      </c>
      <c r="E1936" s="27"/>
      <c r="F1936" s="29" t="s">
        <v>3668</v>
      </c>
      <c r="G1936" s="30" t="n">
        <v>92200</v>
      </c>
      <c r="H1936" s="31" t="s">
        <v>3626</v>
      </c>
      <c r="I1936" s="32" t="n">
        <v>153406033</v>
      </c>
      <c r="J1936" s="33" t="n">
        <v>212</v>
      </c>
      <c r="K1936" s="33" t="n">
        <v>11</v>
      </c>
      <c r="L1936" s="34" t="n">
        <v>2</v>
      </c>
      <c r="M1936" s="35" t="s">
        <v>164</v>
      </c>
      <c r="N1936" s="36"/>
      <c r="O1936" s="41"/>
      <c r="P1936" s="41"/>
      <c r="Q1936" s="41"/>
      <c r="R1936" s="41"/>
      <c r="S1936" s="41"/>
      <c r="T1936" s="41"/>
      <c r="U1936" s="41"/>
      <c r="V1936" s="41"/>
      <c r="W1936" s="41"/>
      <c r="X1936" s="41"/>
      <c r="Y1936" s="39"/>
      <c r="Z1936" s="39"/>
      <c r="AA1936" s="28" t="n">
        <v>3</v>
      </c>
      <c r="AMJ1936" s="0"/>
    </row>
    <row r="1937" s="2" customFormat="true" ht="12.75" hidden="false" customHeight="true" outlineLevel="0" collapsed="false">
      <c r="A1937" s="27" t="s">
        <v>3669</v>
      </c>
      <c r="B1937" s="27" t="s">
        <v>71</v>
      </c>
      <c r="C1937" s="28" t="s">
        <v>121</v>
      </c>
      <c r="D1937" s="27" t="s">
        <v>3621</v>
      </c>
      <c r="E1937" s="27"/>
      <c r="F1937" s="29" t="s">
        <v>3668</v>
      </c>
      <c r="G1937" s="30" t="n">
        <v>92200</v>
      </c>
      <c r="H1937" s="31" t="s">
        <v>3626</v>
      </c>
      <c r="I1937" s="32"/>
      <c r="J1937" s="33" t="n">
        <v>60</v>
      </c>
      <c r="K1937" s="33" t="n">
        <v>2</v>
      </c>
      <c r="L1937" s="34"/>
      <c r="M1937" s="35"/>
      <c r="N1937" s="36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9"/>
      <c r="Z1937" s="39"/>
      <c r="AA1937" s="28"/>
      <c r="AMJ1937" s="0"/>
    </row>
    <row r="1938" s="2" customFormat="true" ht="12.75" hidden="false" customHeight="true" outlineLevel="0" collapsed="false">
      <c r="A1938" s="27" t="s">
        <v>3670</v>
      </c>
      <c r="B1938" s="27" t="s">
        <v>3671</v>
      </c>
      <c r="C1938" s="28" t="s">
        <v>121</v>
      </c>
      <c r="D1938" s="27" t="s">
        <v>3621</v>
      </c>
      <c r="E1938" s="27"/>
      <c r="F1938" s="29" t="s">
        <v>3672</v>
      </c>
      <c r="G1938" s="30" t="n">
        <v>92200</v>
      </c>
      <c r="H1938" s="31" t="s">
        <v>3626</v>
      </c>
      <c r="I1938" s="32" t="n">
        <v>146243252</v>
      </c>
      <c r="J1938" s="33" t="n">
        <v>306</v>
      </c>
      <c r="K1938" s="33" t="n">
        <v>17</v>
      </c>
      <c r="L1938" s="34" t="n">
        <v>4</v>
      </c>
      <c r="M1938" s="43" t="s">
        <v>164</v>
      </c>
      <c r="N1938" s="36"/>
      <c r="O1938" s="41"/>
      <c r="P1938" s="41"/>
      <c r="Q1938" s="41"/>
      <c r="R1938" s="41"/>
      <c r="S1938" s="41"/>
      <c r="T1938" s="41"/>
      <c r="U1938" s="41"/>
      <c r="V1938" s="41"/>
      <c r="W1938" s="41"/>
      <c r="X1938" s="41"/>
      <c r="Y1938" s="39" t="n">
        <v>45112.375</v>
      </c>
      <c r="Z1938" s="39"/>
      <c r="AA1938" s="28" t="n">
        <v>-1</v>
      </c>
      <c r="AMJ1938" s="0"/>
    </row>
    <row r="1939" s="2" customFormat="true" ht="12.75" hidden="false" customHeight="true" outlineLevel="0" collapsed="false">
      <c r="A1939" s="27" t="s">
        <v>3673</v>
      </c>
      <c r="B1939" s="27" t="s">
        <v>417</v>
      </c>
      <c r="C1939" s="28" t="s">
        <v>121</v>
      </c>
      <c r="D1939" s="27" t="s">
        <v>3621</v>
      </c>
      <c r="E1939" s="27"/>
      <c r="F1939" s="29" t="s">
        <v>3672</v>
      </c>
      <c r="G1939" s="30" t="n">
        <v>92200</v>
      </c>
      <c r="H1939" s="31" t="s">
        <v>3626</v>
      </c>
      <c r="I1939" s="32" t="n">
        <v>146243252</v>
      </c>
      <c r="J1939" s="33" t="n">
        <v>109</v>
      </c>
      <c r="K1939" s="33" t="n">
        <v>11</v>
      </c>
      <c r="L1939" s="34" t="n">
        <v>3</v>
      </c>
      <c r="M1939" s="35" t="s">
        <v>164</v>
      </c>
      <c r="N1939" s="36" t="s">
        <v>165</v>
      </c>
      <c r="O1939" s="41"/>
      <c r="P1939" s="41"/>
      <c r="Q1939" s="41"/>
      <c r="R1939" s="41"/>
      <c r="S1939" s="41"/>
      <c r="T1939" s="41"/>
      <c r="U1939" s="41"/>
      <c r="V1939" s="41"/>
      <c r="W1939" s="41"/>
      <c r="X1939" s="41"/>
      <c r="Y1939" s="39" t="n">
        <v>45112.4166666667</v>
      </c>
      <c r="Z1939" s="39"/>
      <c r="AA1939" s="28" t="n">
        <v>3</v>
      </c>
      <c r="AMJ1939" s="0"/>
    </row>
    <row r="1940" s="2" customFormat="true" ht="12.75" hidden="false" customHeight="true" outlineLevel="0" collapsed="false">
      <c r="A1940" s="27" t="s">
        <v>3674</v>
      </c>
      <c r="B1940" s="27" t="s">
        <v>88</v>
      </c>
      <c r="C1940" s="28" t="s">
        <v>41</v>
      </c>
      <c r="D1940" s="27" t="s">
        <v>3621</v>
      </c>
      <c r="E1940" s="27"/>
      <c r="F1940" s="29" t="s">
        <v>3675</v>
      </c>
      <c r="G1940" s="30" t="n">
        <v>92200</v>
      </c>
      <c r="H1940" s="31" t="s">
        <v>3626</v>
      </c>
      <c r="I1940" s="32" t="n">
        <v>146244951</v>
      </c>
      <c r="J1940" s="33" t="n">
        <v>406</v>
      </c>
      <c r="K1940" s="33" t="n">
        <v>1</v>
      </c>
      <c r="L1940" s="34"/>
      <c r="M1940" s="35"/>
      <c r="N1940" s="36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9"/>
      <c r="Z1940" s="39"/>
      <c r="AA1940" s="28"/>
      <c r="AMJ1940" s="0"/>
    </row>
    <row r="1941" s="2" customFormat="true" ht="12.75" hidden="false" customHeight="true" outlineLevel="0" collapsed="false">
      <c r="A1941" s="27" t="s">
        <v>3676</v>
      </c>
      <c r="B1941" s="27" t="s">
        <v>67</v>
      </c>
      <c r="C1941" s="28" t="s">
        <v>41</v>
      </c>
      <c r="D1941" s="27" t="s">
        <v>3621</v>
      </c>
      <c r="E1941" s="27"/>
      <c r="F1941" s="29" t="s">
        <v>3677</v>
      </c>
      <c r="G1941" s="30" t="n">
        <v>92200</v>
      </c>
      <c r="H1941" s="31" t="s">
        <v>3626</v>
      </c>
      <c r="I1941" s="32" t="n">
        <v>147229861</v>
      </c>
      <c r="J1941" s="33" t="n">
        <v>351</v>
      </c>
      <c r="K1941" s="33" t="n">
        <v>1</v>
      </c>
      <c r="L1941" s="34"/>
      <c r="M1941" s="35"/>
      <c r="N1941" s="36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9"/>
      <c r="Z1941" s="39"/>
      <c r="AA1941" s="28"/>
      <c r="AMJ1941" s="0"/>
    </row>
    <row r="1942" s="2" customFormat="true" ht="12.75" hidden="false" customHeight="true" outlineLevel="0" collapsed="false">
      <c r="A1942" s="27" t="s">
        <v>1882</v>
      </c>
      <c r="B1942" s="27" t="s">
        <v>537</v>
      </c>
      <c r="C1942" s="28" t="s">
        <v>178</v>
      </c>
      <c r="D1942" s="27" t="s">
        <v>3621</v>
      </c>
      <c r="E1942" s="27"/>
      <c r="F1942" s="29" t="s">
        <v>3678</v>
      </c>
      <c r="G1942" s="30" t="n">
        <v>92200</v>
      </c>
      <c r="H1942" s="31" t="s">
        <v>3626</v>
      </c>
      <c r="I1942" s="32" t="n">
        <v>147475351</v>
      </c>
      <c r="J1942" s="33" t="n">
        <v>561</v>
      </c>
      <c r="K1942" s="33" t="n">
        <v>3</v>
      </c>
      <c r="L1942" s="34"/>
      <c r="M1942" s="35"/>
      <c r="N1942" s="36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9"/>
      <c r="Z1942" s="39"/>
      <c r="AA1942" s="28"/>
      <c r="AMJ1942" s="0"/>
    </row>
    <row r="1943" s="2" customFormat="true" ht="12.75" hidden="false" customHeight="true" outlineLevel="0" collapsed="false">
      <c r="A1943" s="27" t="s">
        <v>3679</v>
      </c>
      <c r="B1943" s="27" t="s">
        <v>633</v>
      </c>
      <c r="C1943" s="28" t="s">
        <v>41</v>
      </c>
      <c r="D1943" s="27" t="s">
        <v>3621</v>
      </c>
      <c r="E1943" s="27"/>
      <c r="F1943" s="29" t="s">
        <v>3678</v>
      </c>
      <c r="G1943" s="30" t="n">
        <v>92200</v>
      </c>
      <c r="H1943" s="31" t="s">
        <v>3626</v>
      </c>
      <c r="I1943" s="32" t="n">
        <v>146246853</v>
      </c>
      <c r="J1943" s="33" t="n">
        <v>387</v>
      </c>
      <c r="K1943" s="33" t="n">
        <v>8</v>
      </c>
      <c r="L1943" s="34"/>
      <c r="M1943" s="35"/>
      <c r="N1943" s="36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9"/>
      <c r="Z1943" s="39"/>
      <c r="AA1943" s="28"/>
      <c r="AMJ1943" s="0"/>
    </row>
    <row r="1944" s="2" customFormat="true" ht="12.75" hidden="false" customHeight="true" outlineLevel="0" collapsed="false">
      <c r="A1944" s="27" t="s">
        <v>3680</v>
      </c>
      <c r="B1944" s="27" t="s">
        <v>598</v>
      </c>
      <c r="C1944" s="28" t="s">
        <v>138</v>
      </c>
      <c r="D1944" s="27" t="s">
        <v>3621</v>
      </c>
      <c r="E1944" s="27"/>
      <c r="F1944" s="29" t="s">
        <v>3681</v>
      </c>
      <c r="G1944" s="30" t="n">
        <v>92200</v>
      </c>
      <c r="H1944" s="31" t="s">
        <v>3626</v>
      </c>
      <c r="I1944" s="32" t="n">
        <v>147450145</v>
      </c>
      <c r="J1944" s="33" t="n">
        <v>210</v>
      </c>
      <c r="K1944" s="33" t="n">
        <v>5</v>
      </c>
      <c r="L1944" s="34"/>
      <c r="M1944" s="35"/>
      <c r="N1944" s="36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9"/>
      <c r="Z1944" s="39"/>
      <c r="AA1944" s="28"/>
      <c r="AMJ1944" s="0"/>
    </row>
    <row r="1945" s="2" customFormat="true" ht="12.75" hidden="false" customHeight="true" outlineLevel="0" collapsed="false">
      <c r="A1945" s="27" t="s">
        <v>150</v>
      </c>
      <c r="B1945" s="27" t="s">
        <v>842</v>
      </c>
      <c r="C1945" s="28" t="s">
        <v>41</v>
      </c>
      <c r="D1945" s="27" t="s">
        <v>3621</v>
      </c>
      <c r="E1945" s="27"/>
      <c r="F1945" s="29" t="s">
        <v>3682</v>
      </c>
      <c r="G1945" s="30" t="n">
        <v>92200</v>
      </c>
      <c r="H1945" s="31" t="s">
        <v>3626</v>
      </c>
      <c r="I1945" s="32" t="n">
        <v>983090919</v>
      </c>
      <c r="J1945" s="33" t="n">
        <v>444</v>
      </c>
      <c r="K1945" s="33" t="n">
        <v>2</v>
      </c>
      <c r="L1945" s="34"/>
      <c r="M1945" s="35"/>
      <c r="N1945" s="36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9"/>
      <c r="Z1945" s="39"/>
      <c r="AA1945" s="28"/>
      <c r="AMJ1945" s="0"/>
    </row>
    <row r="1946" s="2" customFormat="true" ht="12.75" hidden="false" customHeight="true" outlineLevel="0" collapsed="false">
      <c r="A1946" s="27" t="s">
        <v>3683</v>
      </c>
      <c r="B1946" s="27" t="s">
        <v>1196</v>
      </c>
      <c r="C1946" s="28" t="s">
        <v>208</v>
      </c>
      <c r="D1946" s="27" t="s">
        <v>3621</v>
      </c>
      <c r="E1946" s="27"/>
      <c r="F1946" s="29" t="s">
        <v>3682</v>
      </c>
      <c r="G1946" s="30" t="n">
        <v>92200</v>
      </c>
      <c r="H1946" s="31" t="s">
        <v>3626</v>
      </c>
      <c r="I1946" s="32" t="n">
        <v>177375934</v>
      </c>
      <c r="J1946" s="33" t="n">
        <v>0</v>
      </c>
      <c r="K1946" s="33" t="n">
        <v>5</v>
      </c>
      <c r="L1946" s="34"/>
      <c r="M1946" s="35"/>
      <c r="N1946" s="36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9"/>
      <c r="Z1946" s="39"/>
      <c r="AA1946" s="28"/>
      <c r="AMJ1946" s="0"/>
    </row>
    <row r="1947" s="2" customFormat="true" ht="12.75" hidden="false" customHeight="true" outlineLevel="0" collapsed="false">
      <c r="A1947" s="27" t="s">
        <v>3684</v>
      </c>
      <c r="B1947" s="27" t="s">
        <v>2208</v>
      </c>
      <c r="C1947" s="28" t="s">
        <v>41</v>
      </c>
      <c r="D1947" s="27" t="s">
        <v>3621</v>
      </c>
      <c r="E1947" s="27"/>
      <c r="F1947" s="29" t="s">
        <v>3685</v>
      </c>
      <c r="G1947" s="30" t="n">
        <v>92200</v>
      </c>
      <c r="H1947" s="31" t="s">
        <v>3626</v>
      </c>
      <c r="I1947" s="32" t="n">
        <v>146418888</v>
      </c>
      <c r="J1947" s="33" t="n">
        <v>313</v>
      </c>
      <c r="K1947" s="33" t="n">
        <v>1</v>
      </c>
      <c r="L1947" s="34"/>
      <c r="M1947" s="35"/>
      <c r="N1947" s="36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9"/>
      <c r="Z1947" s="39"/>
      <c r="AA1947" s="28"/>
      <c r="AMJ1947" s="0"/>
    </row>
    <row r="1948" s="2" customFormat="true" ht="12.75" hidden="false" customHeight="true" outlineLevel="0" collapsed="false">
      <c r="A1948" s="27" t="s">
        <v>3686</v>
      </c>
      <c r="B1948" s="27" t="s">
        <v>47</v>
      </c>
      <c r="C1948" s="28" t="s">
        <v>77</v>
      </c>
      <c r="D1948" s="27" t="s">
        <v>3621</v>
      </c>
      <c r="E1948" s="27"/>
      <c r="F1948" s="29" t="s">
        <v>3685</v>
      </c>
      <c r="G1948" s="30" t="n">
        <v>92200</v>
      </c>
      <c r="H1948" s="31" t="s">
        <v>3626</v>
      </c>
      <c r="I1948" s="32"/>
      <c r="J1948" s="33" t="n">
        <v>325</v>
      </c>
      <c r="K1948" s="33" t="n">
        <v>3</v>
      </c>
      <c r="L1948" s="34"/>
      <c r="M1948" s="35"/>
      <c r="N1948" s="36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9"/>
      <c r="Z1948" s="39"/>
      <c r="AA1948" s="28"/>
      <c r="AMJ1948" s="0"/>
    </row>
    <row r="1949" s="2" customFormat="true" ht="12.75" hidden="false" customHeight="true" outlineLevel="0" collapsed="false">
      <c r="A1949" s="27" t="s">
        <v>3687</v>
      </c>
      <c r="B1949" s="27" t="s">
        <v>304</v>
      </c>
      <c r="C1949" s="28" t="s">
        <v>77</v>
      </c>
      <c r="D1949" s="27" t="s">
        <v>3621</v>
      </c>
      <c r="E1949" s="27"/>
      <c r="F1949" s="29" t="s">
        <v>3685</v>
      </c>
      <c r="G1949" s="30" t="n">
        <v>92200</v>
      </c>
      <c r="H1949" s="31" t="s">
        <v>3626</v>
      </c>
      <c r="I1949" s="32" t="n">
        <v>141430450</v>
      </c>
      <c r="J1949" s="33" t="n">
        <v>294</v>
      </c>
      <c r="K1949" s="33" t="n">
        <v>2</v>
      </c>
      <c r="L1949" s="34"/>
      <c r="M1949" s="35"/>
      <c r="N1949" s="36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9"/>
      <c r="Z1949" s="39"/>
      <c r="AA1949" s="28"/>
      <c r="AMJ1949" s="0"/>
    </row>
    <row r="1950" s="2" customFormat="true" ht="12.75" hidden="false" customHeight="true" outlineLevel="0" collapsed="false">
      <c r="A1950" s="27" t="s">
        <v>3688</v>
      </c>
      <c r="B1950" s="27" t="s">
        <v>3689</v>
      </c>
      <c r="C1950" s="28" t="s">
        <v>178</v>
      </c>
      <c r="D1950" s="27" t="s">
        <v>3621</v>
      </c>
      <c r="E1950" s="27" t="s">
        <v>3690</v>
      </c>
      <c r="F1950" s="29" t="s">
        <v>3691</v>
      </c>
      <c r="G1950" s="30" t="n">
        <v>92200</v>
      </c>
      <c r="H1950" s="31" t="s">
        <v>3626</v>
      </c>
      <c r="I1950" s="32"/>
      <c r="J1950" s="33" t="n">
        <v>260</v>
      </c>
      <c r="K1950" s="33" t="n">
        <v>34</v>
      </c>
      <c r="L1950" s="34"/>
      <c r="M1950" s="44" t="s">
        <v>321</v>
      </c>
      <c r="N1950" s="50" t="s">
        <v>3692</v>
      </c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9"/>
      <c r="Z1950" s="39"/>
      <c r="AA1950" s="28"/>
      <c r="AMJ1950" s="0"/>
    </row>
    <row r="1951" s="2" customFormat="true" ht="12.75" hidden="false" customHeight="true" outlineLevel="0" collapsed="false">
      <c r="A1951" s="27" t="s">
        <v>3693</v>
      </c>
      <c r="B1951" s="27" t="s">
        <v>3694</v>
      </c>
      <c r="C1951" s="28" t="s">
        <v>178</v>
      </c>
      <c r="D1951" s="27" t="s">
        <v>3621</v>
      </c>
      <c r="E1951" s="27" t="s">
        <v>3690</v>
      </c>
      <c r="F1951" s="29" t="s">
        <v>3691</v>
      </c>
      <c r="G1951" s="30" t="n">
        <v>92200</v>
      </c>
      <c r="H1951" s="31" t="s">
        <v>3626</v>
      </c>
      <c r="I1951" s="32"/>
      <c r="J1951" s="33" t="n">
        <v>260</v>
      </c>
      <c r="K1951" s="33" t="n">
        <v>46</v>
      </c>
      <c r="L1951" s="34"/>
      <c r="M1951" s="44" t="s">
        <v>321</v>
      </c>
      <c r="N1951" s="57" t="s">
        <v>3695</v>
      </c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9"/>
      <c r="Z1951" s="39"/>
      <c r="AA1951" s="28"/>
      <c r="AMJ1951" s="0"/>
    </row>
    <row r="1952" s="2" customFormat="true" ht="12.75" hidden="false" customHeight="true" outlineLevel="0" collapsed="false">
      <c r="A1952" s="27" t="s">
        <v>3696</v>
      </c>
      <c r="B1952" s="27" t="s">
        <v>3697</v>
      </c>
      <c r="C1952" s="28" t="s">
        <v>41</v>
      </c>
      <c r="D1952" s="27" t="s">
        <v>3621</v>
      </c>
      <c r="E1952" s="27" t="s">
        <v>3690</v>
      </c>
      <c r="F1952" s="29" t="s">
        <v>3691</v>
      </c>
      <c r="G1952" s="30" t="n">
        <v>92200</v>
      </c>
      <c r="H1952" s="31" t="s">
        <v>3626</v>
      </c>
      <c r="I1952" s="32"/>
      <c r="J1952" s="33" t="n">
        <v>236</v>
      </c>
      <c r="K1952" s="33" t="n">
        <v>5</v>
      </c>
      <c r="L1952" s="34"/>
      <c r="M1952" s="44" t="s">
        <v>321</v>
      </c>
      <c r="N1952" s="36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9"/>
      <c r="Z1952" s="39"/>
      <c r="AA1952" s="28"/>
      <c r="AMJ1952" s="0"/>
    </row>
    <row r="1953" s="2" customFormat="true" ht="12.75" hidden="false" customHeight="true" outlineLevel="0" collapsed="false">
      <c r="A1953" s="27" t="s">
        <v>2214</v>
      </c>
      <c r="B1953" s="27" t="s">
        <v>106</v>
      </c>
      <c r="C1953" s="28" t="s">
        <v>77</v>
      </c>
      <c r="D1953" s="27" t="s">
        <v>3621</v>
      </c>
      <c r="E1953" s="27" t="s">
        <v>3690</v>
      </c>
      <c r="F1953" s="29" t="s">
        <v>3691</v>
      </c>
      <c r="G1953" s="30" t="n">
        <v>92200</v>
      </c>
      <c r="H1953" s="31" t="s">
        <v>3626</v>
      </c>
      <c r="I1953" s="32" t="n">
        <v>147572131</v>
      </c>
      <c r="J1953" s="33" t="n">
        <v>710</v>
      </c>
      <c r="K1953" s="33" t="n">
        <v>1</v>
      </c>
      <c r="L1953" s="34"/>
      <c r="M1953" s="44" t="s">
        <v>321</v>
      </c>
      <c r="N1953" s="36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9"/>
      <c r="Z1953" s="39"/>
      <c r="AA1953" s="28"/>
      <c r="AMJ1953" s="0"/>
    </row>
    <row r="1954" s="2" customFormat="true" ht="12.75" hidden="false" customHeight="true" outlineLevel="0" collapsed="false">
      <c r="A1954" s="27" t="s">
        <v>3698</v>
      </c>
      <c r="B1954" s="27" t="s">
        <v>763</v>
      </c>
      <c r="C1954" s="28" t="s">
        <v>41</v>
      </c>
      <c r="D1954" s="27" t="s">
        <v>3621</v>
      </c>
      <c r="E1954" s="27"/>
      <c r="F1954" s="29" t="s">
        <v>3699</v>
      </c>
      <c r="G1954" s="30" t="n">
        <v>92200</v>
      </c>
      <c r="H1954" s="31" t="s">
        <v>3626</v>
      </c>
      <c r="I1954" s="32"/>
      <c r="J1954" s="33" t="n">
        <v>86</v>
      </c>
      <c r="K1954" s="33" t="n">
        <v>3</v>
      </c>
      <c r="L1954" s="34"/>
      <c r="M1954" s="35"/>
      <c r="N1954" s="36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9"/>
      <c r="Z1954" s="39"/>
      <c r="AA1954" s="28"/>
      <c r="AMJ1954" s="0"/>
    </row>
    <row r="1955" s="2" customFormat="true" ht="12.75" hidden="false" customHeight="true" outlineLevel="0" collapsed="false">
      <c r="A1955" s="27" t="s">
        <v>3700</v>
      </c>
      <c r="B1955" s="27" t="s">
        <v>598</v>
      </c>
      <c r="C1955" s="28" t="s">
        <v>41</v>
      </c>
      <c r="D1955" s="27" t="s">
        <v>3621</v>
      </c>
      <c r="E1955" s="27"/>
      <c r="F1955" s="29" t="s">
        <v>3701</v>
      </c>
      <c r="G1955" s="30" t="n">
        <v>92200</v>
      </c>
      <c r="H1955" s="31" t="s">
        <v>3626</v>
      </c>
      <c r="I1955" s="32" t="n">
        <v>184118320</v>
      </c>
      <c r="J1955" s="33" t="n">
        <v>400</v>
      </c>
      <c r="K1955" s="33"/>
      <c r="L1955" s="34"/>
      <c r="M1955" s="35"/>
      <c r="N1955" s="36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9"/>
      <c r="Z1955" s="39"/>
      <c r="AA1955" s="28"/>
      <c r="AMJ1955" s="0"/>
    </row>
    <row r="1956" s="2" customFormat="true" ht="12.75" hidden="false" customHeight="true" outlineLevel="0" collapsed="false">
      <c r="A1956" s="27" t="s">
        <v>3702</v>
      </c>
      <c r="B1956" s="27" t="s">
        <v>3703</v>
      </c>
      <c r="C1956" s="28" t="s">
        <v>178</v>
      </c>
      <c r="D1956" s="27" t="s">
        <v>3621</v>
      </c>
      <c r="E1956" s="27" t="s">
        <v>3704</v>
      </c>
      <c r="F1956" s="29" t="s">
        <v>3705</v>
      </c>
      <c r="G1956" s="30" t="n">
        <v>92200</v>
      </c>
      <c r="H1956" s="31" t="s">
        <v>3626</v>
      </c>
      <c r="I1956" s="32" t="n">
        <v>140886184</v>
      </c>
      <c r="J1956" s="33" t="n">
        <v>260</v>
      </c>
      <c r="K1956" s="33" t="n">
        <v>6</v>
      </c>
      <c r="L1956" s="34"/>
      <c r="M1956" s="35"/>
      <c r="N1956" s="36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9"/>
      <c r="Z1956" s="39"/>
      <c r="AA1956" s="28"/>
      <c r="AMJ1956" s="0"/>
    </row>
    <row r="1957" s="2" customFormat="true" ht="12.75" hidden="false" customHeight="true" outlineLevel="0" collapsed="false">
      <c r="A1957" s="27" t="s">
        <v>3706</v>
      </c>
      <c r="B1957" s="27" t="s">
        <v>1779</v>
      </c>
      <c r="C1957" s="28" t="s">
        <v>138</v>
      </c>
      <c r="D1957" s="27" t="s">
        <v>3621</v>
      </c>
      <c r="E1957" s="27" t="s">
        <v>3704</v>
      </c>
      <c r="F1957" s="29" t="s">
        <v>3705</v>
      </c>
      <c r="G1957" s="30" t="n">
        <v>92200</v>
      </c>
      <c r="H1957" s="31" t="s">
        <v>3626</v>
      </c>
      <c r="I1957" s="32" t="n">
        <v>140886164</v>
      </c>
      <c r="J1957" s="33" t="n">
        <v>400</v>
      </c>
      <c r="K1957" s="33" t="n">
        <v>1</v>
      </c>
      <c r="L1957" s="34"/>
      <c r="M1957" s="35"/>
      <c r="N1957" s="36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9"/>
      <c r="Z1957" s="39"/>
      <c r="AA1957" s="28"/>
      <c r="AMJ1957" s="0"/>
    </row>
    <row r="1958" s="2" customFormat="true" ht="12.75" hidden="false" customHeight="true" outlineLevel="0" collapsed="false">
      <c r="A1958" s="27" t="s">
        <v>3707</v>
      </c>
      <c r="B1958" s="27" t="s">
        <v>401</v>
      </c>
      <c r="C1958" s="28" t="s">
        <v>138</v>
      </c>
      <c r="D1958" s="27" t="s">
        <v>3621</v>
      </c>
      <c r="E1958" s="27" t="s">
        <v>3704</v>
      </c>
      <c r="F1958" s="29" t="s">
        <v>3705</v>
      </c>
      <c r="G1958" s="30" t="n">
        <v>92200</v>
      </c>
      <c r="H1958" s="31" t="s">
        <v>3626</v>
      </c>
      <c r="I1958" s="32"/>
      <c r="J1958" s="33" t="n">
        <v>124</v>
      </c>
      <c r="K1958" s="33" t="n">
        <v>36</v>
      </c>
      <c r="L1958" s="34" t="n">
        <v>1</v>
      </c>
      <c r="M1958" s="44" t="s">
        <v>716</v>
      </c>
      <c r="N1958" s="50"/>
      <c r="O1958" s="41" t="s">
        <v>726</v>
      </c>
      <c r="P1958" s="41" t="s">
        <v>726</v>
      </c>
      <c r="Q1958" s="41"/>
      <c r="R1958" s="41"/>
      <c r="S1958" s="41" t="s">
        <v>726</v>
      </c>
      <c r="T1958" s="41" t="s">
        <v>726</v>
      </c>
      <c r="U1958" s="41"/>
      <c r="V1958" s="41"/>
      <c r="W1958" s="41"/>
      <c r="X1958" s="41"/>
      <c r="Y1958" s="39" t="n">
        <v>45184.4166666667</v>
      </c>
      <c r="Z1958" s="39"/>
      <c r="AA1958" s="28" t="n">
        <v>3</v>
      </c>
      <c r="AMJ1958" s="0"/>
    </row>
    <row r="1959" s="2" customFormat="true" ht="12.75" hidden="false" customHeight="true" outlineLevel="0" collapsed="false">
      <c r="A1959" s="27" t="s">
        <v>3708</v>
      </c>
      <c r="B1959" s="27" t="s">
        <v>1266</v>
      </c>
      <c r="C1959" s="28" t="s">
        <v>138</v>
      </c>
      <c r="D1959" s="27" t="s">
        <v>3621</v>
      </c>
      <c r="E1959" s="27" t="s">
        <v>3704</v>
      </c>
      <c r="F1959" s="29" t="s">
        <v>3705</v>
      </c>
      <c r="G1959" s="30" t="n">
        <v>92200</v>
      </c>
      <c r="H1959" s="31" t="s">
        <v>3626</v>
      </c>
      <c r="I1959" s="32" t="n">
        <v>140886164</v>
      </c>
      <c r="J1959" s="33" t="n">
        <v>118</v>
      </c>
      <c r="K1959" s="33" t="n">
        <v>12</v>
      </c>
      <c r="L1959" s="34" t="n">
        <v>1</v>
      </c>
      <c r="M1959" s="35" t="s">
        <v>164</v>
      </c>
      <c r="N1959" s="36"/>
      <c r="O1959" s="41"/>
      <c r="P1959" s="41"/>
      <c r="Q1959" s="41"/>
      <c r="R1959" s="41"/>
      <c r="S1959" s="41"/>
      <c r="T1959" s="41"/>
      <c r="U1959" s="41"/>
      <c r="V1959" s="41"/>
      <c r="W1959" s="41"/>
      <c r="X1959" s="41"/>
      <c r="Y1959" s="39" t="n">
        <v>45184.6979166667</v>
      </c>
      <c r="Z1959" s="39"/>
      <c r="AA1959" s="28" t="n">
        <v>3</v>
      </c>
      <c r="AMJ1959" s="0"/>
    </row>
    <row r="1960" s="2" customFormat="true" ht="12.75" hidden="false" customHeight="true" outlineLevel="0" collapsed="false">
      <c r="A1960" s="27" t="s">
        <v>3709</v>
      </c>
      <c r="B1960" s="27" t="s">
        <v>401</v>
      </c>
      <c r="C1960" s="28" t="s">
        <v>138</v>
      </c>
      <c r="D1960" s="27" t="s">
        <v>3621</v>
      </c>
      <c r="E1960" s="27" t="s">
        <v>3704</v>
      </c>
      <c r="F1960" s="29" t="s">
        <v>3705</v>
      </c>
      <c r="G1960" s="30" t="n">
        <v>92200</v>
      </c>
      <c r="H1960" s="31" t="s">
        <v>3626</v>
      </c>
      <c r="I1960" s="32" t="n">
        <v>140886164</v>
      </c>
      <c r="J1960" s="33" t="n">
        <v>117</v>
      </c>
      <c r="K1960" s="33" t="n">
        <v>3</v>
      </c>
      <c r="L1960" s="34"/>
      <c r="M1960" s="35"/>
      <c r="N1960" s="36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9"/>
      <c r="Z1960" s="39"/>
      <c r="AA1960" s="28"/>
      <c r="AMJ1960" s="0"/>
    </row>
    <row r="1961" s="2" customFormat="true" ht="12.75" hidden="false" customHeight="true" outlineLevel="0" collapsed="false">
      <c r="A1961" s="27" t="s">
        <v>3710</v>
      </c>
      <c r="B1961" s="27" t="s">
        <v>2620</v>
      </c>
      <c r="C1961" s="28" t="s">
        <v>138</v>
      </c>
      <c r="D1961" s="27" t="s">
        <v>3621</v>
      </c>
      <c r="E1961" s="27" t="s">
        <v>3704</v>
      </c>
      <c r="F1961" s="29" t="s">
        <v>3705</v>
      </c>
      <c r="G1961" s="30" t="n">
        <v>92200</v>
      </c>
      <c r="H1961" s="31" t="s">
        <v>3626</v>
      </c>
      <c r="I1961" s="32" t="n">
        <v>140886164</v>
      </c>
      <c r="J1961" s="33" t="n">
        <v>117</v>
      </c>
      <c r="K1961" s="33" t="n">
        <v>9</v>
      </c>
      <c r="L1961" s="34" t="n">
        <v>1</v>
      </c>
      <c r="M1961" s="35" t="s">
        <v>164</v>
      </c>
      <c r="N1961" s="36"/>
      <c r="O1961" s="41"/>
      <c r="P1961" s="41"/>
      <c r="Q1961" s="41"/>
      <c r="R1961" s="41"/>
      <c r="S1961" s="41"/>
      <c r="T1961" s="41"/>
      <c r="U1961" s="41"/>
      <c r="V1961" s="41"/>
      <c r="W1961" s="41"/>
      <c r="X1961" s="41"/>
      <c r="Y1961" s="39"/>
      <c r="Z1961" s="39"/>
      <c r="AA1961" s="28" t="n">
        <v>3</v>
      </c>
      <c r="AMJ1961" s="0"/>
    </row>
    <row r="1962" s="2" customFormat="true" ht="12.75" hidden="false" customHeight="true" outlineLevel="0" collapsed="false">
      <c r="A1962" s="27" t="s">
        <v>3711</v>
      </c>
      <c r="B1962" s="27" t="s">
        <v>329</v>
      </c>
      <c r="C1962" s="28" t="s">
        <v>138</v>
      </c>
      <c r="D1962" s="27" t="s">
        <v>3621</v>
      </c>
      <c r="E1962" s="27" t="s">
        <v>3704</v>
      </c>
      <c r="F1962" s="29" t="s">
        <v>3705</v>
      </c>
      <c r="G1962" s="30" t="n">
        <v>92200</v>
      </c>
      <c r="H1962" s="31" t="s">
        <v>3626</v>
      </c>
      <c r="I1962" s="32" t="n">
        <v>140886164</v>
      </c>
      <c r="J1962" s="33" t="n">
        <v>117</v>
      </c>
      <c r="K1962" s="33" t="n">
        <v>1</v>
      </c>
      <c r="L1962" s="34"/>
      <c r="M1962" s="35"/>
      <c r="N1962" s="36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9"/>
      <c r="Z1962" s="39"/>
      <c r="AA1962" s="28"/>
      <c r="AMJ1962" s="0"/>
    </row>
    <row r="1963" s="2" customFormat="true" ht="12.75" hidden="false" customHeight="true" outlineLevel="0" collapsed="false">
      <c r="A1963" s="27" t="s">
        <v>3712</v>
      </c>
      <c r="B1963" s="27" t="s">
        <v>3713</v>
      </c>
      <c r="C1963" s="28" t="s">
        <v>138</v>
      </c>
      <c r="D1963" s="27" t="s">
        <v>3621</v>
      </c>
      <c r="E1963" s="27" t="s">
        <v>3704</v>
      </c>
      <c r="F1963" s="29" t="s">
        <v>3705</v>
      </c>
      <c r="G1963" s="30" t="n">
        <v>92200</v>
      </c>
      <c r="H1963" s="31" t="s">
        <v>3626</v>
      </c>
      <c r="I1963" s="32" t="n">
        <v>140886164</v>
      </c>
      <c r="J1963" s="33" t="n">
        <v>101</v>
      </c>
      <c r="K1963" s="33" t="n">
        <v>6</v>
      </c>
      <c r="L1963" s="34"/>
      <c r="M1963" s="35"/>
      <c r="N1963" s="36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9"/>
      <c r="Z1963" s="39"/>
      <c r="AA1963" s="28"/>
      <c r="AMJ1963" s="0"/>
    </row>
    <row r="1964" s="2" customFormat="true" ht="12.75" hidden="false" customHeight="true" outlineLevel="0" collapsed="false">
      <c r="A1964" s="27" t="s">
        <v>3714</v>
      </c>
      <c r="B1964" s="27" t="s">
        <v>277</v>
      </c>
      <c r="C1964" s="28" t="s">
        <v>138</v>
      </c>
      <c r="D1964" s="27" t="s">
        <v>3621</v>
      </c>
      <c r="E1964" s="27" t="s">
        <v>3704</v>
      </c>
      <c r="F1964" s="29" t="s">
        <v>3705</v>
      </c>
      <c r="G1964" s="30" t="n">
        <v>92200</v>
      </c>
      <c r="H1964" s="31" t="s">
        <v>3626</v>
      </c>
      <c r="I1964" s="32"/>
      <c r="J1964" s="33" t="n">
        <v>100</v>
      </c>
      <c r="K1964" s="33" t="n">
        <v>3</v>
      </c>
      <c r="L1964" s="34"/>
      <c r="M1964" s="35"/>
      <c r="N1964" s="36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9"/>
      <c r="Z1964" s="39"/>
      <c r="AA1964" s="28"/>
      <c r="AMJ1964" s="0"/>
    </row>
    <row r="1965" s="2" customFormat="true" ht="12.75" hidden="false" customHeight="true" outlineLevel="0" collapsed="false">
      <c r="A1965" s="27" t="s">
        <v>3715</v>
      </c>
      <c r="B1965" s="27" t="s">
        <v>217</v>
      </c>
      <c r="C1965" s="28" t="s">
        <v>138</v>
      </c>
      <c r="D1965" s="27" t="s">
        <v>3621</v>
      </c>
      <c r="E1965" s="27" t="s">
        <v>3704</v>
      </c>
      <c r="F1965" s="29" t="s">
        <v>3705</v>
      </c>
      <c r="G1965" s="30" t="n">
        <v>92200</v>
      </c>
      <c r="H1965" s="31" t="s">
        <v>3626</v>
      </c>
      <c r="I1965" s="32" t="n">
        <v>140886164</v>
      </c>
      <c r="J1965" s="33" t="n">
        <v>96</v>
      </c>
      <c r="K1965" s="33" t="n">
        <v>6</v>
      </c>
      <c r="L1965" s="34"/>
      <c r="M1965" s="35"/>
      <c r="N1965" s="36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9"/>
      <c r="Z1965" s="39"/>
      <c r="AA1965" s="28"/>
      <c r="AMJ1965" s="0"/>
    </row>
    <row r="1966" s="2" customFormat="true" ht="12.75" hidden="false" customHeight="true" outlineLevel="0" collapsed="false">
      <c r="A1966" s="27" t="s">
        <v>3716</v>
      </c>
      <c r="B1966" s="27" t="s">
        <v>3717</v>
      </c>
      <c r="C1966" s="28" t="s">
        <v>138</v>
      </c>
      <c r="D1966" s="27" t="s">
        <v>3621</v>
      </c>
      <c r="E1966" s="27" t="s">
        <v>3704</v>
      </c>
      <c r="F1966" s="29" t="s">
        <v>3705</v>
      </c>
      <c r="G1966" s="30" t="n">
        <v>92200</v>
      </c>
      <c r="H1966" s="31" t="s">
        <v>3626</v>
      </c>
      <c r="I1966" s="32" t="n">
        <v>140886164</v>
      </c>
      <c r="J1966" s="33" t="n">
        <v>86</v>
      </c>
      <c r="K1966" s="33" t="n">
        <v>13</v>
      </c>
      <c r="L1966" s="34" t="n">
        <v>1</v>
      </c>
      <c r="M1966" s="35" t="s">
        <v>164</v>
      </c>
      <c r="N1966" s="36"/>
      <c r="O1966" s="41"/>
      <c r="P1966" s="41"/>
      <c r="Q1966" s="41"/>
      <c r="R1966" s="41"/>
      <c r="S1966" s="41"/>
      <c r="T1966" s="41"/>
      <c r="U1966" s="41"/>
      <c r="V1966" s="41"/>
      <c r="W1966" s="41"/>
      <c r="X1966" s="41"/>
      <c r="Y1966" s="39" t="n">
        <v>45184.4756944444</v>
      </c>
      <c r="Z1966" s="39"/>
      <c r="AA1966" s="28" t="n">
        <v>3</v>
      </c>
      <c r="AMJ1966" s="0"/>
    </row>
    <row r="1967" s="2" customFormat="true" ht="12.75" hidden="false" customHeight="true" outlineLevel="0" collapsed="false">
      <c r="A1967" s="27" t="s">
        <v>3718</v>
      </c>
      <c r="B1967" s="27" t="s">
        <v>3719</v>
      </c>
      <c r="C1967" s="28" t="s">
        <v>138</v>
      </c>
      <c r="D1967" s="27" t="s">
        <v>3621</v>
      </c>
      <c r="E1967" s="27" t="s">
        <v>3704</v>
      </c>
      <c r="F1967" s="29" t="s">
        <v>3705</v>
      </c>
      <c r="G1967" s="30" t="n">
        <v>92200</v>
      </c>
      <c r="H1967" s="31" t="s">
        <v>3626</v>
      </c>
      <c r="I1967" s="32" t="n">
        <v>140886164</v>
      </c>
      <c r="J1967" s="33" t="n">
        <v>84</v>
      </c>
      <c r="K1967" s="33" t="n">
        <v>2</v>
      </c>
      <c r="L1967" s="34"/>
      <c r="M1967" s="35"/>
      <c r="N1967" s="36"/>
      <c r="O1967" s="37"/>
      <c r="P1967" s="37"/>
      <c r="Q1967" s="37"/>
      <c r="R1967" s="37"/>
      <c r="S1967" s="37"/>
      <c r="T1967" s="37"/>
      <c r="U1967" s="37"/>
      <c r="V1967" s="37"/>
      <c r="W1967" s="37"/>
      <c r="X1967" s="37"/>
      <c r="Y1967" s="39"/>
      <c r="Z1967" s="39"/>
      <c r="AA1967" s="28"/>
      <c r="AMJ1967" s="0"/>
    </row>
    <row r="1968" s="2" customFormat="true" ht="12.75" hidden="false" customHeight="true" outlineLevel="0" collapsed="false">
      <c r="A1968" s="27" t="s">
        <v>3720</v>
      </c>
      <c r="B1968" s="27" t="s">
        <v>3721</v>
      </c>
      <c r="C1968" s="28" t="s">
        <v>138</v>
      </c>
      <c r="D1968" s="27" t="s">
        <v>3621</v>
      </c>
      <c r="E1968" s="27" t="s">
        <v>3704</v>
      </c>
      <c r="F1968" s="29" t="s">
        <v>3705</v>
      </c>
      <c r="G1968" s="30" t="n">
        <v>92200</v>
      </c>
      <c r="H1968" s="31" t="s">
        <v>3626</v>
      </c>
      <c r="I1968" s="32" t="n">
        <v>140886164</v>
      </c>
      <c r="J1968" s="33" t="n">
        <v>82</v>
      </c>
      <c r="K1968" s="33" t="n">
        <v>1</v>
      </c>
      <c r="L1968" s="34"/>
      <c r="M1968" s="35"/>
      <c r="N1968" s="36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9"/>
      <c r="Z1968" s="39"/>
      <c r="AA1968" s="28"/>
      <c r="AMJ1968" s="0"/>
    </row>
    <row r="1969" s="2" customFormat="true" ht="12.75" hidden="false" customHeight="true" outlineLevel="0" collapsed="false">
      <c r="A1969" s="27" t="s">
        <v>3722</v>
      </c>
      <c r="B1969" s="27" t="s">
        <v>579</v>
      </c>
      <c r="C1969" s="28" t="s">
        <v>138</v>
      </c>
      <c r="D1969" s="27" t="s">
        <v>3621</v>
      </c>
      <c r="E1969" s="27" t="s">
        <v>3704</v>
      </c>
      <c r="F1969" s="29" t="s">
        <v>3705</v>
      </c>
      <c r="G1969" s="30" t="n">
        <v>92200</v>
      </c>
      <c r="H1969" s="31" t="s">
        <v>3626</v>
      </c>
      <c r="I1969" s="32" t="n">
        <v>140886164</v>
      </c>
      <c r="J1969" s="33" t="n">
        <v>80</v>
      </c>
      <c r="K1969" s="33" t="n">
        <v>2</v>
      </c>
      <c r="L1969" s="34"/>
      <c r="M1969" s="35"/>
      <c r="N1969" s="36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9"/>
      <c r="Z1969" s="39"/>
      <c r="AA1969" s="28"/>
      <c r="AMJ1969" s="0"/>
    </row>
    <row r="1970" s="2" customFormat="true" ht="12.75" hidden="false" customHeight="true" outlineLevel="0" collapsed="false">
      <c r="A1970" s="27" t="s">
        <v>3723</v>
      </c>
      <c r="B1970" s="27" t="s">
        <v>1383</v>
      </c>
      <c r="C1970" s="28" t="s">
        <v>138</v>
      </c>
      <c r="D1970" s="27" t="s">
        <v>3621</v>
      </c>
      <c r="E1970" s="27" t="s">
        <v>3704</v>
      </c>
      <c r="F1970" s="29" t="s">
        <v>3705</v>
      </c>
      <c r="G1970" s="30" t="n">
        <v>92200</v>
      </c>
      <c r="H1970" s="31" t="s">
        <v>3626</v>
      </c>
      <c r="I1970" s="32" t="n">
        <v>140886164</v>
      </c>
      <c r="J1970" s="33" t="n">
        <v>78</v>
      </c>
      <c r="K1970" s="33" t="n">
        <v>9</v>
      </c>
      <c r="L1970" s="34"/>
      <c r="M1970" s="35"/>
      <c r="N1970" s="36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9"/>
      <c r="Z1970" s="39"/>
      <c r="AA1970" s="28"/>
      <c r="AMJ1970" s="0"/>
    </row>
    <row r="1971" s="2" customFormat="true" ht="12.75" hidden="false" customHeight="true" outlineLevel="0" collapsed="false">
      <c r="A1971" s="27" t="s">
        <v>3724</v>
      </c>
      <c r="B1971" s="27" t="s">
        <v>1695</v>
      </c>
      <c r="C1971" s="28" t="s">
        <v>138</v>
      </c>
      <c r="D1971" s="27" t="s">
        <v>3621</v>
      </c>
      <c r="E1971" s="27" t="s">
        <v>3704</v>
      </c>
      <c r="F1971" s="29" t="s">
        <v>3705</v>
      </c>
      <c r="G1971" s="30" t="n">
        <v>92200</v>
      </c>
      <c r="H1971" s="31" t="s">
        <v>3626</v>
      </c>
      <c r="I1971" s="32" t="n">
        <v>140886164</v>
      </c>
      <c r="J1971" s="33" t="n">
        <v>63</v>
      </c>
      <c r="K1971" s="33" t="n">
        <v>3</v>
      </c>
      <c r="L1971" s="34"/>
      <c r="M1971" s="35"/>
      <c r="N1971" s="36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9"/>
      <c r="Z1971" s="39"/>
      <c r="AA1971" s="28"/>
      <c r="AMJ1971" s="0"/>
    </row>
    <row r="1972" s="2" customFormat="true" ht="12.75" hidden="false" customHeight="true" outlineLevel="0" collapsed="false">
      <c r="A1972" s="27" t="s">
        <v>3725</v>
      </c>
      <c r="B1972" s="27" t="s">
        <v>1559</v>
      </c>
      <c r="C1972" s="28" t="s">
        <v>138</v>
      </c>
      <c r="D1972" s="27" t="s">
        <v>3621</v>
      </c>
      <c r="E1972" s="27" t="s">
        <v>3704</v>
      </c>
      <c r="F1972" s="29" t="s">
        <v>3705</v>
      </c>
      <c r="G1972" s="30" t="n">
        <v>92200</v>
      </c>
      <c r="H1972" s="31" t="s">
        <v>3626</v>
      </c>
      <c r="I1972" s="32" t="n">
        <v>140886164</v>
      </c>
      <c r="J1972" s="33" t="n">
        <v>0</v>
      </c>
      <c r="K1972" s="33" t="n">
        <v>2</v>
      </c>
      <c r="L1972" s="34"/>
      <c r="M1972" s="35"/>
      <c r="N1972" s="36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9"/>
      <c r="Z1972" s="39"/>
      <c r="AA1972" s="28"/>
      <c r="AMJ1972" s="0"/>
    </row>
    <row r="1973" s="2" customFormat="true" ht="12.75" hidden="false" customHeight="true" outlineLevel="0" collapsed="false">
      <c r="A1973" s="27" t="s">
        <v>3726</v>
      </c>
      <c r="B1973" s="27" t="s">
        <v>92</v>
      </c>
      <c r="C1973" s="28" t="s">
        <v>138</v>
      </c>
      <c r="D1973" s="27" t="s">
        <v>3621</v>
      </c>
      <c r="E1973" s="27" t="s">
        <v>3704</v>
      </c>
      <c r="F1973" s="29" t="s">
        <v>3705</v>
      </c>
      <c r="G1973" s="30" t="n">
        <v>92200</v>
      </c>
      <c r="H1973" s="31" t="s">
        <v>3626</v>
      </c>
      <c r="I1973" s="32" t="n">
        <v>140886164</v>
      </c>
      <c r="J1973" s="33" t="n">
        <v>0</v>
      </c>
      <c r="K1973" s="33" t="n">
        <v>13</v>
      </c>
      <c r="L1973" s="34" t="n">
        <v>3</v>
      </c>
      <c r="M1973" s="35" t="s">
        <v>164</v>
      </c>
      <c r="N1973" s="36"/>
      <c r="O1973" s="41"/>
      <c r="P1973" s="41"/>
      <c r="Q1973" s="41"/>
      <c r="R1973" s="41"/>
      <c r="S1973" s="41"/>
      <c r="T1973" s="41"/>
      <c r="U1973" s="41"/>
      <c r="V1973" s="41"/>
      <c r="W1973" s="41"/>
      <c r="X1973" s="41"/>
      <c r="Y1973" s="39"/>
      <c r="Z1973" s="39"/>
      <c r="AA1973" s="28" t="n">
        <v>3</v>
      </c>
      <c r="AMJ1973" s="0"/>
    </row>
    <row r="1974" s="2" customFormat="true" ht="12.75" hidden="false" customHeight="true" outlineLevel="0" collapsed="false">
      <c r="A1974" s="27" t="s">
        <v>3727</v>
      </c>
      <c r="B1974" s="27" t="s">
        <v>53</v>
      </c>
      <c r="C1974" s="28" t="s">
        <v>138</v>
      </c>
      <c r="D1974" s="27" t="s">
        <v>3621</v>
      </c>
      <c r="E1974" s="27" t="s">
        <v>3704</v>
      </c>
      <c r="F1974" s="29" t="s">
        <v>3705</v>
      </c>
      <c r="G1974" s="30" t="n">
        <v>92200</v>
      </c>
      <c r="H1974" s="31" t="s">
        <v>3626</v>
      </c>
      <c r="I1974" s="32" t="n">
        <v>140886164</v>
      </c>
      <c r="J1974" s="33" t="n">
        <v>0</v>
      </c>
      <c r="K1974" s="33" t="n">
        <v>13</v>
      </c>
      <c r="L1974" s="34" t="n">
        <v>2</v>
      </c>
      <c r="M1974" s="35" t="s">
        <v>164</v>
      </c>
      <c r="N1974" s="36"/>
      <c r="O1974" s="41"/>
      <c r="P1974" s="41"/>
      <c r="Q1974" s="41"/>
      <c r="R1974" s="41"/>
      <c r="S1974" s="41"/>
      <c r="T1974" s="41"/>
      <c r="U1974" s="41"/>
      <c r="V1974" s="41"/>
      <c r="W1974" s="41"/>
      <c r="X1974" s="41"/>
      <c r="Y1974" s="39" t="n">
        <v>45184.6145833333</v>
      </c>
      <c r="Z1974" s="39"/>
      <c r="AA1974" s="28" t="n">
        <v>3</v>
      </c>
      <c r="AMJ1974" s="0"/>
    </row>
    <row r="1975" s="2" customFormat="true" ht="12.75" hidden="false" customHeight="true" outlineLevel="0" collapsed="false">
      <c r="A1975" s="27" t="s">
        <v>3728</v>
      </c>
      <c r="B1975" s="27" t="s">
        <v>3703</v>
      </c>
      <c r="C1975" s="28" t="s">
        <v>138</v>
      </c>
      <c r="D1975" s="27" t="s">
        <v>3621</v>
      </c>
      <c r="E1975" s="27" t="s">
        <v>3704</v>
      </c>
      <c r="F1975" s="29" t="s">
        <v>3705</v>
      </c>
      <c r="G1975" s="30" t="n">
        <v>92200</v>
      </c>
      <c r="H1975" s="31" t="s">
        <v>3626</v>
      </c>
      <c r="I1975" s="32" t="n">
        <v>140886164</v>
      </c>
      <c r="J1975" s="33" t="n">
        <v>0</v>
      </c>
      <c r="K1975" s="33" t="n">
        <v>5</v>
      </c>
      <c r="L1975" s="34"/>
      <c r="M1975" s="35"/>
      <c r="N1975" s="36"/>
      <c r="O1975" s="37"/>
      <c r="P1975" s="37"/>
      <c r="Q1975" s="37"/>
      <c r="R1975" s="37"/>
      <c r="S1975" s="37"/>
      <c r="T1975" s="37"/>
      <c r="U1975" s="37"/>
      <c r="V1975" s="37"/>
      <c r="W1975" s="37"/>
      <c r="X1975" s="37"/>
      <c r="Y1975" s="39"/>
      <c r="Z1975" s="39"/>
      <c r="AA1975" s="28"/>
      <c r="AMJ1975" s="0"/>
    </row>
    <row r="1976" s="2" customFormat="true" ht="12.75" hidden="false" customHeight="true" outlineLevel="0" collapsed="false">
      <c r="A1976" s="27" t="s">
        <v>3729</v>
      </c>
      <c r="B1976" s="27" t="s">
        <v>205</v>
      </c>
      <c r="C1976" s="28" t="s">
        <v>41</v>
      </c>
      <c r="D1976" s="27" t="s">
        <v>3621</v>
      </c>
      <c r="E1976" s="27" t="s">
        <v>3704</v>
      </c>
      <c r="F1976" s="29" t="s">
        <v>3705</v>
      </c>
      <c r="G1976" s="30" t="n">
        <v>92200</v>
      </c>
      <c r="H1976" s="31" t="s">
        <v>3626</v>
      </c>
      <c r="I1976" s="32" t="n">
        <v>140886184</v>
      </c>
      <c r="J1976" s="33" t="n">
        <v>201</v>
      </c>
      <c r="K1976" s="33" t="n">
        <v>6</v>
      </c>
      <c r="L1976" s="34"/>
      <c r="M1976" s="35"/>
      <c r="N1976" s="36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9"/>
      <c r="Z1976" s="39"/>
      <c r="AA1976" s="28"/>
      <c r="AMJ1976" s="0"/>
    </row>
    <row r="1977" s="2" customFormat="true" ht="12.75" hidden="false" customHeight="true" outlineLevel="0" collapsed="false">
      <c r="A1977" s="27" t="s">
        <v>50</v>
      </c>
      <c r="B1977" s="27" t="s">
        <v>749</v>
      </c>
      <c r="C1977" s="28" t="s">
        <v>41</v>
      </c>
      <c r="D1977" s="27" t="s">
        <v>3621</v>
      </c>
      <c r="E1977" s="27" t="s">
        <v>3704</v>
      </c>
      <c r="F1977" s="29" t="s">
        <v>3705</v>
      </c>
      <c r="G1977" s="30" t="n">
        <v>92200</v>
      </c>
      <c r="H1977" s="31" t="s">
        <v>3626</v>
      </c>
      <c r="I1977" s="32"/>
      <c r="J1977" s="33" t="n">
        <v>201</v>
      </c>
      <c r="K1977" s="33" t="n">
        <v>0</v>
      </c>
      <c r="L1977" s="34"/>
      <c r="M1977" s="35"/>
      <c r="N1977" s="36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9"/>
      <c r="Z1977" s="39"/>
      <c r="AA1977" s="28"/>
      <c r="AMJ1977" s="0"/>
    </row>
    <row r="1978" s="2" customFormat="true" ht="12.75" hidden="false" customHeight="true" outlineLevel="0" collapsed="false">
      <c r="A1978" s="27" t="s">
        <v>3730</v>
      </c>
      <c r="B1978" s="27" t="s">
        <v>1626</v>
      </c>
      <c r="C1978" s="28" t="s">
        <v>41</v>
      </c>
      <c r="D1978" s="27" t="s">
        <v>3621</v>
      </c>
      <c r="E1978" s="27" t="s">
        <v>3704</v>
      </c>
      <c r="F1978" s="29" t="s">
        <v>3705</v>
      </c>
      <c r="G1978" s="30" t="n">
        <v>92200</v>
      </c>
      <c r="H1978" s="31" t="s">
        <v>3626</v>
      </c>
      <c r="I1978" s="32" t="n">
        <v>140886184</v>
      </c>
      <c r="J1978" s="33" t="n">
        <v>201</v>
      </c>
      <c r="K1978" s="33" t="n">
        <v>4</v>
      </c>
      <c r="L1978" s="34"/>
      <c r="M1978" s="35"/>
      <c r="N1978" s="36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9"/>
      <c r="Z1978" s="39"/>
      <c r="AA1978" s="28"/>
      <c r="AMJ1978" s="0"/>
    </row>
    <row r="1979" s="2" customFormat="true" ht="12.75" hidden="false" customHeight="true" outlineLevel="0" collapsed="false">
      <c r="A1979" s="27" t="s">
        <v>3731</v>
      </c>
      <c r="B1979" s="27" t="s">
        <v>3732</v>
      </c>
      <c r="C1979" s="28" t="s">
        <v>41</v>
      </c>
      <c r="D1979" s="27" t="s">
        <v>3621</v>
      </c>
      <c r="E1979" s="27" t="s">
        <v>3704</v>
      </c>
      <c r="F1979" s="29" t="s">
        <v>3705</v>
      </c>
      <c r="G1979" s="30" t="n">
        <v>92200</v>
      </c>
      <c r="H1979" s="31" t="s">
        <v>3626</v>
      </c>
      <c r="I1979" s="32" t="n">
        <v>140886187</v>
      </c>
      <c r="J1979" s="33" t="n">
        <v>201</v>
      </c>
      <c r="K1979" s="33" t="n">
        <v>1</v>
      </c>
      <c r="L1979" s="34"/>
      <c r="M1979" s="35"/>
      <c r="N1979" s="36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9"/>
      <c r="Z1979" s="39"/>
      <c r="AA1979" s="28"/>
      <c r="AMJ1979" s="0"/>
    </row>
    <row r="1980" s="2" customFormat="true" ht="12.75" hidden="false" customHeight="true" outlineLevel="0" collapsed="false">
      <c r="A1980" s="27" t="s">
        <v>3733</v>
      </c>
      <c r="B1980" s="27" t="s">
        <v>527</v>
      </c>
      <c r="C1980" s="28" t="s">
        <v>77</v>
      </c>
      <c r="D1980" s="27" t="s">
        <v>3621</v>
      </c>
      <c r="E1980" s="27" t="s">
        <v>3704</v>
      </c>
      <c r="F1980" s="29" t="s">
        <v>3705</v>
      </c>
      <c r="G1980" s="30" t="n">
        <v>92200</v>
      </c>
      <c r="H1980" s="31" t="s">
        <v>3626</v>
      </c>
      <c r="I1980" s="32" t="n">
        <v>140886240</v>
      </c>
      <c r="J1980" s="33" t="n">
        <v>198</v>
      </c>
      <c r="K1980" s="33" t="n">
        <v>1</v>
      </c>
      <c r="L1980" s="34"/>
      <c r="M1980" s="35"/>
      <c r="N1980" s="36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9"/>
      <c r="Z1980" s="39"/>
      <c r="AA1980" s="28"/>
      <c r="AMJ1980" s="0"/>
    </row>
    <row r="1981" s="2" customFormat="true" ht="12.75" hidden="false" customHeight="true" outlineLevel="0" collapsed="false">
      <c r="A1981" s="27" t="s">
        <v>3734</v>
      </c>
      <c r="B1981" s="27" t="s">
        <v>3735</v>
      </c>
      <c r="C1981" s="28" t="s">
        <v>121</v>
      </c>
      <c r="D1981" s="27" t="s">
        <v>3621</v>
      </c>
      <c r="E1981" s="27" t="s">
        <v>3704</v>
      </c>
      <c r="F1981" s="29" t="s">
        <v>3705</v>
      </c>
      <c r="G1981" s="30" t="n">
        <v>92200</v>
      </c>
      <c r="H1981" s="31" t="s">
        <v>3626</v>
      </c>
      <c r="I1981" s="32" t="n">
        <v>140886154</v>
      </c>
      <c r="J1981" s="33" t="n">
        <v>130</v>
      </c>
      <c r="K1981" s="33" t="n">
        <v>0</v>
      </c>
      <c r="L1981" s="34"/>
      <c r="M1981" s="35"/>
      <c r="N1981" s="36"/>
      <c r="O1981" s="37"/>
      <c r="P1981" s="37"/>
      <c r="Q1981" s="37"/>
      <c r="R1981" s="37"/>
      <c r="S1981" s="37"/>
      <c r="T1981" s="37"/>
      <c r="U1981" s="37"/>
      <c r="V1981" s="37"/>
      <c r="W1981" s="37"/>
      <c r="X1981" s="37"/>
      <c r="Y1981" s="39"/>
      <c r="Z1981" s="39"/>
      <c r="AA1981" s="28"/>
      <c r="AMJ1981" s="0"/>
    </row>
    <row r="1982" s="2" customFormat="true" ht="12.75" hidden="false" customHeight="true" outlineLevel="0" collapsed="false">
      <c r="A1982" s="27" t="s">
        <v>3736</v>
      </c>
      <c r="B1982" s="27" t="s">
        <v>3737</v>
      </c>
      <c r="C1982" s="28" t="s">
        <v>121</v>
      </c>
      <c r="D1982" s="27" t="s">
        <v>3621</v>
      </c>
      <c r="E1982" s="27" t="s">
        <v>3704</v>
      </c>
      <c r="F1982" s="29" t="s">
        <v>3705</v>
      </c>
      <c r="G1982" s="30" t="n">
        <v>92200</v>
      </c>
      <c r="H1982" s="31" t="s">
        <v>3626</v>
      </c>
      <c r="I1982" s="32" t="n">
        <v>140886154</v>
      </c>
      <c r="J1982" s="33" t="n">
        <v>130</v>
      </c>
      <c r="K1982" s="33" t="n">
        <v>3</v>
      </c>
      <c r="L1982" s="34"/>
      <c r="M1982" s="35"/>
      <c r="N1982" s="36"/>
      <c r="O1982" s="37"/>
      <c r="P1982" s="37"/>
      <c r="Q1982" s="37"/>
      <c r="R1982" s="37"/>
      <c r="S1982" s="37"/>
      <c r="T1982" s="37"/>
      <c r="U1982" s="37"/>
      <c r="V1982" s="37"/>
      <c r="W1982" s="37"/>
      <c r="X1982" s="37"/>
      <c r="Y1982" s="39"/>
      <c r="Z1982" s="39"/>
      <c r="AA1982" s="28"/>
      <c r="AMJ1982" s="0"/>
    </row>
    <row r="1983" s="2" customFormat="true" ht="12.75" hidden="false" customHeight="true" outlineLevel="0" collapsed="false">
      <c r="A1983" s="27" t="s">
        <v>3738</v>
      </c>
      <c r="B1983" s="27" t="s">
        <v>3739</v>
      </c>
      <c r="C1983" s="28" t="s">
        <v>121</v>
      </c>
      <c r="D1983" s="27" t="s">
        <v>3621</v>
      </c>
      <c r="E1983" s="27" t="s">
        <v>3704</v>
      </c>
      <c r="F1983" s="29" t="s">
        <v>3705</v>
      </c>
      <c r="G1983" s="30" t="n">
        <v>92200</v>
      </c>
      <c r="H1983" s="31" t="s">
        <v>3626</v>
      </c>
      <c r="I1983" s="32" t="n">
        <v>140886154</v>
      </c>
      <c r="J1983" s="33" t="n">
        <v>130</v>
      </c>
      <c r="K1983" s="33" t="n">
        <v>1</v>
      </c>
      <c r="L1983" s="34"/>
      <c r="M1983" s="35"/>
      <c r="N1983" s="36"/>
      <c r="O1983" s="37"/>
      <c r="P1983" s="37"/>
      <c r="Q1983" s="37"/>
      <c r="R1983" s="37"/>
      <c r="S1983" s="37"/>
      <c r="T1983" s="37"/>
      <c r="U1983" s="37"/>
      <c r="V1983" s="37"/>
      <c r="W1983" s="37"/>
      <c r="X1983" s="37"/>
      <c r="Y1983" s="39"/>
      <c r="Z1983" s="39"/>
      <c r="AA1983" s="28"/>
      <c r="AMJ1983" s="0"/>
    </row>
    <row r="1984" s="2" customFormat="true" ht="12.75" hidden="false" customHeight="true" outlineLevel="0" collapsed="false">
      <c r="A1984" s="27" t="s">
        <v>3740</v>
      </c>
      <c r="B1984" s="27" t="s">
        <v>3741</v>
      </c>
      <c r="C1984" s="28" t="s">
        <v>121</v>
      </c>
      <c r="D1984" s="27" t="s">
        <v>3621</v>
      </c>
      <c r="E1984" s="27" t="s">
        <v>3704</v>
      </c>
      <c r="F1984" s="29" t="s">
        <v>3705</v>
      </c>
      <c r="G1984" s="30" t="n">
        <v>92200</v>
      </c>
      <c r="H1984" s="31" t="s">
        <v>3626</v>
      </c>
      <c r="I1984" s="32" t="n">
        <v>140886154</v>
      </c>
      <c r="J1984" s="33" t="n">
        <v>124</v>
      </c>
      <c r="K1984" s="33" t="n">
        <v>3</v>
      </c>
      <c r="L1984" s="34"/>
      <c r="M1984" s="35"/>
      <c r="N1984" s="36"/>
      <c r="O1984" s="37"/>
      <c r="P1984" s="37"/>
      <c r="Q1984" s="37"/>
      <c r="R1984" s="37"/>
      <c r="S1984" s="37"/>
      <c r="T1984" s="37"/>
      <c r="U1984" s="37"/>
      <c r="V1984" s="37"/>
      <c r="W1984" s="37"/>
      <c r="X1984" s="37"/>
      <c r="Y1984" s="39"/>
      <c r="Z1984" s="39"/>
      <c r="AA1984" s="28"/>
      <c r="AMJ1984" s="0"/>
    </row>
    <row r="1985" s="2" customFormat="true" ht="12.75" hidden="false" customHeight="true" outlineLevel="0" collapsed="false">
      <c r="A1985" s="27" t="s">
        <v>3742</v>
      </c>
      <c r="B1985" s="27" t="s">
        <v>3743</v>
      </c>
      <c r="C1985" s="28" t="s">
        <v>121</v>
      </c>
      <c r="D1985" s="27" t="s">
        <v>3621</v>
      </c>
      <c r="E1985" s="27" t="s">
        <v>3704</v>
      </c>
      <c r="F1985" s="29" t="s">
        <v>3705</v>
      </c>
      <c r="G1985" s="30" t="n">
        <v>92200</v>
      </c>
      <c r="H1985" s="31" t="s">
        <v>3626</v>
      </c>
      <c r="I1985" s="32" t="n">
        <v>140886154</v>
      </c>
      <c r="J1985" s="33" t="n">
        <v>106</v>
      </c>
      <c r="K1985" s="33" t="n">
        <v>0</v>
      </c>
      <c r="L1985" s="34" t="n">
        <v>1</v>
      </c>
      <c r="M1985" s="35" t="s">
        <v>164</v>
      </c>
      <c r="N1985" s="36"/>
      <c r="O1985" s="41"/>
      <c r="P1985" s="41"/>
      <c r="Q1985" s="41"/>
      <c r="R1985" s="41"/>
      <c r="S1985" s="41"/>
      <c r="T1985" s="41"/>
      <c r="U1985" s="41"/>
      <c r="V1985" s="41"/>
      <c r="W1985" s="41"/>
      <c r="X1985" s="41"/>
      <c r="Y1985" s="39"/>
      <c r="Z1985" s="39"/>
      <c r="AA1985" s="28"/>
      <c r="AMJ1985" s="0"/>
    </row>
    <row r="1986" s="2" customFormat="true" ht="12.75" hidden="false" customHeight="true" outlineLevel="0" collapsed="false">
      <c r="A1986" s="27" t="s">
        <v>3744</v>
      </c>
      <c r="B1986" s="27" t="s">
        <v>210</v>
      </c>
      <c r="C1986" s="28" t="s">
        <v>121</v>
      </c>
      <c r="D1986" s="27" t="s">
        <v>3621</v>
      </c>
      <c r="E1986" s="27" t="s">
        <v>3704</v>
      </c>
      <c r="F1986" s="29" t="s">
        <v>3705</v>
      </c>
      <c r="G1986" s="30" t="n">
        <v>92200</v>
      </c>
      <c r="H1986" s="31" t="s">
        <v>3626</v>
      </c>
      <c r="I1986" s="32" t="n">
        <v>140886154</v>
      </c>
      <c r="J1986" s="33" t="n">
        <v>106</v>
      </c>
      <c r="K1986" s="33" t="n">
        <v>2</v>
      </c>
      <c r="L1986" s="34"/>
      <c r="M1986" s="35"/>
      <c r="N1986" s="36"/>
      <c r="O1986" s="37"/>
      <c r="P1986" s="37"/>
      <c r="Q1986" s="37"/>
      <c r="R1986" s="37"/>
      <c r="S1986" s="37"/>
      <c r="T1986" s="37"/>
      <c r="U1986" s="37"/>
      <c r="V1986" s="37"/>
      <c r="W1986" s="37"/>
      <c r="X1986" s="37"/>
      <c r="Y1986" s="39"/>
      <c r="Z1986" s="39"/>
      <c r="AA1986" s="28"/>
      <c r="AMJ1986" s="0"/>
    </row>
    <row r="1987" s="2" customFormat="true" ht="12.75" hidden="false" customHeight="true" outlineLevel="0" collapsed="false">
      <c r="A1987" s="27" t="s">
        <v>3745</v>
      </c>
      <c r="B1987" s="27" t="s">
        <v>1956</v>
      </c>
      <c r="C1987" s="28" t="s">
        <v>121</v>
      </c>
      <c r="D1987" s="27" t="s">
        <v>3621</v>
      </c>
      <c r="E1987" s="27" t="s">
        <v>3704</v>
      </c>
      <c r="F1987" s="29" t="s">
        <v>3705</v>
      </c>
      <c r="G1987" s="30" t="n">
        <v>92200</v>
      </c>
      <c r="H1987" s="31" t="s">
        <v>3626</v>
      </c>
      <c r="I1987" s="32" t="n">
        <v>140886154</v>
      </c>
      <c r="J1987" s="33" t="n">
        <v>106</v>
      </c>
      <c r="K1987" s="33" t="n">
        <v>2</v>
      </c>
      <c r="L1987" s="34"/>
      <c r="M1987" s="35"/>
      <c r="N1987" s="36"/>
      <c r="O1987" s="37"/>
      <c r="P1987" s="37"/>
      <c r="Q1987" s="37"/>
      <c r="R1987" s="37"/>
      <c r="S1987" s="37"/>
      <c r="T1987" s="37"/>
      <c r="U1987" s="37"/>
      <c r="V1987" s="37"/>
      <c r="W1987" s="37"/>
      <c r="X1987" s="37"/>
      <c r="Y1987" s="39"/>
      <c r="Z1987" s="39"/>
      <c r="AA1987" s="28"/>
      <c r="AMJ1987" s="0"/>
    </row>
    <row r="1988" s="2" customFormat="true" ht="12.75" hidden="false" customHeight="true" outlineLevel="0" collapsed="false">
      <c r="A1988" s="27" t="s">
        <v>3746</v>
      </c>
      <c r="B1988" s="27" t="s">
        <v>234</v>
      </c>
      <c r="C1988" s="28" t="s">
        <v>121</v>
      </c>
      <c r="D1988" s="27" t="s">
        <v>3621</v>
      </c>
      <c r="E1988" s="27" t="s">
        <v>3704</v>
      </c>
      <c r="F1988" s="29" t="s">
        <v>3705</v>
      </c>
      <c r="G1988" s="30" t="n">
        <v>92200</v>
      </c>
      <c r="H1988" s="31" t="s">
        <v>3626</v>
      </c>
      <c r="I1988" s="32" t="n">
        <v>140886154</v>
      </c>
      <c r="J1988" s="33" t="n">
        <v>106</v>
      </c>
      <c r="K1988" s="33" t="n">
        <v>2</v>
      </c>
      <c r="L1988" s="34"/>
      <c r="M1988" s="35"/>
      <c r="N1988" s="36"/>
      <c r="O1988" s="37"/>
      <c r="P1988" s="37"/>
      <c r="Q1988" s="37"/>
      <c r="R1988" s="37"/>
      <c r="S1988" s="37"/>
      <c r="T1988" s="37"/>
      <c r="U1988" s="37"/>
      <c r="V1988" s="37"/>
      <c r="W1988" s="37"/>
      <c r="X1988" s="37"/>
      <c r="Y1988" s="39"/>
      <c r="Z1988" s="39"/>
      <c r="AA1988" s="28"/>
      <c r="AMJ1988" s="0"/>
    </row>
    <row r="1989" s="2" customFormat="true" ht="12.75" hidden="false" customHeight="true" outlineLevel="0" collapsed="false">
      <c r="A1989" s="27" t="s">
        <v>3747</v>
      </c>
      <c r="B1989" s="27" t="s">
        <v>1469</v>
      </c>
      <c r="C1989" s="28" t="s">
        <v>121</v>
      </c>
      <c r="D1989" s="27" t="s">
        <v>3621</v>
      </c>
      <c r="E1989" s="27" t="s">
        <v>3704</v>
      </c>
      <c r="F1989" s="29" t="s">
        <v>3705</v>
      </c>
      <c r="G1989" s="30" t="n">
        <v>92200</v>
      </c>
      <c r="H1989" s="31" t="s">
        <v>3626</v>
      </c>
      <c r="I1989" s="32" t="n">
        <v>140886154</v>
      </c>
      <c r="J1989" s="33" t="n">
        <v>106</v>
      </c>
      <c r="K1989" s="33" t="n">
        <v>1</v>
      </c>
      <c r="L1989" s="34" t="n">
        <v>1</v>
      </c>
      <c r="M1989" s="35" t="s">
        <v>164</v>
      </c>
      <c r="N1989" s="36"/>
      <c r="O1989" s="41"/>
      <c r="P1989" s="41"/>
      <c r="Q1989" s="41"/>
      <c r="R1989" s="41"/>
      <c r="S1989" s="41"/>
      <c r="T1989" s="41"/>
      <c r="U1989" s="41"/>
      <c r="V1989" s="41"/>
      <c r="W1989" s="41"/>
      <c r="X1989" s="41"/>
      <c r="Y1989" s="39"/>
      <c r="Z1989" s="39"/>
      <c r="AA1989" s="28"/>
      <c r="AMJ1989" s="0"/>
    </row>
    <row r="1990" s="2" customFormat="true" ht="12.75" hidden="false" customHeight="true" outlineLevel="0" collapsed="false">
      <c r="A1990" s="27" t="s">
        <v>3748</v>
      </c>
      <c r="B1990" s="27" t="s">
        <v>237</v>
      </c>
      <c r="C1990" s="28" t="s">
        <v>121</v>
      </c>
      <c r="D1990" s="27" t="s">
        <v>3621</v>
      </c>
      <c r="E1990" s="27" t="s">
        <v>3704</v>
      </c>
      <c r="F1990" s="29" t="s">
        <v>3705</v>
      </c>
      <c r="G1990" s="30" t="n">
        <v>92200</v>
      </c>
      <c r="H1990" s="31" t="s">
        <v>3626</v>
      </c>
      <c r="I1990" s="32" t="n">
        <v>140886154</v>
      </c>
      <c r="J1990" s="33" t="n">
        <v>106</v>
      </c>
      <c r="K1990" s="33" t="n">
        <v>5</v>
      </c>
      <c r="L1990" s="34"/>
      <c r="M1990" s="35"/>
      <c r="N1990" s="36"/>
      <c r="O1990" s="37"/>
      <c r="P1990" s="37"/>
      <c r="Q1990" s="78"/>
      <c r="R1990" s="78"/>
      <c r="S1990" s="37"/>
      <c r="T1990" s="37"/>
      <c r="U1990" s="37"/>
      <c r="V1990" s="37"/>
      <c r="W1990" s="37"/>
      <c r="X1990" s="37"/>
      <c r="Y1990" s="39"/>
      <c r="Z1990" s="39"/>
      <c r="AA1990" s="28"/>
      <c r="AMJ1990" s="0"/>
    </row>
    <row r="1991" s="2" customFormat="true" ht="12.75" hidden="false" customHeight="true" outlineLevel="0" collapsed="false">
      <c r="A1991" s="27" t="s">
        <v>3749</v>
      </c>
      <c r="B1991" s="27" t="s">
        <v>3750</v>
      </c>
      <c r="C1991" s="28" t="s">
        <v>121</v>
      </c>
      <c r="D1991" s="27" t="s">
        <v>3621</v>
      </c>
      <c r="E1991" s="27" t="s">
        <v>3704</v>
      </c>
      <c r="F1991" s="29" t="s">
        <v>3705</v>
      </c>
      <c r="G1991" s="30" t="n">
        <v>92200</v>
      </c>
      <c r="H1991" s="31" t="s">
        <v>3626</v>
      </c>
      <c r="I1991" s="32" t="n">
        <v>140886154</v>
      </c>
      <c r="J1991" s="33" t="n">
        <v>103</v>
      </c>
      <c r="K1991" s="33" t="n">
        <v>2</v>
      </c>
      <c r="L1991" s="34" t="n">
        <v>2</v>
      </c>
      <c r="M1991" s="35" t="s">
        <v>164</v>
      </c>
      <c r="N1991" s="36"/>
      <c r="O1991" s="41"/>
      <c r="P1991" s="41"/>
      <c r="Q1991" s="41"/>
      <c r="R1991" s="41"/>
      <c r="S1991" s="41"/>
      <c r="T1991" s="41"/>
      <c r="U1991" s="41"/>
      <c r="V1991" s="41"/>
      <c r="W1991" s="41"/>
      <c r="X1991" s="41"/>
      <c r="Y1991" s="39"/>
      <c r="Z1991" s="39"/>
      <c r="AA1991" s="28" t="n">
        <v>3</v>
      </c>
      <c r="AMJ1991" s="0"/>
    </row>
    <row r="1992" s="2" customFormat="true" ht="12.75" hidden="false" customHeight="true" outlineLevel="0" collapsed="false">
      <c r="A1992" s="27" t="s">
        <v>3751</v>
      </c>
      <c r="B1992" s="27" t="s">
        <v>374</v>
      </c>
      <c r="C1992" s="28" t="s">
        <v>121</v>
      </c>
      <c r="D1992" s="27" t="s">
        <v>3621</v>
      </c>
      <c r="E1992" s="27" t="s">
        <v>3704</v>
      </c>
      <c r="F1992" s="29" t="s">
        <v>3705</v>
      </c>
      <c r="G1992" s="30" t="n">
        <v>92200</v>
      </c>
      <c r="H1992" s="31" t="s">
        <v>3626</v>
      </c>
      <c r="I1992" s="32" t="n">
        <v>140886154</v>
      </c>
      <c r="J1992" s="33" t="n">
        <v>100</v>
      </c>
      <c r="K1992" s="33" t="n">
        <v>3</v>
      </c>
      <c r="L1992" s="34"/>
      <c r="M1992" s="35"/>
      <c r="N1992" s="36"/>
      <c r="O1992" s="78"/>
      <c r="P1992" s="78"/>
      <c r="Q1992" s="78"/>
      <c r="R1992" s="78"/>
      <c r="S1992" s="37"/>
      <c r="T1992" s="37"/>
      <c r="U1992" s="37"/>
      <c r="V1992" s="37"/>
      <c r="W1992" s="37"/>
      <c r="X1992" s="37"/>
      <c r="Y1992" s="39"/>
      <c r="Z1992" s="39"/>
      <c r="AA1992" s="28"/>
      <c r="AMJ1992" s="0"/>
    </row>
    <row r="1993" s="2" customFormat="true" ht="12.75" hidden="false" customHeight="true" outlineLevel="0" collapsed="false">
      <c r="A1993" s="27" t="s">
        <v>3752</v>
      </c>
      <c r="B1993" s="27" t="s">
        <v>332</v>
      </c>
      <c r="C1993" s="28" t="s">
        <v>121</v>
      </c>
      <c r="D1993" s="27" t="s">
        <v>3621</v>
      </c>
      <c r="E1993" s="27" t="s">
        <v>3704</v>
      </c>
      <c r="F1993" s="29" t="s">
        <v>3705</v>
      </c>
      <c r="G1993" s="30" t="n">
        <v>92200</v>
      </c>
      <c r="H1993" s="31" t="s">
        <v>3626</v>
      </c>
      <c r="I1993" s="32" t="n">
        <v>140886154</v>
      </c>
      <c r="J1993" s="33" t="n">
        <v>100</v>
      </c>
      <c r="K1993" s="33" t="n">
        <v>1</v>
      </c>
      <c r="L1993" s="34"/>
      <c r="M1993" s="35"/>
      <c r="N1993" s="36"/>
      <c r="O1993" s="37"/>
      <c r="P1993" s="37"/>
      <c r="Q1993" s="37"/>
      <c r="R1993" s="37"/>
      <c r="S1993" s="37"/>
      <c r="T1993" s="37"/>
      <c r="U1993" s="37"/>
      <c r="V1993" s="37"/>
      <c r="W1993" s="37"/>
      <c r="X1993" s="37"/>
      <c r="Y1993" s="39"/>
      <c r="Z1993" s="39"/>
      <c r="AA1993" s="28"/>
      <c r="AMJ1993" s="0"/>
    </row>
    <row r="1994" s="2" customFormat="true" ht="12.75" hidden="false" customHeight="true" outlineLevel="0" collapsed="false">
      <c r="A1994" s="27" t="s">
        <v>3753</v>
      </c>
      <c r="B1994" s="27" t="s">
        <v>250</v>
      </c>
      <c r="C1994" s="28" t="s">
        <v>121</v>
      </c>
      <c r="D1994" s="27" t="s">
        <v>3621</v>
      </c>
      <c r="E1994" s="27" t="s">
        <v>3704</v>
      </c>
      <c r="F1994" s="29" t="s">
        <v>3705</v>
      </c>
      <c r="G1994" s="30" t="n">
        <v>92200</v>
      </c>
      <c r="H1994" s="31" t="s">
        <v>3626</v>
      </c>
      <c r="I1994" s="32" t="n">
        <v>140886154</v>
      </c>
      <c r="J1994" s="33" t="n">
        <v>94</v>
      </c>
      <c r="K1994" s="33" t="n">
        <v>5</v>
      </c>
      <c r="L1994" s="34" t="n">
        <v>1</v>
      </c>
      <c r="M1994" s="35" t="s">
        <v>164</v>
      </c>
      <c r="N1994" s="36"/>
      <c r="O1994" s="41"/>
      <c r="P1994" s="41"/>
      <c r="Q1994" s="41"/>
      <c r="R1994" s="41"/>
      <c r="S1994" s="41"/>
      <c r="T1994" s="41"/>
      <c r="U1994" s="41"/>
      <c r="V1994" s="41"/>
      <c r="W1994" s="41"/>
      <c r="X1994" s="41"/>
      <c r="Y1994" s="39"/>
      <c r="Z1994" s="39"/>
      <c r="AA1994" s="28" t="n">
        <v>3</v>
      </c>
      <c r="AMJ1994" s="0"/>
    </row>
    <row r="1995" s="2" customFormat="true" ht="12.75" hidden="false" customHeight="true" outlineLevel="0" collapsed="false">
      <c r="A1995" s="27" t="s">
        <v>3754</v>
      </c>
      <c r="B1995" s="27" t="s">
        <v>3755</v>
      </c>
      <c r="C1995" s="28" t="s">
        <v>121</v>
      </c>
      <c r="D1995" s="27" t="s">
        <v>3621</v>
      </c>
      <c r="E1995" s="27" t="s">
        <v>3704</v>
      </c>
      <c r="F1995" s="29" t="s">
        <v>3705</v>
      </c>
      <c r="G1995" s="30" t="n">
        <v>92200</v>
      </c>
      <c r="H1995" s="31" t="s">
        <v>3626</v>
      </c>
      <c r="I1995" s="32" t="n">
        <v>140886154</v>
      </c>
      <c r="J1995" s="33" t="n">
        <v>91</v>
      </c>
      <c r="K1995" s="33" t="n">
        <v>1</v>
      </c>
      <c r="L1995" s="34"/>
      <c r="M1995" s="35"/>
      <c r="N1995" s="36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9"/>
      <c r="Z1995" s="39"/>
      <c r="AA1995" s="28"/>
      <c r="AMJ1995" s="0"/>
    </row>
    <row r="1996" s="2" customFormat="true" ht="12.75" hidden="false" customHeight="true" outlineLevel="0" collapsed="false">
      <c r="A1996" s="27" t="s">
        <v>3756</v>
      </c>
      <c r="B1996" s="27" t="s">
        <v>2818</v>
      </c>
      <c r="C1996" s="28" t="s">
        <v>121</v>
      </c>
      <c r="D1996" s="27" t="s">
        <v>3621</v>
      </c>
      <c r="E1996" s="27" t="s">
        <v>3704</v>
      </c>
      <c r="F1996" s="29" t="s">
        <v>3705</v>
      </c>
      <c r="G1996" s="30" t="n">
        <v>92200</v>
      </c>
      <c r="H1996" s="31" t="s">
        <v>3626</v>
      </c>
      <c r="I1996" s="32" t="n">
        <v>146392234</v>
      </c>
      <c r="J1996" s="33" t="n">
        <v>85</v>
      </c>
      <c r="K1996" s="33" t="n">
        <v>3</v>
      </c>
      <c r="L1996" s="34" t="n">
        <v>1</v>
      </c>
      <c r="M1996" s="35" t="s">
        <v>164</v>
      </c>
      <c r="N1996" s="36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39"/>
      <c r="Z1996" s="39"/>
      <c r="AA1996" s="28" t="n">
        <v>3</v>
      </c>
      <c r="AMJ1996" s="0"/>
    </row>
    <row r="1997" s="2" customFormat="true" ht="12.75" hidden="false" customHeight="true" outlineLevel="0" collapsed="false">
      <c r="A1997" s="27" t="s">
        <v>3757</v>
      </c>
      <c r="B1997" s="27" t="s">
        <v>2789</v>
      </c>
      <c r="C1997" s="28" t="s">
        <v>121</v>
      </c>
      <c r="D1997" s="27" t="s">
        <v>3621</v>
      </c>
      <c r="E1997" s="27" t="s">
        <v>3704</v>
      </c>
      <c r="F1997" s="29" t="s">
        <v>3705</v>
      </c>
      <c r="G1997" s="30" t="n">
        <v>92200</v>
      </c>
      <c r="H1997" s="31" t="s">
        <v>3626</v>
      </c>
      <c r="I1997" s="32" t="n">
        <v>140886154</v>
      </c>
      <c r="J1997" s="33" t="n">
        <v>82</v>
      </c>
      <c r="K1997" s="33"/>
      <c r="L1997" s="34"/>
      <c r="M1997" s="35"/>
      <c r="N1997" s="36"/>
      <c r="O1997" s="37"/>
      <c r="P1997" s="37"/>
      <c r="Q1997" s="78"/>
      <c r="R1997" s="78"/>
      <c r="S1997" s="37"/>
      <c r="T1997" s="37"/>
      <c r="U1997" s="37"/>
      <c r="V1997" s="37"/>
      <c r="W1997" s="37"/>
      <c r="X1997" s="37"/>
      <c r="Y1997" s="39"/>
      <c r="Z1997" s="39"/>
      <c r="AA1997" s="28"/>
      <c r="AMJ1997" s="0"/>
    </row>
    <row r="1998" s="2" customFormat="true" ht="12.75" hidden="false" customHeight="true" outlineLevel="0" collapsed="false">
      <c r="A1998" s="27" t="s">
        <v>2940</v>
      </c>
      <c r="B1998" s="27" t="s">
        <v>3247</v>
      </c>
      <c r="C1998" s="28" t="s">
        <v>121</v>
      </c>
      <c r="D1998" s="27" t="s">
        <v>3621</v>
      </c>
      <c r="E1998" s="27" t="s">
        <v>3704</v>
      </c>
      <c r="F1998" s="29" t="s">
        <v>3705</v>
      </c>
      <c r="G1998" s="30" t="n">
        <v>92200</v>
      </c>
      <c r="H1998" s="31" t="s">
        <v>3626</v>
      </c>
      <c r="I1998" s="32" t="n">
        <v>140886154</v>
      </c>
      <c r="J1998" s="33" t="n">
        <v>75</v>
      </c>
      <c r="K1998" s="33" t="n">
        <v>1</v>
      </c>
      <c r="L1998" s="34"/>
      <c r="M1998" s="35"/>
      <c r="N1998" s="36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9"/>
      <c r="Z1998" s="39"/>
      <c r="AA1998" s="28"/>
      <c r="AMJ1998" s="0"/>
    </row>
    <row r="1999" s="2" customFormat="true" ht="12.75" hidden="false" customHeight="true" outlineLevel="0" collapsed="false">
      <c r="A1999" s="27" t="s">
        <v>3758</v>
      </c>
      <c r="B1999" s="27" t="s">
        <v>3759</v>
      </c>
      <c r="C1999" s="28" t="s">
        <v>121</v>
      </c>
      <c r="D1999" s="27" t="s">
        <v>3621</v>
      </c>
      <c r="E1999" s="27" t="s">
        <v>3704</v>
      </c>
      <c r="F1999" s="29" t="s">
        <v>3705</v>
      </c>
      <c r="G1999" s="30" t="n">
        <v>92200</v>
      </c>
      <c r="H1999" s="31" t="s">
        <v>3626</v>
      </c>
      <c r="I1999" s="32" t="n">
        <v>140886154</v>
      </c>
      <c r="J1999" s="33" t="n">
        <v>57</v>
      </c>
      <c r="K1999" s="33" t="n">
        <v>1</v>
      </c>
      <c r="L1999" s="34"/>
      <c r="M1999" s="35"/>
      <c r="N1999" s="36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9"/>
      <c r="Z1999" s="39"/>
      <c r="AA1999" s="28"/>
      <c r="AMJ1999" s="0"/>
    </row>
    <row r="2000" s="2" customFormat="true" ht="12.75" hidden="false" customHeight="true" outlineLevel="0" collapsed="false">
      <c r="A2000" s="27" t="s">
        <v>3760</v>
      </c>
      <c r="B2000" s="27" t="s">
        <v>3761</v>
      </c>
      <c r="C2000" s="28" t="s">
        <v>121</v>
      </c>
      <c r="D2000" s="27" t="s">
        <v>3621</v>
      </c>
      <c r="E2000" s="27" t="s">
        <v>3704</v>
      </c>
      <c r="F2000" s="29" t="s">
        <v>3705</v>
      </c>
      <c r="G2000" s="30" t="n">
        <v>92200</v>
      </c>
      <c r="H2000" s="31" t="s">
        <v>3626</v>
      </c>
      <c r="I2000" s="32" t="n">
        <v>140886154</v>
      </c>
      <c r="J2000" s="33" t="n">
        <v>46</v>
      </c>
      <c r="K2000" s="33" t="n">
        <v>1</v>
      </c>
      <c r="L2000" s="34"/>
      <c r="M2000" s="35"/>
      <c r="N2000" s="36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9"/>
      <c r="Z2000" s="39"/>
      <c r="AA2000" s="28"/>
      <c r="AMJ2000" s="0"/>
    </row>
    <row r="2001" s="2" customFormat="true" ht="12.75" hidden="false" customHeight="true" outlineLevel="0" collapsed="false">
      <c r="A2001" s="27" t="s">
        <v>3762</v>
      </c>
      <c r="B2001" s="27" t="s">
        <v>3763</v>
      </c>
      <c r="C2001" s="28" t="s">
        <v>121</v>
      </c>
      <c r="D2001" s="27" t="s">
        <v>3621</v>
      </c>
      <c r="E2001" s="27" t="s">
        <v>3704</v>
      </c>
      <c r="F2001" s="29" t="s">
        <v>3705</v>
      </c>
      <c r="G2001" s="30" t="n">
        <v>92200</v>
      </c>
      <c r="H2001" s="31" t="s">
        <v>3626</v>
      </c>
      <c r="I2001" s="32" t="n">
        <v>140886154</v>
      </c>
      <c r="J2001" s="33" t="n">
        <v>32</v>
      </c>
      <c r="K2001" s="33" t="n">
        <v>2</v>
      </c>
      <c r="L2001" s="34"/>
      <c r="M2001" s="35"/>
      <c r="N2001" s="36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9"/>
      <c r="Z2001" s="39"/>
      <c r="AA2001" s="28"/>
      <c r="AMJ2001" s="0"/>
    </row>
    <row r="2002" s="2" customFormat="true" ht="12.75" hidden="false" customHeight="true" outlineLevel="0" collapsed="false">
      <c r="A2002" s="27" t="s">
        <v>3764</v>
      </c>
      <c r="B2002" s="27" t="s">
        <v>3765</v>
      </c>
      <c r="C2002" s="28" t="s">
        <v>121</v>
      </c>
      <c r="D2002" s="27" t="s">
        <v>3621</v>
      </c>
      <c r="E2002" s="27" t="s">
        <v>3704</v>
      </c>
      <c r="F2002" s="29" t="s">
        <v>3705</v>
      </c>
      <c r="G2002" s="30" t="n">
        <v>92200</v>
      </c>
      <c r="H2002" s="31" t="s">
        <v>3626</v>
      </c>
      <c r="I2002" s="32" t="n">
        <v>140886154</v>
      </c>
      <c r="J2002" s="33" t="n">
        <v>0</v>
      </c>
      <c r="K2002" s="33" t="n">
        <v>1</v>
      </c>
      <c r="L2002" s="34"/>
      <c r="M2002" s="35"/>
      <c r="N2002" s="36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9"/>
      <c r="Z2002" s="39"/>
      <c r="AA2002" s="28"/>
      <c r="AMJ2002" s="0"/>
    </row>
    <row r="2003" s="2" customFormat="true" ht="12.75" hidden="false" customHeight="true" outlineLevel="0" collapsed="false">
      <c r="A2003" s="27" t="s">
        <v>3766</v>
      </c>
      <c r="B2003" s="27" t="s">
        <v>1067</v>
      </c>
      <c r="C2003" s="28" t="s">
        <v>33</v>
      </c>
      <c r="D2003" s="27" t="s">
        <v>3621</v>
      </c>
      <c r="E2003" s="27" t="s">
        <v>3704</v>
      </c>
      <c r="F2003" s="29" t="s">
        <v>3705</v>
      </c>
      <c r="G2003" s="30" t="n">
        <v>92200</v>
      </c>
      <c r="H2003" s="31" t="s">
        <v>3626</v>
      </c>
      <c r="I2003" s="32" t="n">
        <v>140886154</v>
      </c>
      <c r="J2003" s="33" t="n">
        <v>44</v>
      </c>
      <c r="K2003" s="33" t="n">
        <v>1</v>
      </c>
      <c r="L2003" s="34"/>
      <c r="M2003" s="35"/>
      <c r="N2003" s="36"/>
      <c r="O2003" s="37"/>
      <c r="P2003" s="37"/>
      <c r="Q2003" s="78"/>
      <c r="R2003" s="78"/>
      <c r="S2003" s="37"/>
      <c r="T2003" s="37"/>
      <c r="U2003" s="37"/>
      <c r="V2003" s="37"/>
      <c r="W2003" s="37"/>
      <c r="X2003" s="37"/>
      <c r="Y2003" s="39"/>
      <c r="Z2003" s="39"/>
      <c r="AA2003" s="28"/>
      <c r="AC2003" s="2" t="s">
        <v>38</v>
      </c>
      <c r="AMJ2003" s="0"/>
    </row>
    <row r="2004" s="2" customFormat="true" ht="12.75" hidden="false" customHeight="true" outlineLevel="0" collapsed="false">
      <c r="A2004" s="27" t="s">
        <v>3767</v>
      </c>
      <c r="B2004" s="27" t="s">
        <v>1845</v>
      </c>
      <c r="C2004" s="28" t="s">
        <v>100</v>
      </c>
      <c r="D2004" s="27" t="s">
        <v>3621</v>
      </c>
      <c r="E2004" s="27" t="s">
        <v>3704</v>
      </c>
      <c r="F2004" s="29" t="s">
        <v>3705</v>
      </c>
      <c r="G2004" s="30" t="n">
        <v>92200</v>
      </c>
      <c r="H2004" s="31" t="s">
        <v>3626</v>
      </c>
      <c r="I2004" s="32" t="n">
        <v>140886164</v>
      </c>
      <c r="J2004" s="33" t="n">
        <v>0</v>
      </c>
      <c r="K2004" s="33"/>
      <c r="L2004" s="34" t="n">
        <v>1</v>
      </c>
      <c r="M2004" s="35" t="s">
        <v>164</v>
      </c>
      <c r="N2004" s="36"/>
      <c r="O2004" s="41"/>
      <c r="P2004" s="41"/>
      <c r="Q2004" s="41"/>
      <c r="R2004" s="41"/>
      <c r="S2004" s="41"/>
      <c r="T2004" s="41"/>
      <c r="U2004" s="41"/>
      <c r="V2004" s="41"/>
      <c r="W2004" s="41"/>
      <c r="X2004" s="41"/>
      <c r="Y2004" s="39"/>
      <c r="Z2004" s="39"/>
      <c r="AA2004" s="28"/>
      <c r="AMJ2004" s="0"/>
    </row>
    <row r="2005" s="2" customFormat="true" ht="12.75" hidden="false" customHeight="true" outlineLevel="0" collapsed="false">
      <c r="A2005" s="27" t="s">
        <v>3768</v>
      </c>
      <c r="B2005" s="27" t="s">
        <v>3769</v>
      </c>
      <c r="C2005" s="28" t="s">
        <v>100</v>
      </c>
      <c r="D2005" s="27" t="s">
        <v>3621</v>
      </c>
      <c r="E2005" s="27" t="s">
        <v>3704</v>
      </c>
      <c r="F2005" s="29" t="s">
        <v>3705</v>
      </c>
      <c r="G2005" s="30" t="n">
        <v>92200</v>
      </c>
      <c r="H2005" s="31" t="s">
        <v>3626</v>
      </c>
      <c r="I2005" s="32" t="n">
        <v>140886164</v>
      </c>
      <c r="J2005" s="33" t="n">
        <v>0</v>
      </c>
      <c r="K2005" s="33"/>
      <c r="L2005" s="34" t="n">
        <v>2</v>
      </c>
      <c r="M2005" s="35" t="s">
        <v>164</v>
      </c>
      <c r="N2005" s="36"/>
      <c r="O2005" s="41"/>
      <c r="P2005" s="41"/>
      <c r="Q2005" s="41"/>
      <c r="R2005" s="41"/>
      <c r="S2005" s="41"/>
      <c r="T2005" s="41"/>
      <c r="U2005" s="41"/>
      <c r="V2005" s="41"/>
      <c r="W2005" s="41"/>
      <c r="X2005" s="41"/>
      <c r="Y2005" s="39"/>
      <c r="Z2005" s="39"/>
      <c r="AA2005" s="28"/>
      <c r="AMJ2005" s="0"/>
    </row>
    <row r="2006" s="2" customFormat="true" ht="12.75" hidden="false" customHeight="true" outlineLevel="0" collapsed="false">
      <c r="A2006" s="27" t="s">
        <v>3770</v>
      </c>
      <c r="B2006" s="27" t="s">
        <v>3771</v>
      </c>
      <c r="C2006" s="28" t="s">
        <v>100</v>
      </c>
      <c r="D2006" s="27" t="s">
        <v>3621</v>
      </c>
      <c r="E2006" s="27" t="s">
        <v>3704</v>
      </c>
      <c r="F2006" s="29" t="s">
        <v>3705</v>
      </c>
      <c r="G2006" s="30" t="n">
        <v>92200</v>
      </c>
      <c r="H2006" s="31" t="s">
        <v>3626</v>
      </c>
      <c r="I2006" s="32" t="n">
        <v>140886164</v>
      </c>
      <c r="J2006" s="33" t="n">
        <v>0</v>
      </c>
      <c r="K2006" s="33"/>
      <c r="L2006" s="34" t="n">
        <v>1</v>
      </c>
      <c r="M2006" s="35" t="s">
        <v>164</v>
      </c>
      <c r="N2006" s="36"/>
      <c r="O2006" s="41"/>
      <c r="P2006" s="41"/>
      <c r="Q2006" s="41"/>
      <c r="R2006" s="41"/>
      <c r="S2006" s="41"/>
      <c r="T2006" s="41"/>
      <c r="U2006" s="41"/>
      <c r="V2006" s="41"/>
      <c r="W2006" s="41"/>
      <c r="X2006" s="41"/>
      <c r="Y2006" s="39"/>
      <c r="Z2006" s="39"/>
      <c r="AA2006" s="28"/>
      <c r="AMJ2006" s="0"/>
    </row>
    <row r="2007" s="2" customFormat="true" ht="12.75" hidden="false" customHeight="true" outlineLevel="0" collapsed="false">
      <c r="A2007" s="27" t="s">
        <v>3772</v>
      </c>
      <c r="B2007" s="27" t="s">
        <v>1211</v>
      </c>
      <c r="C2007" s="28" t="s">
        <v>100</v>
      </c>
      <c r="D2007" s="27" t="s">
        <v>3621</v>
      </c>
      <c r="E2007" s="27" t="s">
        <v>3704</v>
      </c>
      <c r="F2007" s="29" t="s">
        <v>3705</v>
      </c>
      <c r="G2007" s="30" t="n">
        <v>92200</v>
      </c>
      <c r="H2007" s="31" t="s">
        <v>3626</v>
      </c>
      <c r="I2007" s="32" t="n">
        <v>140886164</v>
      </c>
      <c r="J2007" s="33"/>
      <c r="K2007" s="33"/>
      <c r="L2007" s="34"/>
      <c r="M2007" s="35"/>
      <c r="N2007" s="36"/>
      <c r="O2007" s="78"/>
      <c r="P2007" s="37"/>
      <c r="Q2007" s="37"/>
      <c r="R2007" s="78"/>
      <c r="S2007" s="37"/>
      <c r="T2007" s="37"/>
      <c r="U2007" s="37"/>
      <c r="V2007" s="37"/>
      <c r="W2007" s="37"/>
      <c r="X2007" s="37"/>
      <c r="Y2007" s="39"/>
      <c r="Z2007" s="39"/>
      <c r="AA2007" s="28"/>
      <c r="AMJ2007" s="0"/>
    </row>
    <row r="2008" s="2" customFormat="true" ht="12.75" hidden="false" customHeight="true" outlineLevel="0" collapsed="false">
      <c r="A2008" s="27" t="s">
        <v>3773</v>
      </c>
      <c r="B2008" s="27" t="s">
        <v>633</v>
      </c>
      <c r="C2008" s="28" t="s">
        <v>41</v>
      </c>
      <c r="D2008" s="27" t="s">
        <v>3621</v>
      </c>
      <c r="E2008" s="27"/>
      <c r="F2008" s="29" t="s">
        <v>3774</v>
      </c>
      <c r="G2008" s="30" t="n">
        <v>92200</v>
      </c>
      <c r="H2008" s="31" t="s">
        <v>3626</v>
      </c>
      <c r="I2008" s="32" t="n">
        <v>147455035</v>
      </c>
      <c r="J2008" s="33" t="n">
        <v>374</v>
      </c>
      <c r="K2008" s="33" t="n">
        <v>1</v>
      </c>
      <c r="L2008" s="34"/>
      <c r="M2008" s="35"/>
      <c r="N2008" s="36"/>
      <c r="O2008" s="37"/>
      <c r="P2008" s="37"/>
      <c r="Q2008" s="37"/>
      <c r="R2008" s="78"/>
      <c r="S2008" s="37"/>
      <c r="T2008" s="37"/>
      <c r="U2008" s="37"/>
      <c r="V2008" s="37"/>
      <c r="W2008" s="37"/>
      <c r="X2008" s="37"/>
      <c r="Y2008" s="39"/>
      <c r="Z2008" s="39"/>
      <c r="AA2008" s="28"/>
      <c r="AMJ2008" s="0"/>
    </row>
    <row r="2009" s="2" customFormat="true" ht="12.75" hidden="false" customHeight="true" outlineLevel="0" collapsed="false">
      <c r="A2009" s="27" t="s">
        <v>3775</v>
      </c>
      <c r="B2009" s="27" t="s">
        <v>3247</v>
      </c>
      <c r="C2009" s="28" t="s">
        <v>33</v>
      </c>
      <c r="D2009" s="27" t="s">
        <v>3621</v>
      </c>
      <c r="E2009" s="27" t="s">
        <v>3776</v>
      </c>
      <c r="F2009" s="29" t="s">
        <v>3777</v>
      </c>
      <c r="G2009" s="30" t="n">
        <v>92200</v>
      </c>
      <c r="H2009" s="31" t="s">
        <v>3626</v>
      </c>
      <c r="I2009" s="32" t="n">
        <v>183757550</v>
      </c>
      <c r="J2009" s="33" t="n">
        <v>72</v>
      </c>
      <c r="K2009" s="33" t="n">
        <v>1</v>
      </c>
      <c r="L2009" s="34"/>
      <c r="M2009" s="35"/>
      <c r="N2009" s="36"/>
      <c r="O2009" s="37"/>
      <c r="P2009" s="37"/>
      <c r="Q2009" s="37"/>
      <c r="R2009" s="78"/>
      <c r="S2009" s="37"/>
      <c r="T2009" s="37"/>
      <c r="U2009" s="37"/>
      <c r="V2009" s="37"/>
      <c r="W2009" s="37"/>
      <c r="X2009" s="37"/>
      <c r="Y2009" s="39"/>
      <c r="Z2009" s="39"/>
      <c r="AA2009" s="28"/>
      <c r="AMJ2009" s="0"/>
    </row>
    <row r="2010" s="2" customFormat="true" ht="12.75" hidden="false" customHeight="true" outlineLevel="0" collapsed="false">
      <c r="A2010" s="27" t="s">
        <v>3775</v>
      </c>
      <c r="B2010" s="27" t="s">
        <v>3778</v>
      </c>
      <c r="C2010" s="28" t="s">
        <v>33</v>
      </c>
      <c r="D2010" s="27" t="s">
        <v>3621</v>
      </c>
      <c r="E2010" s="27" t="s">
        <v>3776</v>
      </c>
      <c r="F2010" s="29" t="s">
        <v>3777</v>
      </c>
      <c r="G2010" s="30" t="n">
        <v>92200</v>
      </c>
      <c r="H2010" s="31" t="s">
        <v>3626</v>
      </c>
      <c r="I2010" s="32" t="n">
        <v>183757550</v>
      </c>
      <c r="J2010" s="33" t="n">
        <v>71</v>
      </c>
      <c r="K2010" s="33"/>
      <c r="L2010" s="34"/>
      <c r="M2010" s="35"/>
      <c r="N2010" s="36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9"/>
      <c r="Z2010" s="39"/>
      <c r="AA2010" s="28"/>
      <c r="AC2010" s="2" t="s">
        <v>38</v>
      </c>
      <c r="AMJ2010" s="0"/>
    </row>
    <row r="2011" s="2" customFormat="true" ht="12.75" hidden="false" customHeight="true" outlineLevel="0" collapsed="false">
      <c r="A2011" s="27" t="s">
        <v>3779</v>
      </c>
      <c r="B2011" s="27" t="s">
        <v>3780</v>
      </c>
      <c r="C2011" s="28" t="s">
        <v>33</v>
      </c>
      <c r="D2011" s="27" t="s">
        <v>3621</v>
      </c>
      <c r="E2011" s="27" t="s">
        <v>3776</v>
      </c>
      <c r="F2011" s="29" t="s">
        <v>3777</v>
      </c>
      <c r="G2011" s="30" t="n">
        <v>92200</v>
      </c>
      <c r="H2011" s="31" t="s">
        <v>3626</v>
      </c>
      <c r="I2011" s="32" t="n">
        <v>183757550</v>
      </c>
      <c r="J2011" s="33" t="n">
        <v>64</v>
      </c>
      <c r="K2011" s="33" t="n">
        <v>1</v>
      </c>
      <c r="L2011" s="34"/>
      <c r="M2011" s="35"/>
      <c r="N2011" s="36"/>
      <c r="O2011" s="37"/>
      <c r="P2011" s="37"/>
      <c r="Q2011" s="37"/>
      <c r="R2011" s="78"/>
      <c r="S2011" s="37"/>
      <c r="T2011" s="37"/>
      <c r="U2011" s="37"/>
      <c r="V2011" s="37"/>
      <c r="W2011" s="37"/>
      <c r="X2011" s="37"/>
      <c r="Y2011" s="39"/>
      <c r="Z2011" s="39"/>
      <c r="AA2011" s="28"/>
      <c r="AC2011" s="2" t="s">
        <v>197</v>
      </c>
      <c r="AMJ2011" s="0"/>
    </row>
    <row r="2012" s="2" customFormat="true" ht="12.75" hidden="false" customHeight="true" outlineLevel="0" collapsed="false">
      <c r="A2012" s="27" t="s">
        <v>3781</v>
      </c>
      <c r="B2012" s="27" t="s">
        <v>1956</v>
      </c>
      <c r="C2012" s="28" t="s">
        <v>33</v>
      </c>
      <c r="D2012" s="27" t="s">
        <v>3621</v>
      </c>
      <c r="E2012" s="27" t="s">
        <v>3776</v>
      </c>
      <c r="F2012" s="29" t="s">
        <v>3777</v>
      </c>
      <c r="G2012" s="30" t="n">
        <v>92200</v>
      </c>
      <c r="H2012" s="31" t="s">
        <v>3626</v>
      </c>
      <c r="I2012" s="32" t="n">
        <v>183757550</v>
      </c>
      <c r="J2012" s="33" t="n">
        <v>43</v>
      </c>
      <c r="K2012" s="33" t="n">
        <v>1</v>
      </c>
      <c r="L2012" s="34"/>
      <c r="M2012" s="35"/>
      <c r="N2012" s="36"/>
      <c r="O2012" s="37"/>
      <c r="P2012" s="37"/>
      <c r="Q2012" s="37"/>
      <c r="R2012" s="78"/>
      <c r="S2012" s="37"/>
      <c r="T2012" s="37"/>
      <c r="U2012" s="37"/>
      <c r="V2012" s="37"/>
      <c r="W2012" s="37"/>
      <c r="X2012" s="37"/>
      <c r="Y2012" s="39"/>
      <c r="Z2012" s="39"/>
      <c r="AA2012" s="28"/>
      <c r="AC2012" s="2" t="s">
        <v>38</v>
      </c>
      <c r="AMJ2012" s="0"/>
    </row>
    <row r="2013" s="2" customFormat="true" ht="12.75" hidden="false" customHeight="true" outlineLevel="0" collapsed="false">
      <c r="A2013" s="27" t="s">
        <v>3782</v>
      </c>
      <c r="B2013" s="27" t="s">
        <v>3783</v>
      </c>
      <c r="C2013" s="28" t="s">
        <v>33</v>
      </c>
      <c r="D2013" s="27" t="s">
        <v>3621</v>
      </c>
      <c r="E2013" s="27" t="s">
        <v>3776</v>
      </c>
      <c r="F2013" s="29" t="s">
        <v>3777</v>
      </c>
      <c r="G2013" s="30" t="n">
        <v>92200</v>
      </c>
      <c r="H2013" s="31" t="s">
        <v>3626</v>
      </c>
      <c r="I2013" s="32" t="n">
        <v>130863887</v>
      </c>
      <c r="J2013" s="33" t="n">
        <v>34</v>
      </c>
      <c r="K2013" s="33" t="n">
        <v>3</v>
      </c>
      <c r="L2013" s="34"/>
      <c r="M2013" s="35"/>
      <c r="N2013" s="36"/>
      <c r="O2013" s="37"/>
      <c r="P2013" s="37"/>
      <c r="Q2013" s="37"/>
      <c r="R2013" s="78"/>
      <c r="S2013" s="37"/>
      <c r="T2013" s="37"/>
      <c r="U2013" s="37"/>
      <c r="V2013" s="37"/>
      <c r="W2013" s="37"/>
      <c r="X2013" s="37"/>
      <c r="Y2013" s="39"/>
      <c r="Z2013" s="39"/>
      <c r="AA2013" s="28"/>
      <c r="AC2013" s="2" t="s">
        <v>38</v>
      </c>
      <c r="AMJ2013" s="0"/>
    </row>
    <row r="2014" s="2" customFormat="true" ht="12.75" hidden="false" customHeight="true" outlineLevel="0" collapsed="false">
      <c r="A2014" s="27" t="s">
        <v>3784</v>
      </c>
      <c r="B2014" s="27" t="s">
        <v>598</v>
      </c>
      <c r="C2014" s="28" t="s">
        <v>121</v>
      </c>
      <c r="D2014" s="27" t="s">
        <v>3621</v>
      </c>
      <c r="E2014" s="27"/>
      <c r="F2014" s="29" t="s">
        <v>3785</v>
      </c>
      <c r="G2014" s="30" t="n">
        <v>92200</v>
      </c>
      <c r="H2014" s="31" t="s">
        <v>3626</v>
      </c>
      <c r="I2014" s="32" t="n">
        <v>146249728</v>
      </c>
      <c r="J2014" s="33" t="n">
        <v>63</v>
      </c>
      <c r="K2014" s="33" t="n">
        <v>2</v>
      </c>
      <c r="L2014" s="34"/>
      <c r="M2014" s="35"/>
      <c r="N2014" s="36"/>
      <c r="O2014" s="37"/>
      <c r="P2014" s="37"/>
      <c r="Q2014" s="37"/>
      <c r="R2014" s="37"/>
      <c r="S2014" s="37"/>
      <c r="T2014" s="37"/>
      <c r="U2014" s="37"/>
      <c r="V2014" s="37"/>
      <c r="W2014" s="37"/>
      <c r="X2014" s="37"/>
      <c r="Y2014" s="39"/>
      <c r="Z2014" s="39"/>
      <c r="AA2014" s="28"/>
      <c r="AMJ2014" s="0"/>
    </row>
    <row r="2015" s="2" customFormat="true" ht="12.75" hidden="false" customHeight="true" outlineLevel="0" collapsed="false">
      <c r="A2015" s="27" t="s">
        <v>3786</v>
      </c>
      <c r="B2015" s="27" t="s">
        <v>931</v>
      </c>
      <c r="C2015" s="28" t="s">
        <v>121</v>
      </c>
      <c r="D2015" s="27" t="s">
        <v>3621</v>
      </c>
      <c r="E2015" s="27"/>
      <c r="F2015" s="29" t="s">
        <v>3785</v>
      </c>
      <c r="G2015" s="30" t="n">
        <v>92200</v>
      </c>
      <c r="H2015" s="31" t="s">
        <v>3626</v>
      </c>
      <c r="I2015" s="32" t="n">
        <v>146249728</v>
      </c>
      <c r="J2015" s="33" t="n">
        <v>57</v>
      </c>
      <c r="K2015" s="33" t="n">
        <v>1</v>
      </c>
      <c r="L2015" s="34"/>
      <c r="M2015" s="35"/>
      <c r="N2015" s="36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9"/>
      <c r="Z2015" s="39"/>
      <c r="AA2015" s="28"/>
      <c r="AMJ2015" s="0"/>
    </row>
    <row r="2016" s="2" customFormat="true" ht="12.75" hidden="false" customHeight="true" outlineLevel="0" collapsed="false">
      <c r="A2016" s="27" t="s">
        <v>957</v>
      </c>
      <c r="B2016" s="27" t="s">
        <v>537</v>
      </c>
      <c r="C2016" s="28" t="s">
        <v>41</v>
      </c>
      <c r="D2016" s="27" t="s">
        <v>3621</v>
      </c>
      <c r="E2016" s="27"/>
      <c r="F2016" s="29" t="s">
        <v>3787</v>
      </c>
      <c r="G2016" s="30" t="n">
        <v>92200</v>
      </c>
      <c r="H2016" s="31" t="s">
        <v>3626</v>
      </c>
      <c r="I2016" s="32" t="n">
        <v>147455023</v>
      </c>
      <c r="J2016" s="33" t="n">
        <v>362</v>
      </c>
      <c r="K2016" s="33" t="n">
        <v>1</v>
      </c>
      <c r="L2016" s="34"/>
      <c r="M2016" s="35"/>
      <c r="N2016" s="36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9"/>
      <c r="Z2016" s="39"/>
      <c r="AA2016" s="28"/>
      <c r="AMJ2016" s="0"/>
    </row>
    <row r="2017" s="2" customFormat="true" ht="12.75" hidden="false" customHeight="true" outlineLevel="0" collapsed="false">
      <c r="A2017" s="27" t="s">
        <v>3788</v>
      </c>
      <c r="B2017" s="27" t="s">
        <v>234</v>
      </c>
      <c r="C2017" s="28" t="s">
        <v>41</v>
      </c>
      <c r="D2017" s="27" t="s">
        <v>3621</v>
      </c>
      <c r="E2017" s="27"/>
      <c r="F2017" s="29" t="s">
        <v>3787</v>
      </c>
      <c r="G2017" s="30" t="n">
        <v>92200</v>
      </c>
      <c r="H2017" s="31" t="s">
        <v>3626</v>
      </c>
      <c r="I2017" s="32" t="n">
        <v>147455023</v>
      </c>
      <c r="J2017" s="33" t="n">
        <v>342</v>
      </c>
      <c r="K2017" s="33" t="n">
        <v>0</v>
      </c>
      <c r="L2017" s="34"/>
      <c r="M2017" s="35"/>
      <c r="N2017" s="36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9"/>
      <c r="Z2017" s="39"/>
      <c r="AA2017" s="28"/>
      <c r="AMJ2017" s="0"/>
    </row>
    <row r="2018" s="2" customFormat="true" ht="12.75" hidden="false" customHeight="true" outlineLevel="0" collapsed="false">
      <c r="A2018" s="27" t="s">
        <v>1650</v>
      </c>
      <c r="B2018" s="27" t="s">
        <v>691</v>
      </c>
      <c r="C2018" s="28" t="s">
        <v>138</v>
      </c>
      <c r="D2018" s="27" t="s">
        <v>3621</v>
      </c>
      <c r="E2018" s="27"/>
      <c r="F2018" s="29" t="s">
        <v>3789</v>
      </c>
      <c r="G2018" s="30" t="n">
        <v>92200</v>
      </c>
      <c r="H2018" s="31" t="s">
        <v>3626</v>
      </c>
      <c r="I2018" s="32"/>
      <c r="J2018" s="33" t="n">
        <v>253</v>
      </c>
      <c r="K2018" s="33" t="n">
        <v>6</v>
      </c>
      <c r="L2018" s="34"/>
      <c r="M2018" s="35"/>
      <c r="N2018" s="36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9" t="n">
        <v>45187.6770833333</v>
      </c>
      <c r="Z2018" s="39"/>
      <c r="AA2018" s="28"/>
      <c r="AMJ2018" s="0"/>
    </row>
    <row r="2019" s="2" customFormat="true" ht="12.75" hidden="false" customHeight="true" outlineLevel="0" collapsed="false">
      <c r="A2019" s="27" t="s">
        <v>3790</v>
      </c>
      <c r="B2019" s="27" t="s">
        <v>363</v>
      </c>
      <c r="C2019" s="28" t="s">
        <v>138</v>
      </c>
      <c r="D2019" s="27" t="s">
        <v>3621</v>
      </c>
      <c r="E2019" s="27"/>
      <c r="F2019" s="29" t="s">
        <v>3789</v>
      </c>
      <c r="G2019" s="30" t="n">
        <v>92200</v>
      </c>
      <c r="H2019" s="31" t="s">
        <v>3626</v>
      </c>
      <c r="I2019" s="32"/>
      <c r="J2019" s="33" t="n">
        <v>192</v>
      </c>
      <c r="K2019" s="33" t="n">
        <v>1</v>
      </c>
      <c r="L2019" s="34"/>
      <c r="M2019" s="35"/>
      <c r="N2019" s="36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9" t="n">
        <v>45187.5833333333</v>
      </c>
      <c r="Z2019" s="39"/>
      <c r="AA2019" s="28"/>
      <c r="AMJ2019" s="0"/>
    </row>
    <row r="2020" s="2" customFormat="true" ht="12.75" hidden="false" customHeight="true" outlineLevel="0" collapsed="false">
      <c r="A2020" s="27" t="s">
        <v>3791</v>
      </c>
      <c r="B2020" s="27" t="s">
        <v>763</v>
      </c>
      <c r="C2020" s="28" t="s">
        <v>138</v>
      </c>
      <c r="D2020" s="27" t="s">
        <v>3621</v>
      </c>
      <c r="E2020" s="27"/>
      <c r="F2020" s="29" t="s">
        <v>3789</v>
      </c>
      <c r="G2020" s="30" t="n">
        <v>92200</v>
      </c>
      <c r="H2020" s="31" t="s">
        <v>3626</v>
      </c>
      <c r="I2020" s="32"/>
      <c r="J2020" s="33" t="n">
        <v>147</v>
      </c>
      <c r="K2020" s="33" t="n">
        <v>3</v>
      </c>
      <c r="L2020" s="34"/>
      <c r="M2020" s="35"/>
      <c r="N2020" s="36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9"/>
      <c r="Z2020" s="39"/>
      <c r="AA2020" s="28"/>
      <c r="AMJ2020" s="0"/>
    </row>
    <row r="2021" s="2" customFormat="true" ht="12.75" hidden="false" customHeight="true" outlineLevel="0" collapsed="false">
      <c r="A2021" s="27" t="s">
        <v>3792</v>
      </c>
      <c r="B2021" s="27" t="s">
        <v>3771</v>
      </c>
      <c r="C2021" s="28" t="s">
        <v>41</v>
      </c>
      <c r="D2021" s="27" t="s">
        <v>3621</v>
      </c>
      <c r="E2021" s="27"/>
      <c r="F2021" s="29" t="s">
        <v>3789</v>
      </c>
      <c r="G2021" s="30" t="n">
        <v>92200</v>
      </c>
      <c r="H2021" s="31" t="s">
        <v>3626</v>
      </c>
      <c r="I2021" s="32"/>
      <c r="J2021" s="33" t="n">
        <v>155</v>
      </c>
      <c r="K2021" s="33" t="n">
        <v>1</v>
      </c>
      <c r="L2021" s="34"/>
      <c r="M2021" s="35"/>
      <c r="N2021" s="36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9"/>
      <c r="Z2021" s="39"/>
      <c r="AA2021" s="28"/>
      <c r="AMJ2021" s="0"/>
    </row>
    <row r="2022" s="2" customFormat="true" ht="12.75" hidden="false" customHeight="true" outlineLevel="0" collapsed="false">
      <c r="A2022" s="27" t="s">
        <v>3793</v>
      </c>
      <c r="B2022" s="27" t="s">
        <v>384</v>
      </c>
      <c r="C2022" s="28" t="s">
        <v>41</v>
      </c>
      <c r="D2022" s="27" t="s">
        <v>3621</v>
      </c>
      <c r="E2022" s="27"/>
      <c r="F2022" s="29" t="s">
        <v>3794</v>
      </c>
      <c r="G2022" s="30" t="n">
        <v>92200</v>
      </c>
      <c r="H2022" s="31" t="s">
        <v>3626</v>
      </c>
      <c r="I2022" s="32" t="n">
        <v>141920844</v>
      </c>
      <c r="J2022" s="33" t="n">
        <v>443</v>
      </c>
      <c r="K2022" s="33" t="n">
        <v>1</v>
      </c>
      <c r="L2022" s="34"/>
      <c r="M2022" s="35"/>
      <c r="N2022" s="36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9"/>
      <c r="Z2022" s="39"/>
      <c r="AA2022" s="28"/>
      <c r="AMJ2022" s="0"/>
    </row>
    <row r="2023" s="2" customFormat="true" ht="12.75" hidden="false" customHeight="true" outlineLevel="0" collapsed="false">
      <c r="A2023" s="27" t="s">
        <v>3795</v>
      </c>
      <c r="B2023" s="27" t="s">
        <v>527</v>
      </c>
      <c r="C2023" s="28" t="s">
        <v>121</v>
      </c>
      <c r="D2023" s="27" t="s">
        <v>3621</v>
      </c>
      <c r="E2023" s="27"/>
      <c r="F2023" s="29" t="s">
        <v>3796</v>
      </c>
      <c r="G2023" s="30" t="n">
        <v>92200</v>
      </c>
      <c r="H2023" s="31" t="s">
        <v>3626</v>
      </c>
      <c r="I2023" s="32" t="n">
        <v>134902023</v>
      </c>
      <c r="J2023" s="33" t="n">
        <v>211</v>
      </c>
      <c r="K2023" s="33" t="n">
        <v>2</v>
      </c>
      <c r="L2023" s="34"/>
      <c r="M2023" s="35"/>
      <c r="N2023" s="36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9"/>
      <c r="Z2023" s="39"/>
      <c r="AA2023" s="28"/>
      <c r="AMJ2023" s="0"/>
    </row>
    <row r="2024" s="2" customFormat="true" ht="12.75" hidden="false" customHeight="true" outlineLevel="0" collapsed="false">
      <c r="A2024" s="27" t="s">
        <v>3797</v>
      </c>
      <c r="B2024" s="27" t="s">
        <v>598</v>
      </c>
      <c r="C2024" s="28" t="s">
        <v>138</v>
      </c>
      <c r="D2024" s="27" t="s">
        <v>3621</v>
      </c>
      <c r="E2024" s="27" t="s">
        <v>3798</v>
      </c>
      <c r="F2024" s="29" t="s">
        <v>3799</v>
      </c>
      <c r="G2024" s="30" t="n">
        <v>92200</v>
      </c>
      <c r="H2024" s="31" t="s">
        <v>3626</v>
      </c>
      <c r="I2024" s="32" t="n">
        <v>173060200</v>
      </c>
      <c r="J2024" s="33" t="n">
        <v>301</v>
      </c>
      <c r="K2024" s="33" t="n">
        <v>2</v>
      </c>
      <c r="L2024" s="34"/>
      <c r="M2024" s="35"/>
      <c r="N2024" s="36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9"/>
      <c r="Z2024" s="39"/>
      <c r="AA2024" s="28"/>
      <c r="AMJ2024" s="0"/>
    </row>
    <row r="2025" s="2" customFormat="true" ht="12.75" hidden="false" customHeight="true" outlineLevel="0" collapsed="false">
      <c r="A2025" s="27" t="s">
        <v>3800</v>
      </c>
      <c r="B2025" s="27" t="s">
        <v>490</v>
      </c>
      <c r="C2025" s="28" t="s">
        <v>138</v>
      </c>
      <c r="D2025" s="27" t="s">
        <v>3621</v>
      </c>
      <c r="E2025" s="27" t="s">
        <v>3798</v>
      </c>
      <c r="F2025" s="29" t="s">
        <v>3799</v>
      </c>
      <c r="G2025" s="30" t="n">
        <v>92200</v>
      </c>
      <c r="H2025" s="31" t="s">
        <v>3626</v>
      </c>
      <c r="I2025" s="32" t="n">
        <v>173060200</v>
      </c>
      <c r="J2025" s="33" t="n">
        <v>101</v>
      </c>
      <c r="K2025" s="33" t="n">
        <v>1</v>
      </c>
      <c r="L2025" s="34"/>
      <c r="M2025" s="35"/>
      <c r="N2025" s="36"/>
      <c r="O2025" s="37"/>
      <c r="P2025" s="37"/>
      <c r="Q2025" s="37"/>
      <c r="R2025" s="37"/>
      <c r="S2025" s="37"/>
      <c r="T2025" s="37"/>
      <c r="U2025" s="37"/>
      <c r="V2025" s="37"/>
      <c r="W2025" s="37"/>
      <c r="X2025" s="37"/>
      <c r="Y2025" s="39"/>
      <c r="Z2025" s="39"/>
      <c r="AA2025" s="28"/>
      <c r="AMJ2025" s="0"/>
    </row>
    <row r="2026" s="2" customFormat="true" ht="12.75" hidden="false" customHeight="true" outlineLevel="0" collapsed="false">
      <c r="A2026" s="27" t="s">
        <v>3801</v>
      </c>
      <c r="B2026" s="27" t="s">
        <v>3802</v>
      </c>
      <c r="C2026" s="28" t="s">
        <v>138</v>
      </c>
      <c r="D2026" s="27" t="s">
        <v>3621</v>
      </c>
      <c r="E2026" s="27" t="s">
        <v>3798</v>
      </c>
      <c r="F2026" s="29" t="s">
        <v>3799</v>
      </c>
      <c r="G2026" s="30" t="n">
        <v>92200</v>
      </c>
      <c r="H2026" s="31" t="s">
        <v>3626</v>
      </c>
      <c r="I2026" s="32" t="n">
        <v>173060200</v>
      </c>
      <c r="J2026" s="33" t="n">
        <v>91</v>
      </c>
      <c r="K2026" s="33" t="n">
        <v>6</v>
      </c>
      <c r="L2026" s="34"/>
      <c r="M2026" s="35"/>
      <c r="N2026" s="36"/>
      <c r="O2026" s="37"/>
      <c r="P2026" s="37"/>
      <c r="Q2026" s="37"/>
      <c r="R2026" s="37"/>
      <c r="S2026" s="37"/>
      <c r="T2026" s="37"/>
      <c r="U2026" s="37"/>
      <c r="V2026" s="37"/>
      <c r="W2026" s="37"/>
      <c r="X2026" s="37"/>
      <c r="Y2026" s="39"/>
      <c r="Z2026" s="39"/>
      <c r="AA2026" s="28"/>
      <c r="AMJ2026" s="0"/>
    </row>
    <row r="2027" s="2" customFormat="true" ht="12.75" hidden="false" customHeight="true" outlineLevel="0" collapsed="false">
      <c r="A2027" s="27" t="s">
        <v>3803</v>
      </c>
      <c r="B2027" s="27" t="s">
        <v>865</v>
      </c>
      <c r="C2027" s="28" t="s">
        <v>138</v>
      </c>
      <c r="D2027" s="27" t="s">
        <v>3621</v>
      </c>
      <c r="E2027" s="27" t="s">
        <v>3798</v>
      </c>
      <c r="F2027" s="29" t="s">
        <v>3799</v>
      </c>
      <c r="G2027" s="30" t="n">
        <v>92200</v>
      </c>
      <c r="H2027" s="31" t="s">
        <v>3626</v>
      </c>
      <c r="I2027" s="32" t="n">
        <v>142450814</v>
      </c>
      <c r="J2027" s="33" t="n">
        <v>62</v>
      </c>
      <c r="K2027" s="33" t="n">
        <v>1</v>
      </c>
      <c r="L2027" s="34"/>
      <c r="M2027" s="35"/>
      <c r="N2027" s="36"/>
      <c r="O2027" s="37"/>
      <c r="P2027" s="37"/>
      <c r="Q2027" s="37"/>
      <c r="R2027" s="37"/>
      <c r="S2027" s="37"/>
      <c r="T2027" s="37"/>
      <c r="U2027" s="37"/>
      <c r="V2027" s="37"/>
      <c r="W2027" s="37"/>
      <c r="X2027" s="37"/>
      <c r="Y2027" s="39"/>
      <c r="Z2027" s="39"/>
      <c r="AA2027" s="28"/>
      <c r="AMJ2027" s="0"/>
    </row>
    <row r="2028" s="2" customFormat="true" ht="12.75" hidden="false" customHeight="true" outlineLevel="0" collapsed="false">
      <c r="A2028" s="27" t="s">
        <v>3804</v>
      </c>
      <c r="B2028" s="27" t="s">
        <v>749</v>
      </c>
      <c r="C2028" s="28" t="s">
        <v>138</v>
      </c>
      <c r="D2028" s="27" t="s">
        <v>3621</v>
      </c>
      <c r="E2028" s="27" t="s">
        <v>3798</v>
      </c>
      <c r="F2028" s="29" t="s">
        <v>3799</v>
      </c>
      <c r="G2028" s="30" t="n">
        <v>92200</v>
      </c>
      <c r="H2028" s="31" t="s">
        <v>3626</v>
      </c>
      <c r="I2028" s="32" t="n">
        <v>173060200</v>
      </c>
      <c r="J2028" s="33" t="n">
        <v>61</v>
      </c>
      <c r="K2028" s="33" t="n">
        <v>1</v>
      </c>
      <c r="L2028" s="34"/>
      <c r="M2028" s="35"/>
      <c r="N2028" s="36"/>
      <c r="O2028" s="37"/>
      <c r="P2028" s="37"/>
      <c r="Q2028" s="37"/>
      <c r="R2028" s="37"/>
      <c r="S2028" s="37"/>
      <c r="T2028" s="37"/>
      <c r="U2028" s="37"/>
      <c r="V2028" s="37"/>
      <c r="W2028" s="37"/>
      <c r="X2028" s="37"/>
      <c r="Y2028" s="39"/>
      <c r="Z2028" s="39"/>
      <c r="AA2028" s="28"/>
      <c r="AMJ2028" s="0"/>
    </row>
    <row r="2029" s="2" customFormat="true" ht="12.75" hidden="false" customHeight="true" outlineLevel="0" collapsed="false">
      <c r="A2029" s="27" t="s">
        <v>3805</v>
      </c>
      <c r="B2029" s="27" t="s">
        <v>2597</v>
      </c>
      <c r="C2029" s="28" t="s">
        <v>41</v>
      </c>
      <c r="D2029" s="27" t="s">
        <v>3621</v>
      </c>
      <c r="E2029" s="27"/>
      <c r="F2029" s="29" t="s">
        <v>3806</v>
      </c>
      <c r="G2029" s="30" t="n">
        <v>92200</v>
      </c>
      <c r="H2029" s="31" t="s">
        <v>3626</v>
      </c>
      <c r="I2029" s="32"/>
      <c r="J2029" s="33" t="n">
        <v>596</v>
      </c>
      <c r="K2029" s="33" t="n">
        <v>2</v>
      </c>
      <c r="L2029" s="34"/>
      <c r="M2029" s="35"/>
      <c r="N2029" s="36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9"/>
      <c r="Z2029" s="39"/>
      <c r="AA2029" s="28"/>
      <c r="AMJ2029" s="0"/>
    </row>
    <row r="2030" s="2" customFormat="true" ht="12.75" hidden="false" customHeight="true" outlineLevel="0" collapsed="false">
      <c r="A2030" s="27" t="s">
        <v>2468</v>
      </c>
      <c r="B2030" s="27" t="s">
        <v>55</v>
      </c>
      <c r="C2030" s="28" t="s">
        <v>41</v>
      </c>
      <c r="D2030" s="27" t="s">
        <v>3621</v>
      </c>
      <c r="E2030" s="27" t="s">
        <v>3704</v>
      </c>
      <c r="F2030" s="29" t="s">
        <v>3807</v>
      </c>
      <c r="G2030" s="30" t="n">
        <v>92200</v>
      </c>
      <c r="H2030" s="31" t="s">
        <v>3626</v>
      </c>
      <c r="I2030" s="32" t="n">
        <v>140886223</v>
      </c>
      <c r="J2030" s="33" t="n">
        <v>400</v>
      </c>
      <c r="K2030" s="33"/>
      <c r="L2030" s="34"/>
      <c r="M2030" s="35"/>
      <c r="N2030" s="36"/>
      <c r="O2030" s="37"/>
      <c r="P2030" s="37"/>
      <c r="Q2030" s="37"/>
      <c r="R2030" s="37"/>
      <c r="S2030" s="37"/>
      <c r="T2030" s="37"/>
      <c r="U2030" s="37"/>
      <c r="V2030" s="37"/>
      <c r="W2030" s="37"/>
      <c r="X2030" s="37"/>
      <c r="Y2030" s="39"/>
      <c r="Z2030" s="39"/>
      <c r="AA2030" s="28"/>
      <c r="AMJ2030" s="0"/>
    </row>
    <row r="2031" s="2" customFormat="true" ht="12.75" hidden="false" customHeight="true" outlineLevel="0" collapsed="false">
      <c r="A2031" s="27" t="s">
        <v>3808</v>
      </c>
      <c r="B2031" s="27" t="s">
        <v>3809</v>
      </c>
      <c r="C2031" s="28" t="s">
        <v>41</v>
      </c>
      <c r="D2031" s="27" t="s">
        <v>3621</v>
      </c>
      <c r="E2031" s="27" t="s">
        <v>3704</v>
      </c>
      <c r="F2031" s="29" t="s">
        <v>3807</v>
      </c>
      <c r="G2031" s="30" t="n">
        <v>92200</v>
      </c>
      <c r="H2031" s="31" t="s">
        <v>3626</v>
      </c>
      <c r="I2031" s="32" t="n">
        <v>140886223</v>
      </c>
      <c r="J2031" s="33" t="n">
        <v>255</v>
      </c>
      <c r="K2031" s="33" t="n">
        <v>1</v>
      </c>
      <c r="L2031" s="34"/>
      <c r="M2031" s="35"/>
      <c r="N2031" s="36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9"/>
      <c r="Z2031" s="39"/>
      <c r="AA2031" s="28"/>
      <c r="AMJ2031" s="0"/>
    </row>
    <row r="2032" s="2" customFormat="true" ht="12.75" hidden="false" customHeight="true" outlineLevel="0" collapsed="false">
      <c r="A2032" s="27" t="s">
        <v>3810</v>
      </c>
      <c r="B2032" s="27" t="s">
        <v>3811</v>
      </c>
      <c r="C2032" s="28" t="s">
        <v>41</v>
      </c>
      <c r="D2032" s="27" t="s">
        <v>3621</v>
      </c>
      <c r="E2032" s="27" t="s">
        <v>3704</v>
      </c>
      <c r="F2032" s="29" t="s">
        <v>3807</v>
      </c>
      <c r="G2032" s="30" t="n">
        <v>92200</v>
      </c>
      <c r="H2032" s="31" t="s">
        <v>3626</v>
      </c>
      <c r="I2032" s="32" t="n">
        <v>140886223</v>
      </c>
      <c r="J2032" s="33" t="n">
        <v>208</v>
      </c>
      <c r="K2032" s="33" t="n">
        <v>1</v>
      </c>
      <c r="L2032" s="34"/>
      <c r="M2032" s="35"/>
      <c r="N2032" s="36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9"/>
      <c r="Z2032" s="39"/>
      <c r="AA2032" s="28"/>
      <c r="AMJ2032" s="0"/>
    </row>
    <row r="2033" s="2" customFormat="true" ht="12.75" hidden="false" customHeight="true" outlineLevel="0" collapsed="false">
      <c r="A2033" s="27" t="s">
        <v>3812</v>
      </c>
      <c r="B2033" s="27" t="s">
        <v>177</v>
      </c>
      <c r="C2033" s="28" t="s">
        <v>41</v>
      </c>
      <c r="D2033" s="27" t="s">
        <v>3621</v>
      </c>
      <c r="E2033" s="27" t="s">
        <v>3704</v>
      </c>
      <c r="F2033" s="29" t="s">
        <v>3807</v>
      </c>
      <c r="G2033" s="30" t="n">
        <v>92200</v>
      </c>
      <c r="H2033" s="31" t="s">
        <v>3626</v>
      </c>
      <c r="I2033" s="32" t="n">
        <v>140886223</v>
      </c>
      <c r="J2033" s="33" t="n">
        <v>201</v>
      </c>
      <c r="K2033" s="33" t="n">
        <v>1</v>
      </c>
      <c r="L2033" s="34"/>
      <c r="M2033" s="35"/>
      <c r="N2033" s="36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9"/>
      <c r="Z2033" s="39"/>
      <c r="AA2033" s="28"/>
      <c r="AMJ2033" s="0"/>
    </row>
    <row r="2034" s="2" customFormat="true" ht="12.75" hidden="false" customHeight="true" outlineLevel="0" collapsed="false">
      <c r="A2034" s="27" t="s">
        <v>3813</v>
      </c>
      <c r="B2034" s="27" t="s">
        <v>242</v>
      </c>
      <c r="C2034" s="28" t="s">
        <v>41</v>
      </c>
      <c r="D2034" s="27" t="s">
        <v>3621</v>
      </c>
      <c r="E2034" s="27" t="s">
        <v>3704</v>
      </c>
      <c r="F2034" s="29" t="s">
        <v>3807</v>
      </c>
      <c r="G2034" s="30" t="n">
        <v>92200</v>
      </c>
      <c r="H2034" s="31" t="s">
        <v>3626</v>
      </c>
      <c r="I2034" s="32" t="n">
        <v>140886223</v>
      </c>
      <c r="J2034" s="33" t="n">
        <v>201</v>
      </c>
      <c r="K2034" s="33" t="n">
        <v>1</v>
      </c>
      <c r="L2034" s="34"/>
      <c r="M2034" s="35"/>
      <c r="N2034" s="36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9"/>
      <c r="Z2034" s="39"/>
      <c r="AA2034" s="28"/>
      <c r="AMJ2034" s="0"/>
    </row>
    <row r="2035" s="2" customFormat="true" ht="12.75" hidden="false" customHeight="true" outlineLevel="0" collapsed="false">
      <c r="A2035" s="27" t="s">
        <v>3814</v>
      </c>
      <c r="B2035" s="27" t="s">
        <v>210</v>
      </c>
      <c r="C2035" s="28" t="s">
        <v>41</v>
      </c>
      <c r="D2035" s="27" t="s">
        <v>3621</v>
      </c>
      <c r="E2035" s="27" t="s">
        <v>3704</v>
      </c>
      <c r="F2035" s="29" t="s">
        <v>3807</v>
      </c>
      <c r="G2035" s="30" t="n">
        <v>92200</v>
      </c>
      <c r="H2035" s="31" t="s">
        <v>3626</v>
      </c>
      <c r="I2035" s="32" t="n">
        <v>140886223</v>
      </c>
      <c r="J2035" s="33" t="n">
        <v>201</v>
      </c>
      <c r="K2035" s="33" t="n">
        <v>1</v>
      </c>
      <c r="L2035" s="34"/>
      <c r="M2035" s="35"/>
      <c r="N2035" s="36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9"/>
      <c r="Z2035" s="39"/>
      <c r="AA2035" s="28"/>
      <c r="AMJ2035" s="0"/>
    </row>
    <row r="2036" s="2" customFormat="true" ht="12.75" hidden="false" customHeight="true" outlineLevel="0" collapsed="false">
      <c r="A2036" s="27" t="s">
        <v>3815</v>
      </c>
      <c r="B2036" s="27" t="s">
        <v>210</v>
      </c>
      <c r="C2036" s="28" t="s">
        <v>33</v>
      </c>
      <c r="D2036" s="27" t="s">
        <v>3621</v>
      </c>
      <c r="E2036" s="27"/>
      <c r="F2036" s="29" t="s">
        <v>3816</v>
      </c>
      <c r="G2036" s="30" t="n">
        <v>92200</v>
      </c>
      <c r="H2036" s="31" t="s">
        <v>3626</v>
      </c>
      <c r="I2036" s="32" t="n">
        <v>147223804</v>
      </c>
      <c r="J2036" s="33" t="n">
        <v>53</v>
      </c>
      <c r="K2036" s="33" t="n">
        <v>0</v>
      </c>
      <c r="L2036" s="34"/>
      <c r="M2036" s="35"/>
      <c r="N2036" s="36"/>
      <c r="O2036" s="37"/>
      <c r="P2036" s="37"/>
      <c r="Q2036" s="37"/>
      <c r="R2036" s="37"/>
      <c r="S2036" s="37"/>
      <c r="T2036" s="37"/>
      <c r="U2036" s="37"/>
      <c r="V2036" s="37"/>
      <c r="W2036" s="37"/>
      <c r="X2036" s="37"/>
      <c r="Y2036" s="39"/>
      <c r="Z2036" s="39"/>
      <c r="AA2036" s="28"/>
      <c r="AC2036" s="2" t="s">
        <v>38</v>
      </c>
      <c r="AMJ2036" s="0"/>
    </row>
    <row r="2037" s="2" customFormat="true" ht="12.75" hidden="false" customHeight="true" outlineLevel="0" collapsed="false">
      <c r="A2037" s="27" t="s">
        <v>3817</v>
      </c>
      <c r="B2037" s="27" t="s">
        <v>124</v>
      </c>
      <c r="C2037" s="28" t="s">
        <v>33</v>
      </c>
      <c r="D2037" s="27" t="s">
        <v>3621</v>
      </c>
      <c r="E2037" s="27"/>
      <c r="F2037" s="29" t="s">
        <v>3818</v>
      </c>
      <c r="G2037" s="30" t="n">
        <v>92200</v>
      </c>
      <c r="H2037" s="31" t="s">
        <v>3626</v>
      </c>
      <c r="I2037" s="32"/>
      <c r="J2037" s="33" t="n">
        <v>52</v>
      </c>
      <c r="K2037" s="33" t="n">
        <v>1</v>
      </c>
      <c r="L2037" s="34"/>
      <c r="M2037" s="35"/>
      <c r="N2037" s="36"/>
      <c r="O2037" s="37"/>
      <c r="P2037" s="37"/>
      <c r="Q2037" s="37"/>
      <c r="R2037" s="37"/>
      <c r="S2037" s="37"/>
      <c r="T2037" s="37"/>
      <c r="U2037" s="37"/>
      <c r="V2037" s="37"/>
      <c r="W2037" s="37"/>
      <c r="X2037" s="37"/>
      <c r="Y2037" s="39"/>
      <c r="Z2037" s="39"/>
      <c r="AA2037" s="28"/>
      <c r="AC2037" s="2" t="s">
        <v>38</v>
      </c>
      <c r="AMJ2037" s="0"/>
    </row>
    <row r="2038" s="2" customFormat="true" ht="12.75" hidden="false" customHeight="true" outlineLevel="0" collapsed="false">
      <c r="A2038" s="27" t="s">
        <v>3819</v>
      </c>
      <c r="B2038" s="27" t="s">
        <v>299</v>
      </c>
      <c r="C2038" s="28" t="s">
        <v>41</v>
      </c>
      <c r="D2038" s="27" t="s">
        <v>3621</v>
      </c>
      <c r="E2038" s="27"/>
      <c r="F2038" s="29" t="s">
        <v>3820</v>
      </c>
      <c r="G2038" s="30" t="n">
        <v>92200</v>
      </c>
      <c r="H2038" s="31" t="s">
        <v>3626</v>
      </c>
      <c r="I2038" s="32" t="n">
        <v>147474047</v>
      </c>
      <c r="J2038" s="33" t="n">
        <v>421</v>
      </c>
      <c r="K2038" s="33" t="n">
        <v>0</v>
      </c>
      <c r="L2038" s="34"/>
      <c r="M2038" s="35"/>
      <c r="N2038" s="36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9"/>
      <c r="Z2038" s="39"/>
      <c r="AA2038" s="28"/>
      <c r="AMJ2038" s="0"/>
    </row>
    <row r="2039" s="2" customFormat="true" ht="12.75" hidden="false" customHeight="true" outlineLevel="0" collapsed="false">
      <c r="A2039" s="27" t="s">
        <v>3821</v>
      </c>
      <c r="B2039" s="27" t="s">
        <v>106</v>
      </c>
      <c r="C2039" s="28" t="s">
        <v>178</v>
      </c>
      <c r="D2039" s="27" t="s">
        <v>3621</v>
      </c>
      <c r="E2039" s="27" t="s">
        <v>3822</v>
      </c>
      <c r="F2039" s="29" t="s">
        <v>3823</v>
      </c>
      <c r="G2039" s="30" t="n">
        <v>92200</v>
      </c>
      <c r="H2039" s="31" t="s">
        <v>3626</v>
      </c>
      <c r="I2039" s="32" t="n">
        <v>146412726</v>
      </c>
      <c r="J2039" s="33" t="n">
        <v>260</v>
      </c>
      <c r="K2039" s="33" t="n">
        <v>11</v>
      </c>
      <c r="L2039" s="34"/>
      <c r="M2039" s="35" t="s">
        <v>164</v>
      </c>
      <c r="N2039" s="36"/>
      <c r="O2039" s="37"/>
      <c r="P2039" s="37"/>
      <c r="Q2039" s="37"/>
      <c r="R2039" s="37"/>
      <c r="S2039" s="37"/>
      <c r="T2039" s="37"/>
      <c r="U2039" s="37"/>
      <c r="V2039" s="37"/>
      <c r="W2039" s="37"/>
      <c r="X2039" s="37"/>
      <c r="Y2039" s="39"/>
      <c r="Z2039" s="39"/>
      <c r="AA2039" s="28"/>
      <c r="AMJ2039" s="0"/>
    </row>
    <row r="2040" s="2" customFormat="true" ht="12.75" hidden="false" customHeight="true" outlineLevel="0" collapsed="false">
      <c r="A2040" s="27" t="s">
        <v>3824</v>
      </c>
      <c r="B2040" s="27" t="s">
        <v>1160</v>
      </c>
      <c r="C2040" s="28" t="s">
        <v>178</v>
      </c>
      <c r="D2040" s="27" t="s">
        <v>3621</v>
      </c>
      <c r="E2040" s="27" t="s">
        <v>3822</v>
      </c>
      <c r="F2040" s="29" t="s">
        <v>3823</v>
      </c>
      <c r="G2040" s="30" t="n">
        <v>92200</v>
      </c>
      <c r="H2040" s="31" t="s">
        <v>3626</v>
      </c>
      <c r="I2040" s="32" t="n">
        <v>146412726</v>
      </c>
      <c r="J2040" s="33" t="n">
        <v>260</v>
      </c>
      <c r="K2040" s="33" t="n">
        <v>14</v>
      </c>
      <c r="L2040" s="34" t="n">
        <v>2</v>
      </c>
      <c r="M2040" s="35" t="s">
        <v>164</v>
      </c>
      <c r="N2040" s="36"/>
      <c r="O2040" s="41"/>
      <c r="P2040" s="41"/>
      <c r="Q2040" s="41"/>
      <c r="R2040" s="41"/>
      <c r="S2040" s="41"/>
      <c r="T2040" s="41"/>
      <c r="U2040" s="41"/>
      <c r="V2040" s="41"/>
      <c r="W2040" s="41"/>
      <c r="X2040" s="41"/>
      <c r="Y2040" s="39"/>
      <c r="Z2040" s="39"/>
      <c r="AA2040" s="28" t="n">
        <v>3</v>
      </c>
      <c r="AMJ2040" s="0"/>
    </row>
    <row r="2041" s="2" customFormat="true" ht="12.75" hidden="false" customHeight="true" outlineLevel="0" collapsed="false">
      <c r="A2041" s="27" t="s">
        <v>3825</v>
      </c>
      <c r="B2041" s="27" t="s">
        <v>1670</v>
      </c>
      <c r="C2041" s="28" t="s">
        <v>178</v>
      </c>
      <c r="D2041" s="27" t="s">
        <v>3621</v>
      </c>
      <c r="E2041" s="27" t="s">
        <v>3822</v>
      </c>
      <c r="F2041" s="29" t="s">
        <v>3823</v>
      </c>
      <c r="G2041" s="30" t="n">
        <v>92200</v>
      </c>
      <c r="H2041" s="31" t="s">
        <v>3626</v>
      </c>
      <c r="I2041" s="32" t="n">
        <v>146412648</v>
      </c>
      <c r="J2041" s="33" t="n">
        <v>260</v>
      </c>
      <c r="K2041" s="33" t="n">
        <v>4</v>
      </c>
      <c r="L2041" s="34"/>
      <c r="M2041" s="35"/>
      <c r="N2041" s="36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9"/>
      <c r="Z2041" s="39"/>
      <c r="AA2041" s="28"/>
      <c r="AMJ2041" s="0"/>
    </row>
    <row r="2042" s="2" customFormat="true" ht="12.75" hidden="false" customHeight="true" outlineLevel="0" collapsed="false">
      <c r="A2042" s="27" t="s">
        <v>3826</v>
      </c>
      <c r="B2042" s="27" t="s">
        <v>1160</v>
      </c>
      <c r="C2042" s="28" t="s">
        <v>178</v>
      </c>
      <c r="D2042" s="27" t="s">
        <v>3621</v>
      </c>
      <c r="E2042" s="27" t="s">
        <v>3822</v>
      </c>
      <c r="F2042" s="29" t="s">
        <v>3823</v>
      </c>
      <c r="G2042" s="30" t="n">
        <v>92200</v>
      </c>
      <c r="H2042" s="31" t="s">
        <v>3626</v>
      </c>
      <c r="I2042" s="32" t="n">
        <v>146412726</v>
      </c>
      <c r="J2042" s="33" t="n">
        <v>260</v>
      </c>
      <c r="K2042" s="33" t="n">
        <v>12</v>
      </c>
      <c r="L2042" s="34" t="n">
        <v>2</v>
      </c>
      <c r="M2042" s="35" t="s">
        <v>164</v>
      </c>
      <c r="N2042" s="36"/>
      <c r="O2042" s="41"/>
      <c r="P2042" s="41"/>
      <c r="Q2042" s="41"/>
      <c r="R2042" s="41"/>
      <c r="S2042" s="41"/>
      <c r="T2042" s="41"/>
      <c r="U2042" s="41"/>
      <c r="V2042" s="41"/>
      <c r="W2042" s="41"/>
      <c r="X2042" s="41"/>
      <c r="Y2042" s="39"/>
      <c r="Z2042" s="39"/>
      <c r="AA2042" s="28" t="n">
        <v>3</v>
      </c>
      <c r="AB2042" s="4"/>
      <c r="AC2042" s="4"/>
      <c r="AD2042" s="4"/>
      <c r="AE2042" s="4"/>
      <c r="AMJ2042" s="0"/>
    </row>
    <row r="2043" s="2" customFormat="true" ht="12.75" hidden="false" customHeight="true" outlineLevel="0" collapsed="false">
      <c r="A2043" s="27" t="s">
        <v>3827</v>
      </c>
      <c r="B2043" s="27" t="s">
        <v>3828</v>
      </c>
      <c r="C2043" s="28" t="s">
        <v>178</v>
      </c>
      <c r="D2043" s="27" t="s">
        <v>3621</v>
      </c>
      <c r="E2043" s="27" t="s">
        <v>3822</v>
      </c>
      <c r="F2043" s="29" t="s">
        <v>3823</v>
      </c>
      <c r="G2043" s="30" t="n">
        <v>92200</v>
      </c>
      <c r="H2043" s="31" t="s">
        <v>3626</v>
      </c>
      <c r="I2043" s="32" t="n">
        <v>146412726</v>
      </c>
      <c r="J2043" s="33" t="n">
        <v>185</v>
      </c>
      <c r="K2043" s="33" t="n">
        <v>12</v>
      </c>
      <c r="L2043" s="34"/>
      <c r="M2043" s="35" t="s">
        <v>164</v>
      </c>
      <c r="N2043" s="36"/>
      <c r="O2043" s="37"/>
      <c r="P2043" s="37"/>
      <c r="Q2043" s="37"/>
      <c r="R2043" s="37"/>
      <c r="S2043" s="37"/>
      <c r="T2043" s="37"/>
      <c r="U2043" s="37"/>
      <c r="V2043" s="37"/>
      <c r="W2043" s="37"/>
      <c r="X2043" s="37"/>
      <c r="Y2043" s="39"/>
      <c r="Z2043" s="39"/>
      <c r="AA2043" s="28"/>
      <c r="AMJ2043" s="0"/>
    </row>
    <row r="2044" s="2" customFormat="true" ht="12.75" hidden="false" customHeight="true" outlineLevel="0" collapsed="false">
      <c r="A2044" s="27" t="s">
        <v>3829</v>
      </c>
      <c r="B2044" s="27" t="s">
        <v>3830</v>
      </c>
      <c r="C2044" s="28" t="s">
        <v>138</v>
      </c>
      <c r="D2044" s="27" t="s">
        <v>3621</v>
      </c>
      <c r="E2044" s="27" t="s">
        <v>3822</v>
      </c>
      <c r="F2044" s="29" t="s">
        <v>3823</v>
      </c>
      <c r="G2044" s="30" t="n">
        <v>92200</v>
      </c>
      <c r="H2044" s="31" t="s">
        <v>3626</v>
      </c>
      <c r="I2044" s="32" t="n">
        <v>140727038</v>
      </c>
      <c r="J2044" s="33" t="n">
        <v>238</v>
      </c>
      <c r="K2044" s="33" t="n">
        <v>3</v>
      </c>
      <c r="L2044" s="34"/>
      <c r="M2044" s="35"/>
      <c r="N2044" s="36"/>
      <c r="O2044" s="37"/>
      <c r="P2044" s="37"/>
      <c r="Q2044" s="37"/>
      <c r="R2044" s="37"/>
      <c r="S2044" s="37"/>
      <c r="T2044" s="37"/>
      <c r="U2044" s="37"/>
      <c r="V2044" s="37"/>
      <c r="W2044" s="37"/>
      <c r="X2044" s="37"/>
      <c r="Y2044" s="39"/>
      <c r="Z2044" s="39"/>
      <c r="AA2044" s="28"/>
      <c r="AMJ2044" s="0"/>
    </row>
    <row r="2045" s="2" customFormat="true" ht="12.75" hidden="false" customHeight="true" outlineLevel="0" collapsed="false">
      <c r="A2045" s="27" t="s">
        <v>3157</v>
      </c>
      <c r="B2045" s="27" t="s">
        <v>815</v>
      </c>
      <c r="C2045" s="28" t="s">
        <v>138</v>
      </c>
      <c r="D2045" s="27" t="s">
        <v>3621</v>
      </c>
      <c r="E2045" s="27" t="s">
        <v>3822</v>
      </c>
      <c r="F2045" s="29" t="s">
        <v>3823</v>
      </c>
      <c r="G2045" s="30" t="n">
        <v>92200</v>
      </c>
      <c r="H2045" s="31" t="s">
        <v>3626</v>
      </c>
      <c r="I2045" s="32" t="n">
        <v>142637246</v>
      </c>
      <c r="J2045" s="33" t="n">
        <v>189</v>
      </c>
      <c r="K2045" s="33" t="n">
        <v>1</v>
      </c>
      <c r="L2045" s="34"/>
      <c r="M2045" s="35"/>
      <c r="N2045" s="36"/>
      <c r="O2045" s="37"/>
      <c r="P2045" s="37"/>
      <c r="Q2045" s="37"/>
      <c r="R2045" s="37"/>
      <c r="S2045" s="37"/>
      <c r="T2045" s="37"/>
      <c r="U2045" s="37"/>
      <c r="V2045" s="37"/>
      <c r="W2045" s="37"/>
      <c r="X2045" s="37"/>
      <c r="Y2045" s="39"/>
      <c r="Z2045" s="39"/>
      <c r="AA2045" s="28"/>
      <c r="AMJ2045" s="0"/>
    </row>
    <row r="2046" s="2" customFormat="true" ht="12.75" hidden="false" customHeight="true" outlineLevel="0" collapsed="false">
      <c r="A2046" s="27" t="s">
        <v>3831</v>
      </c>
      <c r="B2046" s="27" t="s">
        <v>3832</v>
      </c>
      <c r="C2046" s="28" t="s">
        <v>138</v>
      </c>
      <c r="D2046" s="27" t="s">
        <v>3621</v>
      </c>
      <c r="E2046" s="27" t="s">
        <v>3822</v>
      </c>
      <c r="F2046" s="29" t="s">
        <v>3823</v>
      </c>
      <c r="G2046" s="30" t="n">
        <v>92200</v>
      </c>
      <c r="H2046" s="31" t="s">
        <v>3626</v>
      </c>
      <c r="I2046" s="32" t="n">
        <v>144250000</v>
      </c>
      <c r="J2046" s="33" t="n">
        <v>124</v>
      </c>
      <c r="K2046" s="33" t="n">
        <v>5</v>
      </c>
      <c r="L2046" s="34" t="n">
        <v>1</v>
      </c>
      <c r="M2046" s="35" t="s">
        <v>164</v>
      </c>
      <c r="N2046" s="36"/>
      <c r="O2046" s="41"/>
      <c r="P2046" s="41"/>
      <c r="Q2046" s="41"/>
      <c r="R2046" s="41"/>
      <c r="S2046" s="41"/>
      <c r="T2046" s="41"/>
      <c r="U2046" s="41"/>
      <c r="V2046" s="41"/>
      <c r="W2046" s="41"/>
      <c r="X2046" s="41"/>
      <c r="Y2046" s="39"/>
      <c r="Z2046" s="39"/>
      <c r="AA2046" s="28" t="n">
        <v>3</v>
      </c>
      <c r="AMJ2046" s="0"/>
    </row>
    <row r="2047" s="2" customFormat="true" ht="12.75" hidden="false" customHeight="true" outlineLevel="0" collapsed="false">
      <c r="A2047" s="27" t="s">
        <v>3833</v>
      </c>
      <c r="B2047" s="27" t="s">
        <v>3834</v>
      </c>
      <c r="C2047" s="28" t="s">
        <v>138</v>
      </c>
      <c r="D2047" s="27" t="s">
        <v>3621</v>
      </c>
      <c r="E2047" s="27" t="s">
        <v>3822</v>
      </c>
      <c r="F2047" s="29" t="s">
        <v>3823</v>
      </c>
      <c r="G2047" s="30" t="n">
        <v>92200</v>
      </c>
      <c r="H2047" s="31" t="s">
        <v>3626</v>
      </c>
      <c r="I2047" s="32" t="n">
        <v>146418488</v>
      </c>
      <c r="J2047" s="33" t="n">
        <v>122</v>
      </c>
      <c r="K2047" s="33" t="n">
        <v>2</v>
      </c>
      <c r="L2047" s="34"/>
      <c r="M2047" s="35"/>
      <c r="N2047" s="36"/>
      <c r="O2047" s="37"/>
      <c r="P2047" s="37"/>
      <c r="Q2047" s="37"/>
      <c r="R2047" s="37"/>
      <c r="S2047" s="37"/>
      <c r="T2047" s="37"/>
      <c r="U2047" s="37"/>
      <c r="V2047" s="37"/>
      <c r="W2047" s="37"/>
      <c r="X2047" s="37"/>
      <c r="Y2047" s="39"/>
      <c r="Z2047" s="39"/>
      <c r="AA2047" s="28"/>
      <c r="AMJ2047" s="0"/>
    </row>
    <row r="2048" s="2" customFormat="true" ht="12.75" hidden="false" customHeight="true" outlineLevel="0" collapsed="false">
      <c r="A2048" s="27" t="s">
        <v>2965</v>
      </c>
      <c r="B2048" s="27" t="s">
        <v>868</v>
      </c>
      <c r="C2048" s="28" t="s">
        <v>138</v>
      </c>
      <c r="D2048" s="27" t="s">
        <v>3621</v>
      </c>
      <c r="E2048" s="27" t="s">
        <v>3822</v>
      </c>
      <c r="F2048" s="29" t="s">
        <v>3823</v>
      </c>
      <c r="G2048" s="30" t="n">
        <v>92200</v>
      </c>
      <c r="H2048" s="31" t="s">
        <v>3626</v>
      </c>
      <c r="I2048" s="32" t="n">
        <v>147275555</v>
      </c>
      <c r="J2048" s="33" t="n">
        <v>119</v>
      </c>
      <c r="K2048" s="33" t="n">
        <v>3</v>
      </c>
      <c r="L2048" s="34" t="n">
        <v>4</v>
      </c>
      <c r="M2048" s="35" t="s">
        <v>164</v>
      </c>
      <c r="N2048" s="36"/>
      <c r="O2048" s="41"/>
      <c r="P2048" s="41"/>
      <c r="Q2048" s="41"/>
      <c r="R2048" s="41"/>
      <c r="S2048" s="41"/>
      <c r="T2048" s="41"/>
      <c r="U2048" s="41"/>
      <c r="V2048" s="41"/>
      <c r="W2048" s="41"/>
      <c r="X2048" s="41"/>
      <c r="Y2048" s="39" t="n">
        <v>45126.6041666667</v>
      </c>
      <c r="Z2048" s="39"/>
      <c r="AA2048" s="28" t="n">
        <v>4</v>
      </c>
      <c r="AMJ2048" s="0"/>
    </row>
    <row r="2049" s="2" customFormat="true" ht="12.75" hidden="false" customHeight="true" outlineLevel="0" collapsed="false">
      <c r="A2049" s="27" t="s">
        <v>3835</v>
      </c>
      <c r="B2049" s="27" t="s">
        <v>84</v>
      </c>
      <c r="C2049" s="28" t="s">
        <v>138</v>
      </c>
      <c r="D2049" s="27" t="s">
        <v>3621</v>
      </c>
      <c r="E2049" s="27" t="s">
        <v>3822</v>
      </c>
      <c r="F2049" s="29" t="s">
        <v>3823</v>
      </c>
      <c r="G2049" s="30" t="n">
        <v>92200</v>
      </c>
      <c r="H2049" s="31" t="s">
        <v>3626</v>
      </c>
      <c r="I2049" s="32"/>
      <c r="J2049" s="33" t="n">
        <v>118</v>
      </c>
      <c r="K2049" s="33" t="n">
        <v>13</v>
      </c>
      <c r="L2049" s="34"/>
      <c r="M2049" s="35" t="s">
        <v>164</v>
      </c>
      <c r="N2049" s="36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9"/>
      <c r="Z2049" s="39"/>
      <c r="AA2049" s="28" t="n">
        <v>3</v>
      </c>
      <c r="AMJ2049" s="0"/>
    </row>
    <row r="2050" s="2" customFormat="true" ht="12.75" hidden="false" customHeight="true" outlineLevel="0" collapsed="false">
      <c r="A2050" s="27" t="s">
        <v>3836</v>
      </c>
      <c r="B2050" s="27" t="s">
        <v>435</v>
      </c>
      <c r="C2050" s="28" t="s">
        <v>138</v>
      </c>
      <c r="D2050" s="27" t="s">
        <v>3621</v>
      </c>
      <c r="E2050" s="27" t="s">
        <v>3822</v>
      </c>
      <c r="F2050" s="29" t="s">
        <v>3823</v>
      </c>
      <c r="G2050" s="30" t="n">
        <v>92200</v>
      </c>
      <c r="H2050" s="31" t="s">
        <v>3626</v>
      </c>
      <c r="I2050" s="32" t="n">
        <v>140723357</v>
      </c>
      <c r="J2050" s="33" t="n">
        <v>118</v>
      </c>
      <c r="K2050" s="33" t="n">
        <v>7</v>
      </c>
      <c r="L2050" s="34"/>
      <c r="M2050" s="35"/>
      <c r="N2050" s="36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9"/>
      <c r="Z2050" s="39"/>
      <c r="AA2050" s="28"/>
      <c r="AMJ2050" s="0"/>
    </row>
    <row r="2051" s="2" customFormat="true" ht="12.75" hidden="false" customHeight="true" outlineLevel="0" collapsed="false">
      <c r="A2051" s="27" t="s">
        <v>3665</v>
      </c>
      <c r="B2051" s="27" t="s">
        <v>714</v>
      </c>
      <c r="C2051" s="28" t="s">
        <v>138</v>
      </c>
      <c r="D2051" s="27" t="s">
        <v>3621</v>
      </c>
      <c r="E2051" s="27" t="s">
        <v>3822</v>
      </c>
      <c r="F2051" s="29" t="s">
        <v>3823</v>
      </c>
      <c r="G2051" s="30" t="n">
        <v>92200</v>
      </c>
      <c r="H2051" s="31" t="s">
        <v>3626</v>
      </c>
      <c r="I2051" s="32" t="n">
        <v>149719100</v>
      </c>
      <c r="J2051" s="33" t="n">
        <v>117</v>
      </c>
      <c r="K2051" s="33" t="n">
        <v>4</v>
      </c>
      <c r="L2051" s="34"/>
      <c r="M2051" s="35"/>
      <c r="N2051" s="36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9"/>
      <c r="Z2051" s="39"/>
      <c r="AA2051" s="28"/>
      <c r="AMJ2051" s="0"/>
    </row>
    <row r="2052" s="2" customFormat="true" ht="12.75" hidden="false" customHeight="true" outlineLevel="0" collapsed="false">
      <c r="A2052" s="27" t="s">
        <v>3837</v>
      </c>
      <c r="B2052" s="27" t="s">
        <v>3838</v>
      </c>
      <c r="C2052" s="28" t="s">
        <v>138</v>
      </c>
      <c r="D2052" s="27" t="s">
        <v>3621</v>
      </c>
      <c r="E2052" s="27" t="s">
        <v>3822</v>
      </c>
      <c r="F2052" s="29" t="s">
        <v>3823</v>
      </c>
      <c r="G2052" s="30" t="n">
        <v>92200</v>
      </c>
      <c r="H2052" s="31" t="s">
        <v>3626</v>
      </c>
      <c r="I2052" s="32" t="n">
        <v>146418488</v>
      </c>
      <c r="J2052" s="33" t="n">
        <v>117</v>
      </c>
      <c r="K2052" s="33" t="n">
        <v>13</v>
      </c>
      <c r="L2052" s="34"/>
      <c r="M2052" s="35" t="s">
        <v>164</v>
      </c>
      <c r="N2052" s="36"/>
      <c r="O2052" s="37"/>
      <c r="P2052" s="37"/>
      <c r="Q2052" s="37"/>
      <c r="R2052" s="37"/>
      <c r="S2052" s="37"/>
      <c r="T2052" s="37"/>
      <c r="U2052" s="37"/>
      <c r="V2052" s="37"/>
      <c r="W2052" s="37"/>
      <c r="X2052" s="37"/>
      <c r="Y2052" s="39"/>
      <c r="Z2052" s="39"/>
      <c r="AA2052" s="28" t="n">
        <v>3</v>
      </c>
      <c r="AMJ2052" s="0"/>
    </row>
    <row r="2053" s="2" customFormat="true" ht="12.75" hidden="false" customHeight="true" outlineLevel="0" collapsed="false">
      <c r="A2053" s="27" t="s">
        <v>3839</v>
      </c>
      <c r="B2053" s="27" t="s">
        <v>55</v>
      </c>
      <c r="C2053" s="28" t="s">
        <v>138</v>
      </c>
      <c r="D2053" s="27" t="s">
        <v>3621</v>
      </c>
      <c r="E2053" s="27" t="s">
        <v>3822</v>
      </c>
      <c r="F2053" s="29" t="s">
        <v>3823</v>
      </c>
      <c r="G2053" s="30" t="n">
        <v>92200</v>
      </c>
      <c r="H2053" s="31" t="s">
        <v>3626</v>
      </c>
      <c r="I2053" s="32" t="n">
        <v>146418488</v>
      </c>
      <c r="J2053" s="33" t="n">
        <v>117</v>
      </c>
      <c r="K2053" s="33" t="n">
        <v>9</v>
      </c>
      <c r="L2053" s="34"/>
      <c r="M2053" s="35"/>
      <c r="N2053" s="36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9"/>
      <c r="Z2053" s="39"/>
      <c r="AA2053" s="28"/>
      <c r="AMJ2053" s="0"/>
    </row>
    <row r="2054" s="2" customFormat="true" ht="12.75" hidden="false" customHeight="true" outlineLevel="0" collapsed="false">
      <c r="A2054" s="27" t="s">
        <v>3840</v>
      </c>
      <c r="B2054" s="27" t="s">
        <v>377</v>
      </c>
      <c r="C2054" s="28" t="s">
        <v>138</v>
      </c>
      <c r="D2054" s="27" t="s">
        <v>3621</v>
      </c>
      <c r="E2054" s="27" t="s">
        <v>3822</v>
      </c>
      <c r="F2054" s="29" t="s">
        <v>3823</v>
      </c>
      <c r="G2054" s="30" t="n">
        <v>92200</v>
      </c>
      <c r="H2054" s="31" t="s">
        <v>3626</v>
      </c>
      <c r="I2054" s="32" t="n">
        <v>146412881</v>
      </c>
      <c r="J2054" s="33" t="n">
        <v>117</v>
      </c>
      <c r="K2054" s="33" t="n">
        <v>11</v>
      </c>
      <c r="L2054" s="34" t="n">
        <v>2</v>
      </c>
      <c r="M2054" s="35" t="s">
        <v>164</v>
      </c>
      <c r="N2054" s="36"/>
      <c r="O2054" s="41"/>
      <c r="P2054" s="41"/>
      <c r="Q2054" s="41"/>
      <c r="R2054" s="41"/>
      <c r="S2054" s="41"/>
      <c r="T2054" s="41"/>
      <c r="U2054" s="41"/>
      <c r="V2054" s="41"/>
      <c r="W2054" s="41"/>
      <c r="X2054" s="41"/>
      <c r="Y2054" s="39"/>
      <c r="Z2054" s="39"/>
      <c r="AA2054" s="28" t="n">
        <v>3</v>
      </c>
      <c r="AMJ2054" s="0"/>
    </row>
    <row r="2055" s="2" customFormat="true" ht="12.75" hidden="false" customHeight="true" outlineLevel="0" collapsed="false">
      <c r="A2055" s="27" t="s">
        <v>3841</v>
      </c>
      <c r="B2055" s="27" t="s">
        <v>84</v>
      </c>
      <c r="C2055" s="28" t="s">
        <v>138</v>
      </c>
      <c r="D2055" s="27" t="s">
        <v>3621</v>
      </c>
      <c r="E2055" s="27" t="s">
        <v>3822</v>
      </c>
      <c r="F2055" s="29" t="s">
        <v>3823</v>
      </c>
      <c r="G2055" s="30" t="n">
        <v>92200</v>
      </c>
      <c r="H2055" s="31" t="s">
        <v>3626</v>
      </c>
      <c r="I2055" s="32"/>
      <c r="J2055" s="33" t="n">
        <v>117</v>
      </c>
      <c r="K2055" s="33" t="n">
        <v>13</v>
      </c>
      <c r="L2055" s="34" t="n">
        <v>1</v>
      </c>
      <c r="M2055" s="35" t="s">
        <v>164</v>
      </c>
      <c r="N2055" s="36"/>
      <c r="O2055" s="41"/>
      <c r="P2055" s="41"/>
      <c r="Q2055" s="41"/>
      <c r="R2055" s="41"/>
      <c r="S2055" s="41"/>
      <c r="T2055" s="41"/>
      <c r="U2055" s="41"/>
      <c r="V2055" s="41"/>
      <c r="W2055" s="41"/>
      <c r="X2055" s="41"/>
      <c r="Y2055" s="39"/>
      <c r="Z2055" s="39"/>
      <c r="AA2055" s="28" t="n">
        <v>3</v>
      </c>
      <c r="AMJ2055" s="0"/>
    </row>
    <row r="2056" s="2" customFormat="true" ht="12.75" hidden="false" customHeight="true" outlineLevel="0" collapsed="false">
      <c r="A2056" s="27" t="s">
        <v>3842</v>
      </c>
      <c r="B2056" s="27" t="s">
        <v>3843</v>
      </c>
      <c r="C2056" s="28" t="s">
        <v>138</v>
      </c>
      <c r="D2056" s="27" t="s">
        <v>3621</v>
      </c>
      <c r="E2056" s="27" t="s">
        <v>3822</v>
      </c>
      <c r="F2056" s="29" t="s">
        <v>3823</v>
      </c>
      <c r="G2056" s="30" t="n">
        <v>92200</v>
      </c>
      <c r="H2056" s="31" t="s">
        <v>3626</v>
      </c>
      <c r="I2056" s="32" t="n">
        <v>369553400</v>
      </c>
      <c r="J2056" s="33" t="n">
        <v>112</v>
      </c>
      <c r="K2056" s="33" t="n">
        <v>1</v>
      </c>
      <c r="L2056" s="34"/>
      <c r="M2056" s="35"/>
      <c r="N2056" s="36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9"/>
      <c r="Z2056" s="39"/>
      <c r="AA2056" s="28"/>
      <c r="AMJ2056" s="0"/>
    </row>
    <row r="2057" s="2" customFormat="true" ht="12.75" hidden="false" customHeight="true" outlineLevel="0" collapsed="false">
      <c r="A2057" s="27" t="s">
        <v>3844</v>
      </c>
      <c r="B2057" s="27" t="s">
        <v>1211</v>
      </c>
      <c r="C2057" s="28" t="s">
        <v>138</v>
      </c>
      <c r="D2057" s="27" t="s">
        <v>3621</v>
      </c>
      <c r="E2057" s="27" t="s">
        <v>3822</v>
      </c>
      <c r="F2057" s="29" t="s">
        <v>3823</v>
      </c>
      <c r="G2057" s="30" t="n">
        <v>92200</v>
      </c>
      <c r="H2057" s="31" t="s">
        <v>3626</v>
      </c>
      <c r="I2057" s="32" t="n">
        <v>146418488</v>
      </c>
      <c r="J2057" s="33" t="n">
        <v>72</v>
      </c>
      <c r="K2057" s="33" t="n">
        <v>1</v>
      </c>
      <c r="L2057" s="34"/>
      <c r="M2057" s="35"/>
      <c r="N2057" s="36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9"/>
      <c r="Z2057" s="39"/>
      <c r="AA2057" s="28"/>
      <c r="AMJ2057" s="0"/>
    </row>
    <row r="2058" s="2" customFormat="true" ht="12.75" hidden="false" customHeight="true" outlineLevel="0" collapsed="false">
      <c r="A2058" s="27" t="s">
        <v>3845</v>
      </c>
      <c r="B2058" s="27" t="s">
        <v>94</v>
      </c>
      <c r="C2058" s="28" t="s">
        <v>138</v>
      </c>
      <c r="D2058" s="27" t="s">
        <v>3621</v>
      </c>
      <c r="E2058" s="27" t="s">
        <v>3822</v>
      </c>
      <c r="F2058" s="29" t="s">
        <v>3823</v>
      </c>
      <c r="G2058" s="30" t="n">
        <v>92200</v>
      </c>
      <c r="H2058" s="31" t="s">
        <v>3626</v>
      </c>
      <c r="I2058" s="32" t="n">
        <v>146418488</v>
      </c>
      <c r="J2058" s="33" t="n">
        <v>43</v>
      </c>
      <c r="K2058" s="33" t="n">
        <v>1</v>
      </c>
      <c r="L2058" s="34"/>
      <c r="M2058" s="35"/>
      <c r="N2058" s="36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9"/>
      <c r="Z2058" s="39"/>
      <c r="AA2058" s="28"/>
      <c r="AMJ2058" s="0"/>
    </row>
    <row r="2059" s="2" customFormat="true" ht="12.75" hidden="false" customHeight="true" outlineLevel="0" collapsed="false">
      <c r="A2059" s="27" t="s">
        <v>3846</v>
      </c>
      <c r="B2059" s="27" t="s">
        <v>88</v>
      </c>
      <c r="C2059" s="28" t="s">
        <v>41</v>
      </c>
      <c r="D2059" s="27" t="s">
        <v>3621</v>
      </c>
      <c r="E2059" s="27" t="s">
        <v>3822</v>
      </c>
      <c r="F2059" s="29" t="s">
        <v>3823</v>
      </c>
      <c r="G2059" s="30" t="n">
        <v>92200</v>
      </c>
      <c r="H2059" s="31" t="s">
        <v>3626</v>
      </c>
      <c r="I2059" s="32" t="n">
        <v>146412764</v>
      </c>
      <c r="J2059" s="33" t="n">
        <v>430</v>
      </c>
      <c r="K2059" s="33" t="n">
        <v>2</v>
      </c>
      <c r="L2059" s="34"/>
      <c r="M2059" s="35"/>
      <c r="N2059" s="36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9"/>
      <c r="Z2059" s="39"/>
      <c r="AA2059" s="28"/>
      <c r="AMJ2059" s="0"/>
    </row>
    <row r="2060" s="2" customFormat="true" ht="12.75" hidden="false" customHeight="true" outlineLevel="0" collapsed="false">
      <c r="A2060" s="27" t="s">
        <v>3847</v>
      </c>
      <c r="B2060" s="27" t="s">
        <v>3328</v>
      </c>
      <c r="C2060" s="28" t="s">
        <v>41</v>
      </c>
      <c r="D2060" s="27" t="s">
        <v>3621</v>
      </c>
      <c r="E2060" s="27" t="s">
        <v>3822</v>
      </c>
      <c r="F2060" s="29" t="s">
        <v>3823</v>
      </c>
      <c r="G2060" s="30" t="n">
        <v>92200</v>
      </c>
      <c r="H2060" s="31" t="s">
        <v>3626</v>
      </c>
      <c r="I2060" s="32" t="n">
        <v>146418260</v>
      </c>
      <c r="J2060" s="33" t="n">
        <v>306</v>
      </c>
      <c r="K2060" s="33" t="n">
        <v>3</v>
      </c>
      <c r="L2060" s="34"/>
      <c r="M2060" s="35"/>
      <c r="N2060" s="36"/>
      <c r="O2060" s="37"/>
      <c r="P2060" s="37"/>
      <c r="Q2060" s="37"/>
      <c r="R2060" s="37"/>
      <c r="S2060" s="37"/>
      <c r="T2060" s="37"/>
      <c r="U2060" s="37"/>
      <c r="V2060" s="37"/>
      <c r="W2060" s="37"/>
      <c r="X2060" s="37"/>
      <c r="Y2060" s="39"/>
      <c r="Z2060" s="39"/>
      <c r="AA2060" s="28"/>
      <c r="AMJ2060" s="0"/>
    </row>
    <row r="2061" s="2" customFormat="true" ht="12.75" hidden="false" customHeight="true" outlineLevel="0" collapsed="false">
      <c r="A2061" s="27" t="s">
        <v>3848</v>
      </c>
      <c r="B2061" s="27" t="s">
        <v>384</v>
      </c>
      <c r="C2061" s="28" t="s">
        <v>41</v>
      </c>
      <c r="D2061" s="27" t="s">
        <v>3621</v>
      </c>
      <c r="E2061" s="27" t="s">
        <v>3822</v>
      </c>
      <c r="F2061" s="29" t="s">
        <v>3823</v>
      </c>
      <c r="G2061" s="30" t="n">
        <v>92200</v>
      </c>
      <c r="H2061" s="31" t="s">
        <v>3626</v>
      </c>
      <c r="I2061" s="32" t="n">
        <v>147477015</v>
      </c>
      <c r="J2061" s="33" t="n">
        <v>201</v>
      </c>
      <c r="K2061" s="33" t="n">
        <v>1</v>
      </c>
      <c r="L2061" s="34"/>
      <c r="M2061" s="35"/>
      <c r="N2061" s="36"/>
      <c r="O2061" s="37"/>
      <c r="P2061" s="37"/>
      <c r="Q2061" s="37"/>
      <c r="R2061" s="37"/>
      <c r="S2061" s="37"/>
      <c r="T2061" s="37"/>
      <c r="U2061" s="37"/>
      <c r="V2061" s="37"/>
      <c r="W2061" s="37"/>
      <c r="X2061" s="37"/>
      <c r="Y2061" s="39"/>
      <c r="Z2061" s="39"/>
      <c r="AA2061" s="28"/>
      <c r="AMJ2061" s="0"/>
    </row>
    <row r="2062" s="2" customFormat="true" ht="12.75" hidden="false" customHeight="true" outlineLevel="0" collapsed="false">
      <c r="A2062" s="27" t="s">
        <v>3849</v>
      </c>
      <c r="B2062" s="27" t="s">
        <v>1521</v>
      </c>
      <c r="C2062" s="28" t="s">
        <v>41</v>
      </c>
      <c r="D2062" s="27" t="s">
        <v>3621</v>
      </c>
      <c r="E2062" s="27" t="s">
        <v>3822</v>
      </c>
      <c r="F2062" s="29" t="s">
        <v>3823</v>
      </c>
      <c r="G2062" s="30" t="n">
        <v>92200</v>
      </c>
      <c r="H2062" s="31" t="s">
        <v>3626</v>
      </c>
      <c r="I2062" s="32" t="n">
        <v>146412737</v>
      </c>
      <c r="J2062" s="33" t="n">
        <v>201</v>
      </c>
      <c r="K2062" s="33" t="n">
        <v>7</v>
      </c>
      <c r="L2062" s="34"/>
      <c r="M2062" s="35"/>
      <c r="N2062" s="36"/>
      <c r="O2062" s="37"/>
      <c r="P2062" s="37"/>
      <c r="Q2062" s="37"/>
      <c r="R2062" s="37"/>
      <c r="S2062" s="37"/>
      <c r="T2062" s="37"/>
      <c r="U2062" s="37"/>
      <c r="V2062" s="37"/>
      <c r="W2062" s="37"/>
      <c r="X2062" s="37"/>
      <c r="Y2062" s="39"/>
      <c r="Z2062" s="39"/>
      <c r="AA2062" s="28"/>
      <c r="AMJ2062" s="0"/>
    </row>
    <row r="2063" s="2" customFormat="true" ht="12.75" hidden="false" customHeight="true" outlineLevel="0" collapsed="false">
      <c r="A2063" s="27" t="s">
        <v>3850</v>
      </c>
      <c r="B2063" s="27" t="s">
        <v>374</v>
      </c>
      <c r="C2063" s="28" t="s">
        <v>41</v>
      </c>
      <c r="D2063" s="27" t="s">
        <v>3621</v>
      </c>
      <c r="E2063" s="27" t="s">
        <v>3822</v>
      </c>
      <c r="F2063" s="29" t="s">
        <v>3823</v>
      </c>
      <c r="G2063" s="30" t="n">
        <v>92200</v>
      </c>
      <c r="H2063" s="31" t="s">
        <v>3626</v>
      </c>
      <c r="I2063" s="32" t="n">
        <v>147477015</v>
      </c>
      <c r="J2063" s="33" t="n">
        <v>201</v>
      </c>
      <c r="K2063" s="33" t="n">
        <v>1</v>
      </c>
      <c r="L2063" s="34"/>
      <c r="M2063" s="35"/>
      <c r="N2063" s="36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9"/>
      <c r="Z2063" s="39"/>
      <c r="AA2063" s="28"/>
      <c r="AMJ2063" s="0"/>
    </row>
    <row r="2064" s="2" customFormat="true" ht="12.75" hidden="false" customHeight="true" outlineLevel="0" collapsed="false">
      <c r="A2064" s="27" t="s">
        <v>3851</v>
      </c>
      <c r="B2064" s="27" t="s">
        <v>3852</v>
      </c>
      <c r="C2064" s="28" t="s">
        <v>41</v>
      </c>
      <c r="D2064" s="27" t="s">
        <v>3621</v>
      </c>
      <c r="E2064" s="27" t="s">
        <v>3822</v>
      </c>
      <c r="F2064" s="29" t="s">
        <v>3823</v>
      </c>
      <c r="G2064" s="30" t="n">
        <v>92200</v>
      </c>
      <c r="H2064" s="31" t="s">
        <v>3626</v>
      </c>
      <c r="I2064" s="32" t="n">
        <v>146412515</v>
      </c>
      <c r="J2064" s="33" t="n">
        <v>201</v>
      </c>
      <c r="K2064" s="33" t="n">
        <v>1</v>
      </c>
      <c r="L2064" s="34"/>
      <c r="M2064" s="35"/>
      <c r="N2064" s="36"/>
      <c r="O2064" s="37"/>
      <c r="P2064" s="37"/>
      <c r="Q2064" s="37"/>
      <c r="R2064" s="37"/>
      <c r="S2064" s="37"/>
      <c r="T2064" s="37"/>
      <c r="U2064" s="37"/>
      <c r="V2064" s="37"/>
      <c r="W2064" s="37"/>
      <c r="X2064" s="37"/>
      <c r="Y2064" s="39"/>
      <c r="Z2064" s="39"/>
      <c r="AA2064" s="28"/>
      <c r="AMJ2064" s="0"/>
    </row>
    <row r="2065" s="2" customFormat="true" ht="12.75" hidden="false" customHeight="true" outlineLevel="0" collapsed="false">
      <c r="A2065" s="27" t="s">
        <v>3853</v>
      </c>
      <c r="B2065" s="27" t="s">
        <v>722</v>
      </c>
      <c r="C2065" s="28" t="s">
        <v>41</v>
      </c>
      <c r="D2065" s="27" t="s">
        <v>3621</v>
      </c>
      <c r="E2065" s="27" t="s">
        <v>3822</v>
      </c>
      <c r="F2065" s="29" t="s">
        <v>3823</v>
      </c>
      <c r="G2065" s="30" t="n">
        <v>92200</v>
      </c>
      <c r="H2065" s="31" t="s">
        <v>3626</v>
      </c>
      <c r="I2065" s="32" t="n">
        <v>147477015</v>
      </c>
      <c r="J2065" s="33" t="n">
        <v>201</v>
      </c>
      <c r="K2065" s="33" t="n">
        <v>1</v>
      </c>
      <c r="L2065" s="34"/>
      <c r="M2065" s="35"/>
      <c r="N2065" s="36"/>
      <c r="O2065" s="37"/>
      <c r="P2065" s="37"/>
      <c r="Q2065" s="37"/>
      <c r="R2065" s="37"/>
      <c r="S2065" s="37"/>
      <c r="T2065" s="37"/>
      <c r="U2065" s="37"/>
      <c r="V2065" s="37"/>
      <c r="W2065" s="37"/>
      <c r="X2065" s="37"/>
      <c r="Y2065" s="39"/>
      <c r="Z2065" s="39"/>
      <c r="AA2065" s="28"/>
      <c r="AMJ2065" s="0"/>
    </row>
    <row r="2066" s="2" customFormat="true" ht="12.75" hidden="false" customHeight="true" outlineLevel="0" collapsed="false">
      <c r="A2066" s="27" t="s">
        <v>3854</v>
      </c>
      <c r="B2066" s="27" t="s">
        <v>850</v>
      </c>
      <c r="C2066" s="28" t="s">
        <v>41</v>
      </c>
      <c r="D2066" s="27" t="s">
        <v>3621</v>
      </c>
      <c r="E2066" s="27" t="s">
        <v>3822</v>
      </c>
      <c r="F2066" s="29" t="s">
        <v>3823</v>
      </c>
      <c r="G2066" s="30" t="n">
        <v>92200</v>
      </c>
      <c r="H2066" s="31" t="s">
        <v>3626</v>
      </c>
      <c r="I2066" s="32" t="n">
        <v>147477015</v>
      </c>
      <c r="J2066" s="33" t="n">
        <v>201</v>
      </c>
      <c r="K2066" s="33" t="n">
        <v>1</v>
      </c>
      <c r="L2066" s="34"/>
      <c r="M2066" s="35"/>
      <c r="N2066" s="36"/>
      <c r="O2066" s="37"/>
      <c r="P2066" s="37"/>
      <c r="Q2066" s="37"/>
      <c r="R2066" s="37"/>
      <c r="S2066" s="37"/>
      <c r="T2066" s="37"/>
      <c r="U2066" s="37"/>
      <c r="V2066" s="37"/>
      <c r="W2066" s="37"/>
      <c r="X2066" s="37"/>
      <c r="Y2066" s="39"/>
      <c r="Z2066" s="39"/>
      <c r="AA2066" s="28"/>
      <c r="AMJ2066" s="0"/>
    </row>
    <row r="2067" s="2" customFormat="true" ht="12.75" hidden="false" customHeight="true" outlineLevel="0" collapsed="false">
      <c r="A2067" s="27" t="s">
        <v>3855</v>
      </c>
      <c r="B2067" s="27" t="s">
        <v>88</v>
      </c>
      <c r="C2067" s="28" t="s">
        <v>77</v>
      </c>
      <c r="D2067" s="27" t="s">
        <v>3621</v>
      </c>
      <c r="E2067" s="27" t="s">
        <v>3822</v>
      </c>
      <c r="F2067" s="29" t="s">
        <v>3823</v>
      </c>
      <c r="G2067" s="30" t="n">
        <v>92200</v>
      </c>
      <c r="H2067" s="31" t="s">
        <v>3626</v>
      </c>
      <c r="I2067" s="32" t="n">
        <v>146412821</v>
      </c>
      <c r="J2067" s="33" t="n">
        <v>333</v>
      </c>
      <c r="K2067" s="33" t="n">
        <v>9</v>
      </c>
      <c r="L2067" s="34"/>
      <c r="M2067" s="35"/>
      <c r="N2067" s="36"/>
      <c r="O2067" s="37"/>
      <c r="P2067" s="37"/>
      <c r="Q2067" s="37"/>
      <c r="R2067" s="37"/>
      <c r="S2067" s="37"/>
      <c r="T2067" s="37"/>
      <c r="U2067" s="37"/>
      <c r="V2067" s="37"/>
      <c r="W2067" s="37"/>
      <c r="X2067" s="37"/>
      <c r="Y2067" s="39"/>
      <c r="Z2067" s="39"/>
      <c r="AA2067" s="28"/>
      <c r="AMJ2067" s="0"/>
    </row>
    <row r="2068" s="2" customFormat="true" ht="12.75" hidden="false" customHeight="true" outlineLevel="0" collapsed="false">
      <c r="A2068" s="27" t="s">
        <v>3856</v>
      </c>
      <c r="B2068" s="27" t="s">
        <v>309</v>
      </c>
      <c r="C2068" s="28" t="s">
        <v>77</v>
      </c>
      <c r="D2068" s="27" t="s">
        <v>3621</v>
      </c>
      <c r="E2068" s="27" t="s">
        <v>3822</v>
      </c>
      <c r="F2068" s="29" t="s">
        <v>3823</v>
      </c>
      <c r="G2068" s="30" t="n">
        <v>92200</v>
      </c>
      <c r="H2068" s="31" t="s">
        <v>3626</v>
      </c>
      <c r="I2068" s="32" t="n">
        <v>146412821</v>
      </c>
      <c r="J2068" s="33" t="n">
        <v>333</v>
      </c>
      <c r="K2068" s="33" t="n">
        <v>11</v>
      </c>
      <c r="L2068" s="34"/>
      <c r="M2068" s="35" t="s">
        <v>164</v>
      </c>
      <c r="N2068" s="36"/>
      <c r="O2068" s="37"/>
      <c r="P2068" s="37"/>
      <c r="Q2068" s="37"/>
      <c r="R2068" s="37"/>
      <c r="S2068" s="37"/>
      <c r="T2068" s="37"/>
      <c r="U2068" s="37"/>
      <c r="V2068" s="37"/>
      <c r="W2068" s="37"/>
      <c r="X2068" s="37"/>
      <c r="Y2068" s="39"/>
      <c r="Z2068" s="39"/>
      <c r="AA2068" s="28"/>
      <c r="AMJ2068" s="0"/>
    </row>
    <row r="2069" s="2" customFormat="true" ht="12.75" hidden="false" customHeight="true" outlineLevel="0" collapsed="false">
      <c r="A2069" s="27" t="s">
        <v>3857</v>
      </c>
      <c r="B2069" s="27" t="s">
        <v>1160</v>
      </c>
      <c r="C2069" s="28" t="s">
        <v>77</v>
      </c>
      <c r="D2069" s="27" t="s">
        <v>3621</v>
      </c>
      <c r="E2069" s="27" t="s">
        <v>3822</v>
      </c>
      <c r="F2069" s="29" t="s">
        <v>3823</v>
      </c>
      <c r="G2069" s="30" t="n">
        <v>92200</v>
      </c>
      <c r="H2069" s="31" t="s">
        <v>3626</v>
      </c>
      <c r="I2069" s="32" t="n">
        <v>146412821</v>
      </c>
      <c r="J2069" s="33" t="n">
        <v>328</v>
      </c>
      <c r="K2069" s="33" t="n">
        <v>6</v>
      </c>
      <c r="L2069" s="34"/>
      <c r="M2069" s="35"/>
      <c r="N2069" s="36"/>
      <c r="O2069" s="37"/>
      <c r="P2069" s="37"/>
      <c r="Q2069" s="37"/>
      <c r="R2069" s="37"/>
      <c r="S2069" s="37"/>
      <c r="T2069" s="37"/>
      <c r="U2069" s="37"/>
      <c r="V2069" s="37"/>
      <c r="W2069" s="37"/>
      <c r="X2069" s="37"/>
      <c r="Y2069" s="39"/>
      <c r="Z2069" s="39"/>
      <c r="AA2069" s="28"/>
      <c r="AMJ2069" s="0"/>
    </row>
    <row r="2070" s="2" customFormat="true" ht="12.75" hidden="false" customHeight="true" outlineLevel="0" collapsed="false">
      <c r="A2070" s="27" t="s">
        <v>3858</v>
      </c>
      <c r="B2070" s="27" t="s">
        <v>3859</v>
      </c>
      <c r="C2070" s="28" t="s">
        <v>77</v>
      </c>
      <c r="D2070" s="27" t="s">
        <v>3621</v>
      </c>
      <c r="E2070" s="27" t="s">
        <v>3822</v>
      </c>
      <c r="F2070" s="29" t="s">
        <v>3823</v>
      </c>
      <c r="G2070" s="30" t="n">
        <v>92200</v>
      </c>
      <c r="H2070" s="31" t="s">
        <v>3626</v>
      </c>
      <c r="I2070" s="32" t="n">
        <v>146412821</v>
      </c>
      <c r="J2070" s="33" t="n">
        <v>97</v>
      </c>
      <c r="K2070" s="33" t="n">
        <v>4</v>
      </c>
      <c r="L2070" s="34"/>
      <c r="M2070" s="35"/>
      <c r="N2070" s="36"/>
      <c r="O2070" s="37"/>
      <c r="P2070" s="37"/>
      <c r="Q2070" s="37"/>
      <c r="R2070" s="37"/>
      <c r="S2070" s="37"/>
      <c r="T2070" s="37"/>
      <c r="U2070" s="37"/>
      <c r="V2070" s="37"/>
      <c r="W2070" s="37"/>
      <c r="X2070" s="37"/>
      <c r="Y2070" s="39"/>
      <c r="Z2070" s="39"/>
      <c r="AA2070" s="28"/>
      <c r="AMJ2070" s="0"/>
    </row>
    <row r="2071" s="2" customFormat="true" ht="12.75" hidden="false" customHeight="true" outlineLevel="0" collapsed="false">
      <c r="A2071" s="27" t="s">
        <v>3860</v>
      </c>
      <c r="B2071" s="27" t="s">
        <v>3861</v>
      </c>
      <c r="C2071" s="28" t="s">
        <v>121</v>
      </c>
      <c r="D2071" s="27" t="s">
        <v>3621</v>
      </c>
      <c r="E2071" s="27" t="s">
        <v>3822</v>
      </c>
      <c r="F2071" s="29" t="s">
        <v>3823</v>
      </c>
      <c r="G2071" s="30" t="n">
        <v>92200</v>
      </c>
      <c r="H2071" s="31" t="s">
        <v>3626</v>
      </c>
      <c r="I2071" s="32" t="n">
        <v>146412767</v>
      </c>
      <c r="J2071" s="33" t="n">
        <v>106</v>
      </c>
      <c r="K2071" s="33" t="n">
        <v>5</v>
      </c>
      <c r="L2071" s="34" t="n">
        <v>3</v>
      </c>
      <c r="M2071" s="35" t="s">
        <v>164</v>
      </c>
      <c r="N2071" s="36"/>
      <c r="O2071" s="41"/>
      <c r="P2071" s="41"/>
      <c r="Q2071" s="41"/>
      <c r="R2071" s="41"/>
      <c r="S2071" s="41"/>
      <c r="T2071" s="41"/>
      <c r="U2071" s="41"/>
      <c r="V2071" s="41"/>
      <c r="W2071" s="41"/>
      <c r="X2071" s="41"/>
      <c r="Y2071" s="39"/>
      <c r="Z2071" s="39"/>
      <c r="AA2071" s="28" t="n">
        <v>3</v>
      </c>
      <c r="AMJ2071" s="0"/>
    </row>
    <row r="2072" s="2" customFormat="true" ht="12.75" hidden="false" customHeight="true" outlineLevel="0" collapsed="false">
      <c r="A2072" s="27" t="s">
        <v>484</v>
      </c>
      <c r="B2072" s="27" t="s">
        <v>329</v>
      </c>
      <c r="C2072" s="28" t="s">
        <v>121</v>
      </c>
      <c r="D2072" s="27" t="s">
        <v>3621</v>
      </c>
      <c r="E2072" s="27" t="s">
        <v>3822</v>
      </c>
      <c r="F2072" s="29" t="s">
        <v>3823</v>
      </c>
      <c r="G2072" s="30" t="n">
        <v>92200</v>
      </c>
      <c r="H2072" s="31" t="s">
        <v>3626</v>
      </c>
      <c r="I2072" s="32" t="n">
        <v>146412767</v>
      </c>
      <c r="J2072" s="33" t="n">
        <v>106</v>
      </c>
      <c r="K2072" s="33" t="n">
        <v>6</v>
      </c>
      <c r="L2072" s="34" t="n">
        <v>1</v>
      </c>
      <c r="M2072" s="35" t="s">
        <v>164</v>
      </c>
      <c r="N2072" s="36"/>
      <c r="O2072" s="41"/>
      <c r="P2072" s="41"/>
      <c r="Q2072" s="41"/>
      <c r="R2072" s="41"/>
      <c r="S2072" s="41"/>
      <c r="T2072" s="41"/>
      <c r="U2072" s="41"/>
      <c r="V2072" s="41"/>
      <c r="W2072" s="41"/>
      <c r="X2072" s="41"/>
      <c r="Y2072" s="39"/>
      <c r="Z2072" s="39"/>
      <c r="AA2072" s="28" t="n">
        <v>3</v>
      </c>
      <c r="AMJ2072" s="0"/>
    </row>
    <row r="2073" s="2" customFormat="true" ht="12.75" hidden="false" customHeight="true" outlineLevel="0" collapsed="false">
      <c r="A2073" s="27" t="s">
        <v>3862</v>
      </c>
      <c r="B2073" s="27" t="s">
        <v>157</v>
      </c>
      <c r="C2073" s="28" t="s">
        <v>33</v>
      </c>
      <c r="D2073" s="27" t="s">
        <v>3621</v>
      </c>
      <c r="E2073" s="27" t="s">
        <v>3822</v>
      </c>
      <c r="F2073" s="29" t="s">
        <v>3823</v>
      </c>
      <c r="G2073" s="30" t="n">
        <v>92200</v>
      </c>
      <c r="H2073" s="31" t="s">
        <v>3626</v>
      </c>
      <c r="I2073" s="32" t="n">
        <v>146412770</v>
      </c>
      <c r="J2073" s="33" t="n">
        <v>51</v>
      </c>
      <c r="K2073" s="33" t="n">
        <v>1</v>
      </c>
      <c r="L2073" s="34"/>
      <c r="M2073" s="35"/>
      <c r="N2073" s="36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9"/>
      <c r="Z2073" s="39"/>
      <c r="AA2073" s="28"/>
      <c r="AC2073" s="2" t="s">
        <v>218</v>
      </c>
      <c r="AMJ2073" s="0"/>
    </row>
    <row r="2074" s="2" customFormat="true" ht="12.75" hidden="false" customHeight="true" outlineLevel="0" collapsed="false">
      <c r="A2074" s="27" t="s">
        <v>3863</v>
      </c>
      <c r="B2074" s="27" t="s">
        <v>2504</v>
      </c>
      <c r="C2074" s="28" t="s">
        <v>33</v>
      </c>
      <c r="D2074" s="27" t="s">
        <v>3621</v>
      </c>
      <c r="E2074" s="27" t="s">
        <v>3822</v>
      </c>
      <c r="F2074" s="29" t="s">
        <v>3823</v>
      </c>
      <c r="G2074" s="30" t="n">
        <v>92200</v>
      </c>
      <c r="H2074" s="31" t="s">
        <v>3626</v>
      </c>
      <c r="I2074" s="32" t="n">
        <v>146412770</v>
      </c>
      <c r="J2074" s="33" t="n">
        <v>50</v>
      </c>
      <c r="K2074" s="33" t="n">
        <v>1</v>
      </c>
      <c r="L2074" s="34"/>
      <c r="M2074" s="35"/>
      <c r="N2074" s="36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9"/>
      <c r="Z2074" s="39"/>
      <c r="AA2074" s="28"/>
      <c r="AC2074" s="2" t="s">
        <v>38</v>
      </c>
      <c r="AMJ2074" s="0"/>
    </row>
    <row r="2075" s="2" customFormat="true" ht="12.75" hidden="false" customHeight="true" outlineLevel="0" collapsed="false">
      <c r="A2075" s="27" t="s">
        <v>3864</v>
      </c>
      <c r="B2075" s="27" t="s">
        <v>329</v>
      </c>
      <c r="C2075" s="28" t="s">
        <v>41</v>
      </c>
      <c r="D2075" s="27" t="s">
        <v>3621</v>
      </c>
      <c r="E2075" s="27"/>
      <c r="F2075" s="29" t="s">
        <v>3865</v>
      </c>
      <c r="G2075" s="30" t="n">
        <v>92200</v>
      </c>
      <c r="H2075" s="31" t="s">
        <v>3626</v>
      </c>
      <c r="I2075" s="32" t="n">
        <v>141922020</v>
      </c>
      <c r="J2075" s="33" t="n">
        <v>239</v>
      </c>
      <c r="K2075" s="33"/>
      <c r="L2075" s="34"/>
      <c r="M2075" s="35"/>
      <c r="N2075" s="36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9"/>
      <c r="Z2075" s="39"/>
      <c r="AA2075" s="28"/>
      <c r="AMJ2075" s="0"/>
    </row>
    <row r="2076" s="2" customFormat="true" ht="12.75" hidden="false" customHeight="true" outlineLevel="0" collapsed="false">
      <c r="A2076" s="27" t="s">
        <v>3866</v>
      </c>
      <c r="B2076" s="27" t="s">
        <v>905</v>
      </c>
      <c r="C2076" s="28" t="s">
        <v>138</v>
      </c>
      <c r="D2076" s="27" t="s">
        <v>3621</v>
      </c>
      <c r="E2076" s="27"/>
      <c r="F2076" s="29" t="s">
        <v>3867</v>
      </c>
      <c r="G2076" s="30" t="n">
        <v>92200</v>
      </c>
      <c r="H2076" s="31" t="s">
        <v>3626</v>
      </c>
      <c r="I2076" s="32" t="n">
        <v>147478087</v>
      </c>
      <c r="J2076" s="33" t="n">
        <v>222</v>
      </c>
      <c r="K2076" s="33" t="n">
        <v>6</v>
      </c>
      <c r="L2076" s="34" t="n">
        <v>1</v>
      </c>
      <c r="M2076" s="35" t="s">
        <v>164</v>
      </c>
      <c r="N2076" s="36"/>
      <c r="O2076" s="41"/>
      <c r="P2076" s="41"/>
      <c r="Q2076" s="41"/>
      <c r="R2076" s="41"/>
      <c r="S2076" s="41"/>
      <c r="T2076" s="41"/>
      <c r="U2076" s="41"/>
      <c r="V2076" s="41"/>
      <c r="W2076" s="41"/>
      <c r="X2076" s="41"/>
      <c r="Y2076" s="39"/>
      <c r="Z2076" s="39"/>
      <c r="AA2076" s="28" t="n">
        <v>3</v>
      </c>
      <c r="AMJ2076" s="0"/>
    </row>
    <row r="2077" s="2" customFormat="true" ht="12.75" hidden="false" customHeight="true" outlineLevel="0" collapsed="false">
      <c r="A2077" s="27" t="s">
        <v>3868</v>
      </c>
      <c r="B2077" s="27" t="s">
        <v>537</v>
      </c>
      <c r="C2077" s="28" t="s">
        <v>41</v>
      </c>
      <c r="D2077" s="27" t="s">
        <v>3621</v>
      </c>
      <c r="E2077" s="27"/>
      <c r="F2077" s="29" t="s">
        <v>3867</v>
      </c>
      <c r="G2077" s="30" t="n">
        <v>92200</v>
      </c>
      <c r="H2077" s="31" t="s">
        <v>3626</v>
      </c>
      <c r="I2077" s="32" t="n">
        <v>146370404</v>
      </c>
      <c r="J2077" s="33" t="n">
        <v>404</v>
      </c>
      <c r="K2077" s="33" t="n">
        <v>4</v>
      </c>
      <c r="L2077" s="34"/>
      <c r="M2077" s="35"/>
      <c r="N2077" s="36"/>
      <c r="O2077" s="37"/>
      <c r="P2077" s="37"/>
      <c r="Q2077" s="37"/>
      <c r="R2077" s="37"/>
      <c r="S2077" s="37"/>
      <c r="T2077" s="37"/>
      <c r="U2077" s="37"/>
      <c r="V2077" s="37"/>
      <c r="W2077" s="37"/>
      <c r="X2077" s="37"/>
      <c r="Y2077" s="39"/>
      <c r="Z2077" s="39"/>
      <c r="AA2077" s="28"/>
      <c r="AMJ2077" s="0"/>
    </row>
    <row r="2078" s="2" customFormat="true" ht="12.75" hidden="false" customHeight="true" outlineLevel="0" collapsed="false">
      <c r="A2078" s="27" t="s">
        <v>3869</v>
      </c>
      <c r="B2078" s="27" t="s">
        <v>377</v>
      </c>
      <c r="C2078" s="28" t="s">
        <v>138</v>
      </c>
      <c r="D2078" s="27" t="s">
        <v>3621</v>
      </c>
      <c r="E2078" s="27"/>
      <c r="F2078" s="29" t="s">
        <v>3870</v>
      </c>
      <c r="G2078" s="30" t="n">
        <v>92200</v>
      </c>
      <c r="H2078" s="31" t="s">
        <v>3626</v>
      </c>
      <c r="I2078" s="32" t="n">
        <v>146243338</v>
      </c>
      <c r="J2078" s="33" t="n">
        <v>294</v>
      </c>
      <c r="K2078" s="33" t="n">
        <v>9</v>
      </c>
      <c r="L2078" s="34" t="n">
        <v>1</v>
      </c>
      <c r="M2078" s="35" t="s">
        <v>164</v>
      </c>
      <c r="N2078" s="36"/>
      <c r="O2078" s="41"/>
      <c r="P2078" s="41"/>
      <c r="Q2078" s="41"/>
      <c r="R2078" s="41"/>
      <c r="S2078" s="41"/>
      <c r="T2078" s="41"/>
      <c r="U2078" s="41"/>
      <c r="V2078" s="41"/>
      <c r="W2078" s="41"/>
      <c r="X2078" s="41"/>
      <c r="Y2078" s="39"/>
      <c r="Z2078" s="39"/>
      <c r="AA2078" s="28" t="n">
        <v>3</v>
      </c>
      <c r="AMJ2078" s="0"/>
    </row>
    <row r="2079" s="2" customFormat="true" ht="12.75" hidden="false" customHeight="true" outlineLevel="0" collapsed="false">
      <c r="A2079" s="27" t="s">
        <v>3871</v>
      </c>
      <c r="B2079" s="27" t="s">
        <v>415</v>
      </c>
      <c r="C2079" s="28" t="s">
        <v>41</v>
      </c>
      <c r="D2079" s="27" t="s">
        <v>3621</v>
      </c>
      <c r="E2079" s="27"/>
      <c r="F2079" s="29" t="s">
        <v>3872</v>
      </c>
      <c r="G2079" s="30" t="n">
        <v>92200</v>
      </c>
      <c r="H2079" s="31" t="s">
        <v>3626</v>
      </c>
      <c r="I2079" s="32" t="n">
        <v>147452111</v>
      </c>
      <c r="J2079" s="33" t="n">
        <v>561</v>
      </c>
      <c r="K2079" s="33" t="n">
        <v>14</v>
      </c>
      <c r="L2079" s="34" t="n">
        <v>1</v>
      </c>
      <c r="M2079" s="35" t="s">
        <v>155</v>
      </c>
      <c r="N2079" s="36"/>
      <c r="O2079" s="41"/>
      <c r="P2079" s="41"/>
      <c r="Q2079" s="41"/>
      <c r="R2079" s="41"/>
      <c r="S2079" s="41"/>
      <c r="T2079" s="41"/>
      <c r="U2079" s="41"/>
      <c r="V2079" s="41"/>
      <c r="W2079" s="41"/>
      <c r="X2079" s="41"/>
      <c r="Y2079" s="39"/>
      <c r="Z2079" s="39" t="n">
        <v>45211.5729166667</v>
      </c>
      <c r="AA2079" s="28" t="n">
        <v>3</v>
      </c>
      <c r="AMJ2079" s="0"/>
    </row>
    <row r="2080" s="2" customFormat="true" ht="12.75" hidden="false" customHeight="true" outlineLevel="0" collapsed="false">
      <c r="A2080" s="27" t="s">
        <v>3873</v>
      </c>
      <c r="B2080" s="27" t="s">
        <v>417</v>
      </c>
      <c r="C2080" s="28" t="s">
        <v>33</v>
      </c>
      <c r="D2080" s="27" t="s">
        <v>3621</v>
      </c>
      <c r="E2080" s="27"/>
      <c r="F2080" s="29" t="s">
        <v>3874</v>
      </c>
      <c r="G2080" s="30" t="n">
        <v>92200</v>
      </c>
      <c r="H2080" s="31" t="s">
        <v>3626</v>
      </c>
      <c r="I2080" s="32" t="n">
        <v>146248322</v>
      </c>
      <c r="J2080" s="33" t="n">
        <v>93</v>
      </c>
      <c r="K2080" s="33" t="n">
        <v>1</v>
      </c>
      <c r="L2080" s="34"/>
      <c r="M2080" s="35"/>
      <c r="N2080" s="36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9"/>
      <c r="Z2080" s="39"/>
      <c r="AA2080" s="28"/>
      <c r="AC2080" s="2" t="s">
        <v>38</v>
      </c>
      <c r="AMJ2080" s="0"/>
    </row>
    <row r="2081" customFormat="false" ht="12.75" hidden="false" customHeight="true" outlineLevel="0" collapsed="false">
      <c r="A2081" s="27" t="s">
        <v>3875</v>
      </c>
      <c r="B2081" s="27" t="s">
        <v>234</v>
      </c>
      <c r="C2081" s="28" t="s">
        <v>33</v>
      </c>
      <c r="D2081" s="27" t="s">
        <v>3621</v>
      </c>
      <c r="E2081" s="27"/>
      <c r="F2081" s="29" t="s">
        <v>3874</v>
      </c>
      <c r="G2081" s="30" t="n">
        <v>92200</v>
      </c>
      <c r="H2081" s="31" t="s">
        <v>3626</v>
      </c>
      <c r="I2081" s="32"/>
      <c r="J2081" s="33" t="n">
        <v>59</v>
      </c>
      <c r="K2081" s="33" t="n">
        <v>1</v>
      </c>
      <c r="L2081" s="34"/>
      <c r="M2081" s="35"/>
      <c r="N2081" s="36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9"/>
      <c r="Z2081" s="39"/>
      <c r="AA2081" s="28"/>
      <c r="AB2081" s="2"/>
      <c r="AC2081" s="2"/>
      <c r="AD2081" s="2"/>
      <c r="AE2081" s="2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  <c r="CC2081" s="0"/>
      <c r="CD2081" s="0"/>
      <c r="CE2081" s="0"/>
      <c r="CF2081" s="0"/>
      <c r="CG2081" s="0"/>
      <c r="CH2081" s="0"/>
      <c r="CI2081" s="0"/>
      <c r="CJ2081" s="0"/>
      <c r="CK2081" s="0"/>
      <c r="CL2081" s="0"/>
      <c r="CM2081" s="0"/>
      <c r="CN2081" s="0"/>
      <c r="CO2081" s="0"/>
      <c r="CP2081" s="0"/>
      <c r="CQ2081" s="0"/>
      <c r="CR2081" s="0"/>
      <c r="CS2081" s="0"/>
      <c r="CT2081" s="0"/>
      <c r="CU2081" s="0"/>
      <c r="CV2081" s="0"/>
      <c r="CW2081" s="0"/>
      <c r="CX2081" s="0"/>
      <c r="CY2081" s="0"/>
      <c r="CZ2081" s="0"/>
      <c r="DA2081" s="0"/>
      <c r="DB2081" s="0"/>
      <c r="DC2081" s="0"/>
      <c r="DD2081" s="0"/>
      <c r="DE2081" s="0"/>
      <c r="DF2081" s="0"/>
      <c r="DG2081" s="0"/>
      <c r="DH2081" s="0"/>
      <c r="DI2081" s="0"/>
      <c r="DJ2081" s="0"/>
      <c r="DK2081" s="0"/>
      <c r="DL2081" s="0"/>
      <c r="DM2081" s="0"/>
      <c r="DN2081" s="0"/>
      <c r="DO2081" s="0"/>
      <c r="DP2081" s="0"/>
      <c r="DQ2081" s="0"/>
      <c r="DR2081" s="0"/>
      <c r="DS2081" s="0"/>
      <c r="DT2081" s="0"/>
      <c r="DU2081" s="0"/>
      <c r="DV2081" s="0"/>
      <c r="DW2081" s="0"/>
      <c r="DX2081" s="0"/>
      <c r="DY2081" s="0"/>
      <c r="DZ2081" s="0"/>
      <c r="EA2081" s="0"/>
      <c r="EB2081" s="0"/>
      <c r="EC2081" s="0"/>
      <c r="ED2081" s="0"/>
      <c r="EE2081" s="0"/>
      <c r="EF2081" s="0"/>
      <c r="EG2081" s="0"/>
      <c r="EH2081" s="0"/>
      <c r="EI2081" s="0"/>
      <c r="EJ2081" s="0"/>
      <c r="EK2081" s="0"/>
      <c r="EL2081" s="0"/>
      <c r="EM2081" s="0"/>
      <c r="EN2081" s="0"/>
      <c r="EO2081" s="0"/>
      <c r="EP2081" s="0"/>
      <c r="EQ2081" s="0"/>
      <c r="ER2081" s="0"/>
      <c r="ES2081" s="0"/>
      <c r="ET2081" s="0"/>
      <c r="EU2081" s="0"/>
      <c r="EV2081" s="0"/>
      <c r="EW2081" s="0"/>
      <c r="EX2081" s="0"/>
      <c r="EY2081" s="0"/>
      <c r="EZ2081" s="0"/>
      <c r="FA2081" s="0"/>
      <c r="FB2081" s="0"/>
      <c r="FC2081" s="0"/>
      <c r="FD2081" s="0"/>
      <c r="FE2081" s="0"/>
      <c r="FF2081" s="0"/>
      <c r="FG2081" s="0"/>
      <c r="FH2081" s="0"/>
      <c r="FI2081" s="0"/>
      <c r="FJ2081" s="0"/>
      <c r="FK2081" s="0"/>
      <c r="FL2081" s="0"/>
      <c r="FM2081" s="0"/>
      <c r="FN2081" s="0"/>
      <c r="FO2081" s="0"/>
      <c r="FP2081" s="0"/>
      <c r="FQ2081" s="0"/>
      <c r="FR2081" s="0"/>
      <c r="FS2081" s="0"/>
      <c r="FT2081" s="0"/>
      <c r="FU2081" s="0"/>
      <c r="FV2081" s="0"/>
      <c r="FW2081" s="0"/>
      <c r="FX2081" s="0"/>
      <c r="FY2081" s="0"/>
      <c r="FZ2081" s="0"/>
      <c r="GA2081" s="0"/>
      <c r="GB2081" s="0"/>
      <c r="GC2081" s="0"/>
      <c r="GD2081" s="0"/>
      <c r="GE2081" s="0"/>
      <c r="GF2081" s="0"/>
      <c r="GG2081" s="0"/>
      <c r="GH2081" s="0"/>
      <c r="GI2081" s="0"/>
      <c r="GJ2081" s="0"/>
      <c r="GK2081" s="0"/>
      <c r="GL2081" s="0"/>
      <c r="GM2081" s="0"/>
      <c r="GN2081" s="0"/>
      <c r="GO2081" s="0"/>
      <c r="GP2081" s="0"/>
      <c r="GQ2081" s="0"/>
      <c r="GR2081" s="0"/>
      <c r="GS2081" s="0"/>
      <c r="GT2081" s="0"/>
      <c r="GU2081" s="0"/>
      <c r="GV2081" s="0"/>
      <c r="GW2081" s="0"/>
      <c r="GX2081" s="0"/>
      <c r="GY2081" s="0"/>
      <c r="GZ2081" s="0"/>
      <c r="HA2081" s="0"/>
      <c r="HB2081" s="0"/>
      <c r="HC2081" s="0"/>
      <c r="HD2081" s="0"/>
      <c r="HE2081" s="0"/>
      <c r="HF2081" s="0"/>
      <c r="HG2081" s="0"/>
      <c r="HH2081" s="0"/>
      <c r="HI2081" s="0"/>
      <c r="HJ2081" s="0"/>
      <c r="HK2081" s="0"/>
      <c r="HL2081" s="0"/>
      <c r="HM2081" s="0"/>
      <c r="HN2081" s="0"/>
      <c r="HO2081" s="0"/>
      <c r="HP2081" s="0"/>
      <c r="HQ2081" s="0"/>
      <c r="HR2081" s="0"/>
      <c r="HS2081" s="0"/>
      <c r="HT2081" s="0"/>
      <c r="HU2081" s="0"/>
      <c r="HV2081" s="0"/>
      <c r="HW2081" s="0"/>
      <c r="HX2081" s="0"/>
      <c r="HY2081" s="0"/>
      <c r="HZ2081" s="0"/>
      <c r="IA2081" s="0"/>
      <c r="IB2081" s="0"/>
      <c r="IC2081" s="0"/>
      <c r="ID2081" s="0"/>
      <c r="IE2081" s="0"/>
      <c r="IF2081" s="0"/>
      <c r="IG2081" s="0"/>
      <c r="IH2081" s="0"/>
      <c r="II2081" s="0"/>
      <c r="IJ2081" s="0"/>
      <c r="IK2081" s="0"/>
      <c r="IL2081" s="0"/>
      <c r="IM2081" s="0"/>
      <c r="IN2081" s="0"/>
      <c r="IO2081" s="0"/>
      <c r="IP2081" s="0"/>
      <c r="IQ2081" s="0"/>
      <c r="IR2081" s="0"/>
      <c r="IS2081" s="0"/>
      <c r="IT2081" s="0"/>
      <c r="IU2081" s="0"/>
      <c r="IV2081" s="0"/>
      <c r="IW2081" s="0"/>
      <c r="IX2081" s="0"/>
      <c r="IY2081" s="0"/>
      <c r="IZ2081" s="0"/>
      <c r="JA2081" s="0"/>
      <c r="JB2081" s="0"/>
      <c r="JC2081" s="0"/>
      <c r="JD2081" s="0"/>
      <c r="JE2081" s="0"/>
      <c r="JF2081" s="0"/>
      <c r="JG2081" s="0"/>
      <c r="JH2081" s="0"/>
      <c r="JI2081" s="0"/>
      <c r="JJ2081" s="0"/>
      <c r="JK2081" s="0"/>
      <c r="JL2081" s="0"/>
      <c r="JM2081" s="0"/>
      <c r="JN2081" s="0"/>
      <c r="JO2081" s="0"/>
      <c r="JP2081" s="0"/>
      <c r="JQ2081" s="0"/>
      <c r="JR2081" s="0"/>
      <c r="JS2081" s="0"/>
      <c r="JT2081" s="0"/>
      <c r="JU2081" s="0"/>
      <c r="JV2081" s="0"/>
      <c r="JW2081" s="0"/>
      <c r="JX2081" s="0"/>
      <c r="JY2081" s="0"/>
      <c r="JZ2081" s="0"/>
      <c r="KA2081" s="0"/>
      <c r="KB2081" s="0"/>
      <c r="KC2081" s="0"/>
      <c r="KD2081" s="0"/>
      <c r="KE2081" s="0"/>
      <c r="KF2081" s="0"/>
      <c r="KG2081" s="0"/>
      <c r="KH2081" s="0"/>
      <c r="KI2081" s="0"/>
      <c r="KJ2081" s="0"/>
      <c r="KK2081" s="0"/>
      <c r="KL2081" s="0"/>
      <c r="KM2081" s="0"/>
      <c r="KN2081" s="0"/>
      <c r="KO2081" s="0"/>
      <c r="KP2081" s="0"/>
      <c r="KQ2081" s="0"/>
      <c r="KR2081" s="0"/>
      <c r="KS2081" s="0"/>
      <c r="KT2081" s="0"/>
      <c r="KU2081" s="0"/>
      <c r="KV2081" s="0"/>
      <c r="KW2081" s="0"/>
      <c r="KX2081" s="0"/>
      <c r="KY2081" s="0"/>
      <c r="KZ2081" s="0"/>
      <c r="LA2081" s="0"/>
      <c r="LB2081" s="0"/>
      <c r="LC2081" s="0"/>
      <c r="LD2081" s="0"/>
      <c r="LE2081" s="0"/>
      <c r="LF2081" s="0"/>
      <c r="LG2081" s="0"/>
      <c r="LH2081" s="0"/>
      <c r="LI2081" s="0"/>
      <c r="LJ2081" s="0"/>
      <c r="LK2081" s="0"/>
      <c r="LL2081" s="0"/>
      <c r="LM2081" s="0"/>
      <c r="LN2081" s="0"/>
      <c r="LO2081" s="0"/>
      <c r="LP2081" s="0"/>
      <c r="LQ2081" s="0"/>
      <c r="LR2081" s="0"/>
      <c r="LS2081" s="0"/>
      <c r="LT2081" s="0"/>
      <c r="LU2081" s="0"/>
      <c r="LV2081" s="0"/>
      <c r="LW2081" s="0"/>
      <c r="LX2081" s="0"/>
      <c r="LY2081" s="0"/>
      <c r="LZ2081" s="0"/>
      <c r="MA2081" s="0"/>
      <c r="MB2081" s="0"/>
      <c r="MC2081" s="0"/>
      <c r="MD2081" s="0"/>
      <c r="ME2081" s="0"/>
      <c r="MF2081" s="0"/>
      <c r="MG2081" s="0"/>
      <c r="MH2081" s="0"/>
      <c r="MI2081" s="0"/>
      <c r="MJ2081" s="0"/>
      <c r="MK2081" s="0"/>
      <c r="ML2081" s="0"/>
      <c r="MM2081" s="0"/>
      <c r="MN2081" s="0"/>
      <c r="MO2081" s="0"/>
      <c r="MP2081" s="0"/>
      <c r="MQ2081" s="0"/>
      <c r="MR2081" s="0"/>
      <c r="MS2081" s="0"/>
      <c r="MT2081" s="0"/>
      <c r="MU2081" s="0"/>
      <c r="MV2081" s="0"/>
      <c r="MW2081" s="0"/>
      <c r="MX2081" s="0"/>
      <c r="MY2081" s="0"/>
      <c r="MZ2081" s="0"/>
      <c r="NA2081" s="0"/>
      <c r="NB2081" s="0"/>
      <c r="NC2081" s="0"/>
      <c r="ND2081" s="0"/>
      <c r="NE2081" s="0"/>
      <c r="NF2081" s="0"/>
      <c r="NG2081" s="0"/>
      <c r="NH2081" s="0"/>
      <c r="NI2081" s="0"/>
      <c r="NJ2081" s="0"/>
      <c r="NK2081" s="0"/>
      <c r="NL2081" s="0"/>
      <c r="NM2081" s="0"/>
      <c r="NN2081" s="0"/>
      <c r="NO2081" s="0"/>
      <c r="NP2081" s="0"/>
      <c r="NQ2081" s="0"/>
      <c r="NR2081" s="0"/>
      <c r="NS2081" s="0"/>
      <c r="NT2081" s="0"/>
      <c r="NU2081" s="0"/>
      <c r="NV2081" s="0"/>
      <c r="NW2081" s="0"/>
      <c r="NX2081" s="0"/>
      <c r="NY2081" s="0"/>
      <c r="NZ2081" s="0"/>
      <c r="OA2081" s="0"/>
      <c r="OB2081" s="0"/>
      <c r="OC2081" s="0"/>
      <c r="OD2081" s="0"/>
      <c r="OE2081" s="0"/>
      <c r="OF2081" s="0"/>
      <c r="OG2081" s="0"/>
      <c r="OH2081" s="0"/>
      <c r="OI2081" s="0"/>
      <c r="OJ2081" s="0"/>
      <c r="OK2081" s="0"/>
      <c r="OL2081" s="0"/>
      <c r="OM2081" s="0"/>
      <c r="ON2081" s="0"/>
      <c r="OO2081" s="0"/>
      <c r="OP2081" s="0"/>
      <c r="OQ2081" s="0"/>
      <c r="OR2081" s="0"/>
      <c r="OS2081" s="0"/>
      <c r="OT2081" s="0"/>
      <c r="OU2081" s="0"/>
      <c r="OV2081" s="0"/>
      <c r="OW2081" s="0"/>
      <c r="OX2081" s="0"/>
      <c r="OY2081" s="0"/>
      <c r="OZ2081" s="0"/>
      <c r="PA2081" s="0"/>
      <c r="PB2081" s="0"/>
      <c r="PC2081" s="0"/>
      <c r="PD2081" s="0"/>
      <c r="PE2081" s="0"/>
      <c r="PF2081" s="0"/>
      <c r="PG2081" s="0"/>
      <c r="PH2081" s="0"/>
      <c r="PI2081" s="0"/>
      <c r="PJ2081" s="0"/>
      <c r="PK2081" s="0"/>
      <c r="PL2081" s="0"/>
      <c r="PM2081" s="0"/>
      <c r="PN2081" s="0"/>
      <c r="PO2081" s="0"/>
      <c r="PP2081" s="0"/>
      <c r="PQ2081" s="0"/>
      <c r="PR2081" s="0"/>
      <c r="PS2081" s="0"/>
      <c r="PT2081" s="0"/>
      <c r="PU2081" s="0"/>
      <c r="PV2081" s="0"/>
      <c r="PW2081" s="0"/>
      <c r="PX2081" s="0"/>
      <c r="PY2081" s="0"/>
      <c r="PZ2081" s="0"/>
      <c r="QA2081" s="0"/>
      <c r="QB2081" s="0"/>
      <c r="QC2081" s="0"/>
      <c r="QD2081" s="0"/>
      <c r="QE2081" s="0"/>
      <c r="QF2081" s="0"/>
      <c r="QG2081" s="0"/>
      <c r="QH2081" s="0"/>
      <c r="QI2081" s="0"/>
      <c r="QJ2081" s="0"/>
      <c r="QK2081" s="0"/>
      <c r="QL2081" s="0"/>
      <c r="QM2081" s="0"/>
      <c r="QN2081" s="0"/>
      <c r="QO2081" s="0"/>
      <c r="QP2081" s="0"/>
      <c r="QQ2081" s="0"/>
      <c r="QR2081" s="0"/>
      <c r="QS2081" s="0"/>
      <c r="QT2081" s="0"/>
      <c r="QU2081" s="0"/>
      <c r="QV2081" s="0"/>
      <c r="QW2081" s="0"/>
      <c r="QX2081" s="0"/>
      <c r="QY2081" s="0"/>
      <c r="QZ2081" s="0"/>
      <c r="RA2081" s="0"/>
      <c r="RB2081" s="0"/>
      <c r="RC2081" s="0"/>
      <c r="RD2081" s="0"/>
      <c r="RE2081" s="0"/>
      <c r="RF2081" s="0"/>
      <c r="RG2081" s="0"/>
      <c r="RH2081" s="0"/>
      <c r="RI2081" s="0"/>
      <c r="RJ2081" s="0"/>
      <c r="RK2081" s="0"/>
      <c r="RL2081" s="0"/>
      <c r="RM2081" s="0"/>
      <c r="RN2081" s="0"/>
      <c r="RO2081" s="0"/>
      <c r="RP2081" s="0"/>
      <c r="RQ2081" s="0"/>
      <c r="RR2081" s="0"/>
      <c r="RS2081" s="0"/>
      <c r="RT2081" s="0"/>
      <c r="RU2081" s="0"/>
      <c r="RV2081" s="0"/>
      <c r="RW2081" s="0"/>
      <c r="RX2081" s="0"/>
      <c r="RY2081" s="0"/>
      <c r="RZ2081" s="0"/>
      <c r="SA2081" s="0"/>
      <c r="SB2081" s="0"/>
      <c r="SC2081" s="0"/>
      <c r="SD2081" s="0"/>
      <c r="SE2081" s="0"/>
      <c r="SF2081" s="0"/>
      <c r="SG2081" s="0"/>
      <c r="SH2081" s="0"/>
      <c r="SI2081" s="0"/>
      <c r="SJ2081" s="0"/>
      <c r="SK2081" s="0"/>
      <c r="SL2081" s="0"/>
      <c r="SM2081" s="0"/>
      <c r="SN2081" s="0"/>
      <c r="SO2081" s="0"/>
      <c r="SP2081" s="0"/>
      <c r="SQ2081" s="0"/>
      <c r="SR2081" s="0"/>
      <c r="SS2081" s="0"/>
      <c r="ST2081" s="0"/>
      <c r="SU2081" s="0"/>
      <c r="SV2081" s="0"/>
      <c r="SW2081" s="0"/>
      <c r="SX2081" s="0"/>
      <c r="SY2081" s="0"/>
      <c r="SZ2081" s="0"/>
      <c r="TA2081" s="0"/>
      <c r="TB2081" s="0"/>
      <c r="TC2081" s="0"/>
      <c r="TD2081" s="0"/>
      <c r="TE2081" s="0"/>
      <c r="TF2081" s="0"/>
      <c r="TG2081" s="0"/>
      <c r="TH2081" s="0"/>
      <c r="TI2081" s="0"/>
      <c r="TJ2081" s="0"/>
      <c r="TK2081" s="0"/>
      <c r="TL2081" s="0"/>
      <c r="TM2081" s="0"/>
      <c r="TN2081" s="0"/>
      <c r="TO2081" s="0"/>
      <c r="TP2081" s="0"/>
      <c r="TQ2081" s="0"/>
      <c r="TR2081" s="0"/>
      <c r="TS2081" s="0"/>
      <c r="TT2081" s="0"/>
      <c r="TU2081" s="0"/>
      <c r="TV2081" s="0"/>
      <c r="TW2081" s="0"/>
      <c r="TX2081" s="0"/>
      <c r="TY2081" s="0"/>
      <c r="TZ2081" s="0"/>
      <c r="UA2081" s="0"/>
      <c r="UB2081" s="0"/>
      <c r="UC2081" s="0"/>
      <c r="UD2081" s="0"/>
      <c r="UE2081" s="0"/>
      <c r="UF2081" s="0"/>
      <c r="UG2081" s="0"/>
      <c r="UH2081" s="0"/>
      <c r="UI2081" s="0"/>
      <c r="UJ2081" s="0"/>
      <c r="UK2081" s="0"/>
      <c r="UL2081" s="0"/>
      <c r="UM2081" s="0"/>
      <c r="UN2081" s="0"/>
      <c r="UO2081" s="0"/>
      <c r="UP2081" s="0"/>
      <c r="UQ2081" s="0"/>
      <c r="UR2081" s="0"/>
      <c r="US2081" s="0"/>
      <c r="UT2081" s="0"/>
      <c r="UU2081" s="0"/>
      <c r="UV2081" s="0"/>
      <c r="UW2081" s="0"/>
      <c r="UX2081" s="0"/>
      <c r="UY2081" s="0"/>
      <c r="UZ2081" s="0"/>
      <c r="VA2081" s="0"/>
      <c r="VB2081" s="0"/>
      <c r="VC2081" s="0"/>
      <c r="VD2081" s="0"/>
      <c r="VE2081" s="0"/>
      <c r="VF2081" s="0"/>
      <c r="VG2081" s="0"/>
      <c r="VH2081" s="0"/>
      <c r="VI2081" s="0"/>
      <c r="VJ2081" s="0"/>
      <c r="VK2081" s="0"/>
      <c r="VL2081" s="0"/>
      <c r="VM2081" s="0"/>
      <c r="VN2081" s="0"/>
      <c r="VO2081" s="0"/>
      <c r="VP2081" s="0"/>
      <c r="VQ2081" s="0"/>
      <c r="VR2081" s="0"/>
      <c r="VS2081" s="0"/>
      <c r="VT2081" s="0"/>
      <c r="VU2081" s="0"/>
      <c r="VV2081" s="0"/>
      <c r="VW2081" s="0"/>
      <c r="VX2081" s="0"/>
      <c r="VY2081" s="0"/>
      <c r="VZ2081" s="0"/>
      <c r="WA2081" s="0"/>
      <c r="WB2081" s="0"/>
      <c r="WC2081" s="0"/>
      <c r="WD2081" s="0"/>
      <c r="WE2081" s="0"/>
      <c r="WF2081" s="0"/>
      <c r="WG2081" s="0"/>
      <c r="WH2081" s="0"/>
      <c r="WI2081" s="0"/>
      <c r="WJ2081" s="0"/>
      <c r="WK2081" s="0"/>
      <c r="WL2081" s="0"/>
      <c r="WM2081" s="0"/>
      <c r="WN2081" s="0"/>
      <c r="WO2081" s="0"/>
      <c r="WP2081" s="0"/>
      <c r="WQ2081" s="0"/>
      <c r="WR2081" s="0"/>
      <c r="WS2081" s="0"/>
      <c r="WT2081" s="0"/>
      <c r="WU2081" s="0"/>
      <c r="WV2081" s="0"/>
      <c r="WW2081" s="0"/>
      <c r="WX2081" s="0"/>
      <c r="WY2081" s="0"/>
      <c r="WZ2081" s="0"/>
      <c r="XA2081" s="0"/>
      <c r="XB2081" s="0"/>
      <c r="XC2081" s="0"/>
      <c r="XD2081" s="0"/>
      <c r="XE2081" s="0"/>
      <c r="XF2081" s="0"/>
      <c r="XG2081" s="0"/>
      <c r="XH2081" s="0"/>
      <c r="XI2081" s="0"/>
      <c r="XJ2081" s="0"/>
      <c r="XK2081" s="0"/>
      <c r="XL2081" s="0"/>
      <c r="XM2081" s="0"/>
      <c r="XN2081" s="0"/>
      <c r="XO2081" s="0"/>
      <c r="XP2081" s="0"/>
      <c r="XQ2081" s="0"/>
      <c r="XR2081" s="0"/>
      <c r="XS2081" s="0"/>
      <c r="XT2081" s="0"/>
      <c r="XU2081" s="0"/>
      <c r="XV2081" s="0"/>
      <c r="XW2081" s="0"/>
      <c r="XX2081" s="0"/>
      <c r="XY2081" s="0"/>
      <c r="XZ2081" s="0"/>
      <c r="YA2081" s="0"/>
      <c r="YB2081" s="0"/>
      <c r="YC2081" s="0"/>
      <c r="YD2081" s="0"/>
      <c r="YE2081" s="0"/>
      <c r="YF2081" s="0"/>
      <c r="YG2081" s="0"/>
      <c r="YH2081" s="0"/>
      <c r="YI2081" s="0"/>
      <c r="YJ2081" s="0"/>
      <c r="YK2081" s="0"/>
      <c r="YL2081" s="0"/>
      <c r="YM2081" s="0"/>
      <c r="YN2081" s="0"/>
      <c r="YO2081" s="0"/>
      <c r="YP2081" s="0"/>
      <c r="YQ2081" s="0"/>
      <c r="YR2081" s="0"/>
      <c r="YS2081" s="0"/>
      <c r="YT2081" s="0"/>
      <c r="YU2081" s="0"/>
      <c r="YV2081" s="0"/>
      <c r="YW2081" s="0"/>
      <c r="YX2081" s="0"/>
      <c r="YY2081" s="0"/>
      <c r="YZ2081" s="0"/>
      <c r="ZA2081" s="0"/>
      <c r="ZB2081" s="0"/>
      <c r="ZC2081" s="0"/>
      <c r="ZD2081" s="0"/>
      <c r="ZE2081" s="0"/>
      <c r="ZF2081" s="0"/>
      <c r="ZG2081" s="0"/>
      <c r="ZH2081" s="0"/>
      <c r="ZI2081" s="0"/>
      <c r="ZJ2081" s="0"/>
      <c r="ZK2081" s="0"/>
      <c r="ZL2081" s="0"/>
      <c r="ZM2081" s="0"/>
      <c r="ZN2081" s="0"/>
      <c r="ZO2081" s="0"/>
      <c r="ZP2081" s="0"/>
      <c r="ZQ2081" s="0"/>
      <c r="ZR2081" s="0"/>
      <c r="ZS2081" s="0"/>
      <c r="ZT2081" s="0"/>
      <c r="ZU2081" s="0"/>
      <c r="ZV2081" s="0"/>
      <c r="ZW2081" s="0"/>
      <c r="ZX2081" s="0"/>
      <c r="ZY2081" s="0"/>
      <c r="ZZ2081" s="0"/>
      <c r="AAA2081" s="0"/>
      <c r="AAB2081" s="0"/>
      <c r="AAC2081" s="0"/>
      <c r="AAD2081" s="0"/>
      <c r="AAE2081" s="0"/>
      <c r="AAF2081" s="0"/>
      <c r="AAG2081" s="0"/>
      <c r="AAH2081" s="0"/>
      <c r="AAI2081" s="0"/>
      <c r="AAJ2081" s="0"/>
      <c r="AAK2081" s="0"/>
      <c r="AAL2081" s="0"/>
      <c r="AAM2081" s="0"/>
      <c r="AAN2081" s="0"/>
      <c r="AAO2081" s="0"/>
      <c r="AAP2081" s="0"/>
      <c r="AAQ2081" s="0"/>
      <c r="AAR2081" s="0"/>
      <c r="AAS2081" s="0"/>
      <c r="AAT2081" s="0"/>
      <c r="AAU2081" s="0"/>
      <c r="AAV2081" s="0"/>
      <c r="AAW2081" s="0"/>
      <c r="AAX2081" s="0"/>
      <c r="AAY2081" s="0"/>
      <c r="AAZ2081" s="0"/>
      <c r="ABA2081" s="0"/>
      <c r="ABB2081" s="0"/>
      <c r="ABC2081" s="0"/>
      <c r="ABD2081" s="0"/>
      <c r="ABE2081" s="0"/>
      <c r="ABF2081" s="0"/>
      <c r="ABG2081" s="0"/>
      <c r="ABH2081" s="0"/>
      <c r="ABI2081" s="0"/>
      <c r="ABJ2081" s="0"/>
      <c r="ABK2081" s="0"/>
      <c r="ABL2081" s="0"/>
      <c r="ABM2081" s="0"/>
      <c r="ABN2081" s="0"/>
      <c r="ABO2081" s="0"/>
      <c r="ABP2081" s="0"/>
      <c r="ABQ2081" s="0"/>
      <c r="ABR2081" s="0"/>
      <c r="ABS2081" s="0"/>
      <c r="ABT2081" s="0"/>
      <c r="ABU2081" s="0"/>
      <c r="ABV2081" s="0"/>
      <c r="ABW2081" s="0"/>
      <c r="ABX2081" s="0"/>
      <c r="ABY2081" s="0"/>
      <c r="ABZ2081" s="0"/>
      <c r="ACA2081" s="0"/>
      <c r="ACB2081" s="0"/>
      <c r="ACC2081" s="0"/>
      <c r="ACD2081" s="0"/>
      <c r="ACE2081" s="0"/>
      <c r="ACF2081" s="0"/>
      <c r="ACG2081" s="0"/>
      <c r="ACH2081" s="0"/>
      <c r="ACI2081" s="0"/>
      <c r="ACJ2081" s="0"/>
      <c r="ACK2081" s="0"/>
      <c r="ACL2081" s="0"/>
      <c r="ACM2081" s="0"/>
      <c r="ACN2081" s="0"/>
      <c r="ACO2081" s="0"/>
      <c r="ACP2081" s="0"/>
      <c r="ACQ2081" s="0"/>
      <c r="ACR2081" s="0"/>
      <c r="ACS2081" s="0"/>
      <c r="ACT2081" s="0"/>
      <c r="ACU2081" s="0"/>
      <c r="ACV2081" s="0"/>
      <c r="ACW2081" s="0"/>
      <c r="ACX2081" s="0"/>
      <c r="ACY2081" s="0"/>
      <c r="ACZ2081" s="0"/>
      <c r="ADA2081" s="0"/>
      <c r="ADB2081" s="0"/>
      <c r="ADC2081" s="0"/>
      <c r="ADD2081" s="0"/>
      <c r="ADE2081" s="0"/>
      <c r="ADF2081" s="0"/>
      <c r="ADG2081" s="0"/>
      <c r="ADH2081" s="0"/>
      <c r="ADI2081" s="0"/>
      <c r="ADJ2081" s="0"/>
      <c r="ADK2081" s="0"/>
      <c r="ADL2081" s="0"/>
      <c r="ADM2081" s="0"/>
      <c r="ADN2081" s="0"/>
      <c r="ADO2081" s="0"/>
      <c r="ADP2081" s="0"/>
      <c r="ADQ2081" s="0"/>
      <c r="ADR2081" s="0"/>
      <c r="ADS2081" s="0"/>
      <c r="ADT2081" s="0"/>
      <c r="ADU2081" s="0"/>
      <c r="ADV2081" s="0"/>
      <c r="ADW2081" s="0"/>
      <c r="ADX2081" s="0"/>
      <c r="ADY2081" s="0"/>
      <c r="ADZ2081" s="0"/>
      <c r="AEA2081" s="0"/>
      <c r="AEB2081" s="0"/>
      <c r="AEC2081" s="0"/>
      <c r="AED2081" s="0"/>
      <c r="AEE2081" s="0"/>
      <c r="AEF2081" s="0"/>
      <c r="AEG2081" s="0"/>
      <c r="AEH2081" s="0"/>
      <c r="AEI2081" s="0"/>
      <c r="AEJ2081" s="0"/>
      <c r="AEK2081" s="0"/>
      <c r="AEL2081" s="0"/>
      <c r="AEM2081" s="0"/>
      <c r="AEN2081" s="0"/>
      <c r="AEO2081" s="0"/>
      <c r="AEP2081" s="0"/>
      <c r="AEQ2081" s="0"/>
      <c r="AER2081" s="0"/>
      <c r="AES2081" s="0"/>
      <c r="AET2081" s="0"/>
      <c r="AEU2081" s="0"/>
      <c r="AEV2081" s="0"/>
      <c r="AEW2081" s="0"/>
      <c r="AEX2081" s="0"/>
      <c r="AEY2081" s="0"/>
      <c r="AEZ2081" s="0"/>
      <c r="AFA2081" s="0"/>
      <c r="AFB2081" s="0"/>
      <c r="AFC2081" s="0"/>
      <c r="AFD2081" s="0"/>
      <c r="AFE2081" s="0"/>
      <c r="AFF2081" s="0"/>
      <c r="AFG2081" s="0"/>
      <c r="AFH2081" s="0"/>
      <c r="AFI2081" s="0"/>
      <c r="AFJ2081" s="0"/>
      <c r="AFK2081" s="0"/>
      <c r="AFL2081" s="0"/>
      <c r="AFM2081" s="0"/>
      <c r="AFN2081" s="0"/>
      <c r="AFO2081" s="0"/>
      <c r="AFP2081" s="0"/>
      <c r="AFQ2081" s="0"/>
      <c r="AFR2081" s="0"/>
      <c r="AFS2081" s="0"/>
      <c r="AFT2081" s="0"/>
      <c r="AFU2081" s="0"/>
      <c r="AFV2081" s="0"/>
      <c r="AFW2081" s="0"/>
      <c r="AFX2081" s="0"/>
      <c r="AFY2081" s="0"/>
      <c r="AFZ2081" s="0"/>
      <c r="AGA2081" s="0"/>
      <c r="AGB2081" s="0"/>
      <c r="AGC2081" s="0"/>
      <c r="AGD2081" s="0"/>
      <c r="AGE2081" s="0"/>
      <c r="AGF2081" s="0"/>
      <c r="AGG2081" s="0"/>
      <c r="AGH2081" s="0"/>
      <c r="AGI2081" s="0"/>
      <c r="AGJ2081" s="0"/>
      <c r="AGK2081" s="0"/>
      <c r="AGL2081" s="0"/>
      <c r="AGM2081" s="0"/>
      <c r="AGN2081" s="0"/>
      <c r="AGO2081" s="0"/>
      <c r="AGP2081" s="0"/>
      <c r="AGQ2081" s="0"/>
      <c r="AGR2081" s="0"/>
      <c r="AGS2081" s="0"/>
      <c r="AGT2081" s="0"/>
      <c r="AGU2081" s="0"/>
      <c r="AGV2081" s="0"/>
      <c r="AGW2081" s="0"/>
      <c r="AGX2081" s="0"/>
      <c r="AGY2081" s="0"/>
      <c r="AGZ2081" s="0"/>
      <c r="AHA2081" s="0"/>
      <c r="AHB2081" s="0"/>
      <c r="AHC2081" s="0"/>
      <c r="AHD2081" s="0"/>
      <c r="AHE2081" s="0"/>
      <c r="AHF2081" s="0"/>
      <c r="AHG2081" s="0"/>
      <c r="AHH2081" s="0"/>
      <c r="AHI2081" s="0"/>
      <c r="AHJ2081" s="0"/>
      <c r="AHK2081" s="0"/>
      <c r="AHL2081" s="0"/>
      <c r="AHM2081" s="0"/>
      <c r="AHN2081" s="0"/>
      <c r="AHO2081" s="0"/>
      <c r="AHP2081" s="0"/>
      <c r="AHQ2081" s="0"/>
      <c r="AHR2081" s="0"/>
      <c r="AHS2081" s="0"/>
      <c r="AHT2081" s="0"/>
      <c r="AHU2081" s="0"/>
      <c r="AHV2081" s="0"/>
      <c r="AHW2081" s="0"/>
      <c r="AHX2081" s="0"/>
      <c r="AHY2081" s="0"/>
      <c r="AHZ2081" s="0"/>
      <c r="AIA2081" s="0"/>
      <c r="AIB2081" s="0"/>
      <c r="AIC2081" s="0"/>
      <c r="AID2081" s="0"/>
      <c r="AIE2081" s="0"/>
      <c r="AIF2081" s="0"/>
      <c r="AIG2081" s="0"/>
      <c r="AIH2081" s="0"/>
      <c r="AII2081" s="0"/>
      <c r="AIJ2081" s="0"/>
      <c r="AIK2081" s="0"/>
      <c r="AIL2081" s="0"/>
      <c r="AIM2081" s="0"/>
      <c r="AIN2081" s="0"/>
      <c r="AIO2081" s="0"/>
      <c r="AIP2081" s="0"/>
      <c r="AIQ2081" s="0"/>
      <c r="AIR2081" s="0"/>
      <c r="AIS2081" s="0"/>
      <c r="AIT2081" s="0"/>
      <c r="AIU2081" s="0"/>
      <c r="AIV2081" s="0"/>
      <c r="AIW2081" s="0"/>
      <c r="AIX2081" s="0"/>
      <c r="AIY2081" s="0"/>
      <c r="AIZ2081" s="0"/>
      <c r="AJA2081" s="0"/>
      <c r="AJB2081" s="0"/>
      <c r="AJC2081" s="0"/>
      <c r="AJD2081" s="0"/>
      <c r="AJE2081" s="0"/>
      <c r="AJF2081" s="0"/>
      <c r="AJG2081" s="0"/>
      <c r="AJH2081" s="0"/>
      <c r="AJI2081" s="0"/>
      <c r="AJJ2081" s="0"/>
      <c r="AJK2081" s="0"/>
      <c r="AJL2081" s="0"/>
      <c r="AJM2081" s="0"/>
      <c r="AJN2081" s="0"/>
      <c r="AJO2081" s="0"/>
      <c r="AJP2081" s="0"/>
      <c r="AJQ2081" s="0"/>
      <c r="AJR2081" s="0"/>
      <c r="AJS2081" s="0"/>
      <c r="AJT2081" s="0"/>
      <c r="AJU2081" s="0"/>
      <c r="AJV2081" s="0"/>
      <c r="AJW2081" s="0"/>
      <c r="AJX2081" s="0"/>
      <c r="AJY2081" s="0"/>
      <c r="AJZ2081" s="0"/>
      <c r="AKA2081" s="0"/>
      <c r="AKB2081" s="0"/>
      <c r="AKC2081" s="0"/>
      <c r="AKD2081" s="0"/>
      <c r="AKE2081" s="0"/>
      <c r="AKF2081" s="0"/>
      <c r="AKG2081" s="0"/>
      <c r="AKH2081" s="0"/>
      <c r="AKI2081" s="0"/>
      <c r="AKJ2081" s="0"/>
      <c r="AKK2081" s="0"/>
      <c r="AKL2081" s="0"/>
      <c r="AKM2081" s="0"/>
      <c r="AKN2081" s="0"/>
      <c r="AKO2081" s="0"/>
      <c r="AKP2081" s="0"/>
      <c r="AKQ2081" s="0"/>
      <c r="AKR2081" s="0"/>
      <c r="AKS2081" s="0"/>
      <c r="AKT2081" s="0"/>
      <c r="AKU2081" s="0"/>
      <c r="AKV2081" s="0"/>
      <c r="AKW2081" s="0"/>
      <c r="AKX2081" s="0"/>
      <c r="AKY2081" s="0"/>
      <c r="AKZ2081" s="0"/>
      <c r="ALA2081" s="0"/>
      <c r="ALB2081" s="0"/>
      <c r="ALC2081" s="0"/>
      <c r="ALD2081" s="0"/>
      <c r="ALE2081" s="0"/>
      <c r="ALF2081" s="0"/>
      <c r="ALG2081" s="0"/>
      <c r="ALH2081" s="0"/>
      <c r="ALI2081" s="0"/>
      <c r="ALJ2081" s="0"/>
      <c r="ALK2081" s="0"/>
      <c r="ALL2081" s="0"/>
      <c r="ALM2081" s="0"/>
      <c r="ALN2081" s="0"/>
      <c r="ALO2081" s="0"/>
      <c r="ALP2081" s="0"/>
      <c r="ALQ2081" s="0"/>
      <c r="ALR2081" s="0"/>
      <c r="ALS2081" s="0"/>
      <c r="ALT2081" s="0"/>
      <c r="ALU2081" s="0"/>
      <c r="ALV2081" s="0"/>
      <c r="ALW2081" s="0"/>
      <c r="ALX2081" s="0"/>
      <c r="ALY2081" s="0"/>
      <c r="ALZ2081" s="0"/>
      <c r="AMA2081" s="0"/>
      <c r="AMB2081" s="0"/>
      <c r="AMC2081" s="0"/>
      <c r="AMD2081" s="0"/>
      <c r="AME2081" s="0"/>
      <c r="AMF2081" s="0"/>
      <c r="AMG2081" s="0"/>
      <c r="AMH2081" s="0"/>
      <c r="AMI2081" s="0"/>
    </row>
    <row r="2082" customFormat="false" ht="12.75" hidden="false" customHeight="true" outlineLevel="0" collapsed="false">
      <c r="A2082" s="27" t="s">
        <v>3876</v>
      </c>
      <c r="B2082" s="27" t="s">
        <v>1094</v>
      </c>
      <c r="C2082" s="28" t="s">
        <v>41</v>
      </c>
      <c r="D2082" s="27" t="s">
        <v>3621</v>
      </c>
      <c r="E2082" s="27"/>
      <c r="F2082" s="29" t="s">
        <v>3877</v>
      </c>
      <c r="G2082" s="30" t="n">
        <v>92200</v>
      </c>
      <c r="H2082" s="31" t="s">
        <v>3626</v>
      </c>
      <c r="I2082" s="32" t="n">
        <v>147452544</v>
      </c>
      <c r="J2082" s="33" t="n">
        <v>409</v>
      </c>
      <c r="K2082" s="33" t="n">
        <v>1</v>
      </c>
      <c r="L2082" s="34"/>
      <c r="M2082" s="35"/>
      <c r="N2082" s="36"/>
      <c r="O2082" s="37"/>
      <c r="P2082" s="37"/>
      <c r="Q2082" s="37"/>
      <c r="R2082" s="37"/>
      <c r="S2082" s="37"/>
      <c r="T2082" s="37"/>
      <c r="U2082" s="37"/>
      <c r="V2082" s="37"/>
      <c r="W2082" s="37"/>
      <c r="X2082" s="37"/>
      <c r="Y2082" s="39"/>
      <c r="Z2082" s="39"/>
      <c r="AA2082" s="28"/>
      <c r="AB2082" s="2"/>
      <c r="AC2082" s="2"/>
      <c r="AD2082" s="2"/>
      <c r="AE2082" s="2"/>
    </row>
    <row r="2083" customFormat="false" ht="12.75" hidden="false" customHeight="true" outlineLevel="0" collapsed="false">
      <c r="A2083" s="27" t="s">
        <v>3878</v>
      </c>
      <c r="B2083" s="27" t="s">
        <v>182</v>
      </c>
      <c r="C2083" s="28" t="s">
        <v>41</v>
      </c>
      <c r="D2083" s="27" t="s">
        <v>3621</v>
      </c>
      <c r="E2083" s="27"/>
      <c r="F2083" s="29" t="s">
        <v>3879</v>
      </c>
      <c r="G2083" s="30" t="n">
        <v>92200</v>
      </c>
      <c r="H2083" s="31" t="s">
        <v>3626</v>
      </c>
      <c r="I2083" s="32" t="n">
        <v>147454677</v>
      </c>
      <c r="J2083" s="33" t="n">
        <v>512</v>
      </c>
      <c r="K2083" s="33" t="n">
        <v>20</v>
      </c>
      <c r="L2083" s="34" t="n">
        <v>2</v>
      </c>
      <c r="M2083" s="35" t="s">
        <v>164</v>
      </c>
      <c r="N2083" s="36" t="s">
        <v>2272</v>
      </c>
      <c r="O2083" s="41"/>
      <c r="P2083" s="41"/>
      <c r="Q2083" s="41"/>
      <c r="R2083" s="41"/>
      <c r="S2083" s="41"/>
      <c r="T2083" s="41"/>
      <c r="U2083" s="41"/>
      <c r="V2083" s="41"/>
      <c r="W2083" s="41"/>
      <c r="X2083" s="41"/>
      <c r="Y2083" s="39" t="n">
        <v>45187.4791666667</v>
      </c>
      <c r="Z2083" s="39"/>
      <c r="AA2083" s="28" t="n">
        <v>3</v>
      </c>
      <c r="AB2083" s="2"/>
      <c r="AC2083" s="2"/>
      <c r="AD2083" s="2"/>
      <c r="AE2083" s="2"/>
    </row>
    <row r="2084" customFormat="false" ht="12.75" hidden="false" customHeight="true" outlineLevel="0" collapsed="false">
      <c r="A2084" s="27" t="s">
        <v>3880</v>
      </c>
      <c r="B2084" s="27" t="s">
        <v>124</v>
      </c>
      <c r="C2084" s="28" t="s">
        <v>41</v>
      </c>
      <c r="D2084" s="27" t="s">
        <v>3621</v>
      </c>
      <c r="E2084" s="27"/>
      <c r="F2084" s="29" t="s">
        <v>3879</v>
      </c>
      <c r="G2084" s="30" t="n">
        <v>92200</v>
      </c>
      <c r="H2084" s="31" t="s">
        <v>3626</v>
      </c>
      <c r="I2084" s="32" t="n">
        <v>147454677</v>
      </c>
      <c r="J2084" s="33" t="n">
        <v>405</v>
      </c>
      <c r="K2084" s="33" t="n">
        <v>17</v>
      </c>
      <c r="L2084" s="34" t="n">
        <v>1</v>
      </c>
      <c r="M2084" s="35" t="s">
        <v>164</v>
      </c>
      <c r="N2084" s="36" t="s">
        <v>3881</v>
      </c>
      <c r="O2084" s="41"/>
      <c r="P2084" s="41"/>
      <c r="Q2084" s="41"/>
      <c r="R2084" s="41"/>
      <c r="S2084" s="41"/>
      <c r="T2084" s="41"/>
      <c r="U2084" s="41"/>
      <c r="V2084" s="41"/>
      <c r="W2084" s="41"/>
      <c r="X2084" s="41"/>
      <c r="Y2084" s="39" t="n">
        <v>45187.3958333333</v>
      </c>
      <c r="Z2084" s="39"/>
      <c r="AA2084" s="28" t="n">
        <v>3</v>
      </c>
      <c r="AB2084" s="2"/>
      <c r="AC2084" s="2"/>
      <c r="AD2084" s="2"/>
      <c r="AE2084" s="2"/>
    </row>
    <row r="2085" customFormat="false" ht="12.75" hidden="false" customHeight="true" outlineLevel="0" collapsed="false">
      <c r="A2085" s="27" t="s">
        <v>3882</v>
      </c>
      <c r="B2085" s="27" t="s">
        <v>669</v>
      </c>
      <c r="C2085" s="28" t="s">
        <v>33</v>
      </c>
      <c r="D2085" s="27" t="s">
        <v>3621</v>
      </c>
      <c r="E2085" s="27"/>
      <c r="F2085" s="29" t="s">
        <v>3883</v>
      </c>
      <c r="G2085" s="30" t="n">
        <v>92200</v>
      </c>
      <c r="H2085" s="31" t="s">
        <v>3626</v>
      </c>
      <c r="I2085" s="32" t="n">
        <v>146241706</v>
      </c>
      <c r="J2085" s="33" t="n">
        <v>80</v>
      </c>
      <c r="K2085" s="33" t="n">
        <v>1</v>
      </c>
      <c r="L2085" s="34"/>
      <c r="M2085" s="35"/>
      <c r="N2085" s="36"/>
      <c r="O2085" s="37"/>
      <c r="P2085" s="37"/>
      <c r="Q2085" s="37"/>
      <c r="R2085" s="37"/>
      <c r="S2085" s="37"/>
      <c r="T2085" s="37"/>
      <c r="U2085" s="37"/>
      <c r="V2085" s="37"/>
      <c r="W2085" s="37"/>
      <c r="X2085" s="37"/>
      <c r="Y2085" s="39"/>
      <c r="Z2085" s="39"/>
      <c r="AA2085" s="28"/>
      <c r="AB2085" s="2"/>
      <c r="AC2085" s="2" t="s">
        <v>38</v>
      </c>
      <c r="AD2085" s="2"/>
      <c r="AE2085" s="2"/>
    </row>
    <row r="2086" customFormat="false" ht="12.75" hidden="false" customHeight="true" outlineLevel="0" collapsed="false">
      <c r="A2086" s="27" t="s">
        <v>3884</v>
      </c>
      <c r="B2086" s="27" t="s">
        <v>1299</v>
      </c>
      <c r="C2086" s="28" t="s">
        <v>33</v>
      </c>
      <c r="D2086" s="27" t="s">
        <v>3621</v>
      </c>
      <c r="E2086" s="27"/>
      <c r="F2086" s="29" t="s">
        <v>3885</v>
      </c>
      <c r="G2086" s="30" t="n">
        <v>92200</v>
      </c>
      <c r="H2086" s="31" t="s">
        <v>3626</v>
      </c>
      <c r="I2086" s="32" t="n">
        <v>146247449</v>
      </c>
      <c r="J2086" s="33" t="n">
        <v>77</v>
      </c>
      <c r="K2086" s="33" t="n">
        <v>1</v>
      </c>
      <c r="L2086" s="34"/>
      <c r="M2086" s="35"/>
      <c r="N2086" s="36"/>
      <c r="O2086" s="37"/>
      <c r="P2086" s="37"/>
      <c r="Q2086" s="37"/>
      <c r="R2086" s="37"/>
      <c r="S2086" s="37"/>
      <c r="T2086" s="37"/>
      <c r="U2086" s="37"/>
      <c r="V2086" s="37"/>
      <c r="W2086" s="37"/>
      <c r="X2086" s="37"/>
      <c r="Y2086" s="39"/>
      <c r="Z2086" s="39"/>
      <c r="AA2086" s="28"/>
      <c r="AB2086" s="2"/>
      <c r="AC2086" s="2" t="s">
        <v>1478</v>
      </c>
      <c r="AD2086" s="2"/>
      <c r="AE2086" s="2"/>
    </row>
    <row r="2087" customFormat="false" ht="12.75" hidden="false" customHeight="true" outlineLevel="0" collapsed="false">
      <c r="A2087" s="40"/>
      <c r="B2087" s="27"/>
    </row>
    <row r="2088" customFormat="false" ht="12.75" hidden="false" customHeight="true" outlineLevel="0" collapsed="false">
      <c r="A2088" s="40"/>
      <c r="B2088" s="27"/>
    </row>
    <row r="2089" customFormat="false" ht="12.75" hidden="false" customHeight="true" outlineLevel="0" collapsed="false">
      <c r="A2089" s="40"/>
      <c r="B2089" s="27"/>
    </row>
    <row r="2090" customFormat="false" ht="12.75" hidden="false" customHeight="true" outlineLevel="0" collapsed="false">
      <c r="A2090" s="40"/>
      <c r="B2090" s="27"/>
    </row>
    <row r="2091" customFormat="false" ht="12.75" hidden="false" customHeight="true" outlineLevel="0" collapsed="false">
      <c r="A2091" s="40"/>
      <c r="B2091" s="27"/>
    </row>
    <row r="2092" customFormat="false" ht="12.75" hidden="false" customHeight="true" outlineLevel="0" collapsed="false">
      <c r="A2092" s="40"/>
      <c r="B2092" s="27"/>
    </row>
    <row r="2093" customFormat="false" ht="12.75" hidden="false" customHeight="true" outlineLevel="0" collapsed="false">
      <c r="A2093" s="40"/>
      <c r="B2093" s="27"/>
    </row>
    <row r="2094" customFormat="false" ht="12.75" hidden="false" customHeight="true" outlineLevel="0" collapsed="false">
      <c r="A2094" s="40"/>
      <c r="B2094" s="27"/>
    </row>
    <row r="2095" customFormat="false" ht="12.75" hidden="false" customHeight="true" outlineLevel="0" collapsed="false">
      <c r="A2095" s="40"/>
      <c r="B2095" s="27"/>
    </row>
    <row r="2096" customFormat="false" ht="12.75" hidden="false" customHeight="true" outlineLevel="0" collapsed="false">
      <c r="A2096" s="40"/>
      <c r="B2096" s="27"/>
    </row>
    <row r="2097" customFormat="false" ht="12.75" hidden="false" customHeight="true" outlineLevel="0" collapsed="false">
      <c r="A2097" s="40"/>
      <c r="B2097" s="27"/>
    </row>
    <row r="2098" customFormat="false" ht="12.75" hidden="false" customHeight="true" outlineLevel="0" collapsed="false">
      <c r="A2098" s="40"/>
      <c r="B2098" s="27"/>
    </row>
    <row r="2099" customFormat="false" ht="12.75" hidden="false" customHeight="true" outlineLevel="0" collapsed="false">
      <c r="A2099" s="40"/>
      <c r="B2099" s="27"/>
    </row>
    <row r="2100" customFormat="false" ht="12.75" hidden="false" customHeight="true" outlineLevel="0" collapsed="false">
      <c r="A2100" s="40"/>
      <c r="B2100" s="27"/>
    </row>
    <row r="2101" customFormat="false" ht="12.75" hidden="false" customHeight="true" outlineLevel="0" collapsed="false">
      <c r="A2101" s="40"/>
      <c r="B2101" s="27"/>
    </row>
    <row r="2102" customFormat="false" ht="12.75" hidden="false" customHeight="true" outlineLevel="0" collapsed="false">
      <c r="A2102" s="40"/>
      <c r="B2102" s="27"/>
    </row>
    <row r="2103" customFormat="false" ht="12.75" hidden="false" customHeight="true" outlineLevel="0" collapsed="false">
      <c r="A2103" s="40"/>
      <c r="B2103" s="27"/>
    </row>
    <row r="2104" customFormat="false" ht="12.75" hidden="false" customHeight="true" outlineLevel="0" collapsed="false">
      <c r="A2104" s="40"/>
      <c r="B2104" s="27"/>
    </row>
    <row r="2105" customFormat="false" ht="12.75" hidden="false" customHeight="true" outlineLevel="0" collapsed="false">
      <c r="A2105" s="40"/>
      <c r="B2105" s="27"/>
    </row>
    <row r="2106" customFormat="false" ht="12.75" hidden="false" customHeight="true" outlineLevel="0" collapsed="false">
      <c r="A2106" s="40"/>
      <c r="B2106" s="27"/>
    </row>
    <row r="2107" customFormat="false" ht="12.75" hidden="false" customHeight="true" outlineLevel="0" collapsed="false">
      <c r="A2107" s="40"/>
      <c r="B2107" s="27"/>
    </row>
    <row r="2108" customFormat="false" ht="12.75" hidden="false" customHeight="true" outlineLevel="0" collapsed="false">
      <c r="A2108" s="40"/>
      <c r="B2108" s="27"/>
    </row>
    <row r="2109" customFormat="false" ht="12.75" hidden="false" customHeight="true" outlineLevel="0" collapsed="false">
      <c r="A2109" s="40"/>
      <c r="B2109" s="27"/>
    </row>
    <row r="2110" customFormat="false" ht="12.75" hidden="false" customHeight="true" outlineLevel="0" collapsed="false">
      <c r="A2110" s="40"/>
      <c r="B2110" s="27"/>
    </row>
    <row r="2111" customFormat="false" ht="12.75" hidden="false" customHeight="true" outlineLevel="0" collapsed="false">
      <c r="A2111" s="40"/>
      <c r="B2111" s="27"/>
    </row>
    <row r="2112" customFormat="false" ht="12.75" hidden="false" customHeight="true" outlineLevel="0" collapsed="false">
      <c r="A2112" s="40"/>
      <c r="B2112" s="27"/>
    </row>
    <row r="2113" customFormat="false" ht="12.75" hidden="false" customHeight="true" outlineLevel="0" collapsed="false">
      <c r="A2113" s="40"/>
      <c r="B2113" s="27"/>
    </row>
    <row r="2114" customFormat="false" ht="12.75" hidden="false" customHeight="true" outlineLevel="0" collapsed="false">
      <c r="A2114" s="40"/>
      <c r="B2114" s="27"/>
    </row>
    <row r="2115" customFormat="false" ht="12.75" hidden="false" customHeight="true" outlineLevel="0" collapsed="false">
      <c r="A2115" s="40"/>
      <c r="B2115" s="27"/>
    </row>
    <row r="2116" customFormat="false" ht="12.75" hidden="false" customHeight="true" outlineLevel="0" collapsed="false">
      <c r="A2116" s="40"/>
      <c r="B2116" s="27"/>
    </row>
    <row r="2117" customFormat="false" ht="12.75" hidden="false" customHeight="true" outlineLevel="0" collapsed="false">
      <c r="A2117" s="40"/>
      <c r="B2117" s="27"/>
    </row>
    <row r="2118" customFormat="false" ht="12.75" hidden="false" customHeight="true" outlineLevel="0" collapsed="false">
      <c r="A2118" s="40"/>
      <c r="B2118" s="27"/>
    </row>
    <row r="2119" customFormat="false" ht="12.75" hidden="false" customHeight="true" outlineLevel="0" collapsed="false">
      <c r="A2119" s="40"/>
      <c r="B2119" s="27"/>
    </row>
    <row r="2120" customFormat="false" ht="12.75" hidden="false" customHeight="true" outlineLevel="0" collapsed="false">
      <c r="A2120" s="40"/>
      <c r="B2120" s="27"/>
    </row>
    <row r="2121" customFormat="false" ht="12.75" hidden="false" customHeight="true" outlineLevel="0" collapsed="false">
      <c r="A2121" s="40"/>
      <c r="B2121" s="27"/>
    </row>
    <row r="2122" customFormat="false" ht="12.75" hidden="false" customHeight="true" outlineLevel="0" collapsed="false">
      <c r="A2122" s="40"/>
      <c r="B2122" s="27"/>
    </row>
    <row r="2123" customFormat="false" ht="12.75" hidden="false" customHeight="true" outlineLevel="0" collapsed="false">
      <c r="A2123" s="40"/>
      <c r="B2123" s="27"/>
    </row>
    <row r="2124" customFormat="false" ht="12.75" hidden="false" customHeight="true" outlineLevel="0" collapsed="false">
      <c r="A2124" s="40"/>
      <c r="B2124" s="27"/>
    </row>
    <row r="2125" customFormat="false" ht="12.75" hidden="false" customHeight="true" outlineLevel="0" collapsed="false">
      <c r="A2125" s="40"/>
      <c r="B2125" s="27"/>
    </row>
    <row r="2126" customFormat="false" ht="12.75" hidden="false" customHeight="true" outlineLevel="0" collapsed="false">
      <c r="A2126" s="40"/>
      <c r="B2126" s="27"/>
    </row>
    <row r="2127" customFormat="false" ht="12.75" hidden="false" customHeight="true" outlineLevel="0" collapsed="false">
      <c r="A2127" s="40"/>
      <c r="B2127" s="27"/>
    </row>
    <row r="2128" customFormat="false" ht="12.75" hidden="false" customHeight="true" outlineLevel="0" collapsed="false">
      <c r="A2128" s="40"/>
      <c r="B2128" s="27"/>
    </row>
    <row r="2129" customFormat="false" ht="12.75" hidden="false" customHeight="true" outlineLevel="0" collapsed="false">
      <c r="A2129" s="40"/>
      <c r="B2129" s="27"/>
    </row>
    <row r="2130" customFormat="false" ht="12.75" hidden="false" customHeight="true" outlineLevel="0" collapsed="false">
      <c r="A2130" s="40"/>
      <c r="B2130" s="27"/>
    </row>
    <row r="2131" customFormat="false" ht="12.75" hidden="false" customHeight="true" outlineLevel="0" collapsed="false">
      <c r="A2131" s="40"/>
      <c r="B2131" s="27"/>
    </row>
    <row r="2132" customFormat="false" ht="12.75" hidden="false" customHeight="true" outlineLevel="0" collapsed="false">
      <c r="A2132" s="40"/>
      <c r="B2132" s="27"/>
    </row>
    <row r="2133" customFormat="false" ht="12.75" hidden="false" customHeight="true" outlineLevel="0" collapsed="false">
      <c r="A2133" s="40"/>
      <c r="B2133" s="27"/>
    </row>
    <row r="2134" customFormat="false" ht="12.75" hidden="false" customHeight="true" outlineLevel="0" collapsed="false">
      <c r="A2134" s="40"/>
      <c r="B2134" s="27"/>
    </row>
    <row r="2135" customFormat="false" ht="12.75" hidden="false" customHeight="true" outlineLevel="0" collapsed="false">
      <c r="A2135" s="40"/>
      <c r="B2135" s="27"/>
    </row>
    <row r="2136" customFormat="false" ht="12.75" hidden="false" customHeight="true" outlineLevel="0" collapsed="false">
      <c r="A2136" s="40"/>
      <c r="B2136" s="27"/>
    </row>
    <row r="2137" customFormat="false" ht="12.75" hidden="false" customHeight="true" outlineLevel="0" collapsed="false">
      <c r="A2137" s="40"/>
      <c r="B2137" s="27"/>
    </row>
    <row r="2138" customFormat="false" ht="12.75" hidden="false" customHeight="true" outlineLevel="0" collapsed="false">
      <c r="A2138" s="40"/>
      <c r="B2138" s="27"/>
    </row>
    <row r="2139" customFormat="false" ht="12.75" hidden="false" customHeight="true" outlineLevel="0" collapsed="false">
      <c r="A2139" s="40"/>
      <c r="B2139" s="27"/>
    </row>
    <row r="2140" customFormat="false" ht="12.75" hidden="false" customHeight="true" outlineLevel="0" collapsed="false">
      <c r="A2140" s="40"/>
      <c r="B2140" s="27"/>
    </row>
    <row r="2141" customFormat="false" ht="12.75" hidden="false" customHeight="true" outlineLevel="0" collapsed="false">
      <c r="A2141" s="40"/>
      <c r="B2141" s="27"/>
    </row>
    <row r="2142" customFormat="false" ht="12.75" hidden="false" customHeight="true" outlineLevel="0" collapsed="false">
      <c r="A2142" s="40"/>
      <c r="B2142" s="27"/>
    </row>
    <row r="2143" customFormat="false" ht="12.75" hidden="false" customHeight="true" outlineLevel="0" collapsed="false">
      <c r="A2143" s="40"/>
      <c r="B2143" s="27"/>
    </row>
    <row r="2144" customFormat="false" ht="12.75" hidden="false" customHeight="true" outlineLevel="0" collapsed="false">
      <c r="A2144" s="40"/>
      <c r="B2144" s="27"/>
    </row>
    <row r="2145" customFormat="false" ht="12.75" hidden="false" customHeight="true" outlineLevel="0" collapsed="false">
      <c r="A2145" s="40"/>
      <c r="B2145" s="27"/>
    </row>
    <row r="2146" customFormat="false" ht="12.75" hidden="false" customHeight="true" outlineLevel="0" collapsed="false">
      <c r="A2146" s="40"/>
      <c r="B2146" s="27"/>
    </row>
    <row r="2147" customFormat="false" ht="12.75" hidden="false" customHeight="true" outlineLevel="0" collapsed="false">
      <c r="A2147" s="40"/>
      <c r="B2147" s="27"/>
    </row>
    <row r="2148" customFormat="false" ht="12.75" hidden="false" customHeight="true" outlineLevel="0" collapsed="false">
      <c r="A2148" s="40"/>
      <c r="B2148" s="27"/>
    </row>
    <row r="2149" customFormat="false" ht="12.75" hidden="false" customHeight="true" outlineLevel="0" collapsed="false">
      <c r="A2149" s="40"/>
      <c r="B2149" s="27"/>
    </row>
    <row r="2150" customFormat="false" ht="12.75" hidden="false" customHeight="true" outlineLevel="0" collapsed="false">
      <c r="A2150" s="40"/>
      <c r="B2150" s="27"/>
    </row>
    <row r="2151" customFormat="false" ht="12.75" hidden="false" customHeight="true" outlineLevel="0" collapsed="false">
      <c r="A2151" s="40"/>
      <c r="B2151" s="27"/>
    </row>
    <row r="2152" customFormat="false" ht="12.75" hidden="false" customHeight="true" outlineLevel="0" collapsed="false">
      <c r="A2152" s="40"/>
      <c r="B2152" s="27"/>
    </row>
    <row r="2153" customFormat="false" ht="12.75" hidden="false" customHeight="true" outlineLevel="0" collapsed="false">
      <c r="A2153" s="40"/>
      <c r="B2153" s="27"/>
    </row>
    <row r="2154" customFormat="false" ht="12.75" hidden="false" customHeight="true" outlineLevel="0" collapsed="false">
      <c r="A2154" s="40"/>
      <c r="B2154" s="27"/>
    </row>
    <row r="2155" customFormat="false" ht="12.75" hidden="false" customHeight="true" outlineLevel="0" collapsed="false">
      <c r="A2155" s="40"/>
      <c r="B2155" s="27"/>
    </row>
    <row r="2156" customFormat="false" ht="12.75" hidden="false" customHeight="true" outlineLevel="0" collapsed="false">
      <c r="A2156" s="40"/>
      <c r="B2156" s="27"/>
    </row>
    <row r="2157" customFormat="false" ht="12.75" hidden="false" customHeight="true" outlineLevel="0" collapsed="false">
      <c r="A2157" s="40"/>
      <c r="B2157" s="27"/>
    </row>
    <row r="2158" customFormat="false" ht="12.75" hidden="false" customHeight="true" outlineLevel="0" collapsed="false">
      <c r="A2158" s="40"/>
      <c r="B2158" s="27"/>
    </row>
    <row r="2159" customFormat="false" ht="12.75" hidden="false" customHeight="true" outlineLevel="0" collapsed="false">
      <c r="A2159" s="40"/>
      <c r="B2159" s="27"/>
    </row>
    <row r="2160" customFormat="false" ht="12.75" hidden="false" customHeight="true" outlineLevel="0" collapsed="false">
      <c r="A2160" s="40"/>
      <c r="B2160" s="27"/>
    </row>
    <row r="2161" customFormat="false" ht="12.75" hidden="false" customHeight="true" outlineLevel="0" collapsed="false">
      <c r="A2161" s="40"/>
      <c r="B2161" s="27"/>
    </row>
    <row r="2162" customFormat="false" ht="12.75" hidden="false" customHeight="true" outlineLevel="0" collapsed="false">
      <c r="A2162" s="40"/>
      <c r="B2162" s="27"/>
    </row>
    <row r="2163" customFormat="false" ht="12.75" hidden="false" customHeight="true" outlineLevel="0" collapsed="false">
      <c r="A2163" s="40"/>
      <c r="B2163" s="27"/>
    </row>
    <row r="2164" customFormat="false" ht="12.75" hidden="false" customHeight="true" outlineLevel="0" collapsed="false">
      <c r="A2164" s="40"/>
      <c r="B2164" s="27"/>
    </row>
    <row r="2165" customFormat="false" ht="12.75" hidden="false" customHeight="true" outlineLevel="0" collapsed="false">
      <c r="A2165" s="40"/>
      <c r="B2165" s="27"/>
    </row>
    <row r="2166" customFormat="false" ht="12.75" hidden="false" customHeight="true" outlineLevel="0" collapsed="false">
      <c r="A2166" s="40"/>
      <c r="B2166" s="27"/>
    </row>
    <row r="2167" customFormat="false" ht="12.75" hidden="false" customHeight="true" outlineLevel="0" collapsed="false">
      <c r="A2167" s="40"/>
      <c r="B2167" s="27"/>
    </row>
    <row r="2168" customFormat="false" ht="12.75" hidden="false" customHeight="true" outlineLevel="0" collapsed="false">
      <c r="A2168" s="40"/>
      <c r="B2168" s="27"/>
    </row>
    <row r="2169" customFormat="false" ht="12.75" hidden="false" customHeight="true" outlineLevel="0" collapsed="false">
      <c r="A2169" s="40"/>
      <c r="B2169" s="27"/>
    </row>
    <row r="2170" customFormat="false" ht="12.75" hidden="false" customHeight="true" outlineLevel="0" collapsed="false">
      <c r="A2170" s="40"/>
      <c r="B2170" s="27"/>
    </row>
    <row r="2171" customFormat="false" ht="12.75" hidden="false" customHeight="true" outlineLevel="0" collapsed="false">
      <c r="A2171" s="40"/>
      <c r="B2171" s="27"/>
    </row>
    <row r="2172" customFormat="false" ht="12.75" hidden="false" customHeight="true" outlineLevel="0" collapsed="false">
      <c r="A2172" s="40"/>
      <c r="B2172" s="27"/>
    </row>
    <row r="2173" customFormat="false" ht="12.75" hidden="false" customHeight="true" outlineLevel="0" collapsed="false">
      <c r="A2173" s="40"/>
      <c r="B2173" s="27"/>
    </row>
    <row r="2174" customFormat="false" ht="12.75" hidden="false" customHeight="true" outlineLevel="0" collapsed="false">
      <c r="A2174" s="40"/>
      <c r="B2174" s="27"/>
    </row>
    <row r="2175" customFormat="false" ht="12.75" hidden="false" customHeight="true" outlineLevel="0" collapsed="false">
      <c r="A2175" s="40"/>
      <c r="B2175" s="27"/>
    </row>
    <row r="2176" customFormat="false" ht="12.75" hidden="false" customHeight="true" outlineLevel="0" collapsed="false">
      <c r="A2176" s="40"/>
      <c r="B2176" s="27"/>
    </row>
    <row r="2177" customFormat="false" ht="12.75" hidden="false" customHeight="true" outlineLevel="0" collapsed="false">
      <c r="A2177" s="40"/>
      <c r="B2177" s="27"/>
    </row>
    <row r="2178" customFormat="false" ht="12.75" hidden="false" customHeight="true" outlineLevel="0" collapsed="false">
      <c r="A2178" s="40"/>
      <c r="B2178" s="27"/>
    </row>
    <row r="2179" customFormat="false" ht="12.75" hidden="false" customHeight="true" outlineLevel="0" collapsed="false">
      <c r="A2179" s="40"/>
      <c r="B2179" s="27"/>
    </row>
    <row r="2180" customFormat="false" ht="12.75" hidden="false" customHeight="true" outlineLevel="0" collapsed="false">
      <c r="A2180" s="40"/>
      <c r="B2180" s="27"/>
    </row>
    <row r="2181" customFormat="false" ht="12.75" hidden="false" customHeight="true" outlineLevel="0" collapsed="false">
      <c r="A2181" s="40"/>
      <c r="B2181" s="27"/>
    </row>
    <row r="2182" customFormat="false" ht="12.75" hidden="false" customHeight="true" outlineLevel="0" collapsed="false">
      <c r="A2182" s="40"/>
      <c r="B2182" s="27"/>
    </row>
    <row r="2183" customFormat="false" ht="12.75" hidden="false" customHeight="true" outlineLevel="0" collapsed="false">
      <c r="A2183" s="40"/>
      <c r="B2183" s="27"/>
    </row>
    <row r="2184" customFormat="false" ht="12.75" hidden="false" customHeight="true" outlineLevel="0" collapsed="false">
      <c r="A2184" s="40"/>
      <c r="B2184" s="27"/>
    </row>
    <row r="2185" customFormat="false" ht="12.75" hidden="false" customHeight="true" outlineLevel="0" collapsed="false">
      <c r="A2185" s="40"/>
      <c r="B2185" s="27"/>
    </row>
    <row r="2186" customFormat="false" ht="12.75" hidden="false" customHeight="true" outlineLevel="0" collapsed="false">
      <c r="A2186" s="40"/>
      <c r="B2186" s="27"/>
    </row>
    <row r="2187" customFormat="false" ht="12.75" hidden="false" customHeight="true" outlineLevel="0" collapsed="false">
      <c r="A2187" s="40"/>
      <c r="B2187" s="27"/>
    </row>
    <row r="2188" customFormat="false" ht="12.75" hidden="false" customHeight="true" outlineLevel="0" collapsed="false">
      <c r="A2188" s="40"/>
      <c r="B2188" s="27"/>
    </row>
    <row r="2189" customFormat="false" ht="12.75" hidden="false" customHeight="true" outlineLevel="0" collapsed="false">
      <c r="A2189" s="40"/>
      <c r="B2189" s="27"/>
    </row>
    <row r="2190" customFormat="false" ht="12.75" hidden="false" customHeight="true" outlineLevel="0" collapsed="false">
      <c r="A2190" s="40"/>
      <c r="B2190" s="27"/>
    </row>
    <row r="2191" customFormat="false" ht="12.75" hidden="false" customHeight="true" outlineLevel="0" collapsed="false">
      <c r="A2191" s="40"/>
      <c r="B2191" s="27"/>
    </row>
    <row r="2192" customFormat="false" ht="12.75" hidden="false" customHeight="true" outlineLevel="0" collapsed="false">
      <c r="A2192" s="40"/>
      <c r="B2192" s="27"/>
    </row>
    <row r="2193" customFormat="false" ht="12.75" hidden="false" customHeight="true" outlineLevel="0" collapsed="false">
      <c r="A2193" s="40"/>
      <c r="B2193" s="27"/>
    </row>
    <row r="2194" customFormat="false" ht="12.75" hidden="false" customHeight="true" outlineLevel="0" collapsed="false">
      <c r="A2194" s="40"/>
      <c r="B2194" s="27"/>
    </row>
    <row r="2195" customFormat="false" ht="12.75" hidden="false" customHeight="true" outlineLevel="0" collapsed="false">
      <c r="A2195" s="40"/>
      <c r="B2195" s="27"/>
    </row>
    <row r="2196" customFormat="false" ht="12.75" hidden="false" customHeight="true" outlineLevel="0" collapsed="false">
      <c r="A2196" s="40"/>
      <c r="B2196" s="27"/>
    </row>
    <row r="2197" customFormat="false" ht="12.75" hidden="false" customHeight="true" outlineLevel="0" collapsed="false">
      <c r="A2197" s="40"/>
      <c r="B2197" s="27"/>
    </row>
    <row r="2198" customFormat="false" ht="12.75" hidden="false" customHeight="true" outlineLevel="0" collapsed="false">
      <c r="A2198" s="40"/>
      <c r="B2198" s="27"/>
    </row>
    <row r="2199" customFormat="false" ht="12.75" hidden="false" customHeight="true" outlineLevel="0" collapsed="false">
      <c r="A2199" s="40"/>
      <c r="B2199" s="27"/>
    </row>
    <row r="2200" customFormat="false" ht="12.75" hidden="false" customHeight="true" outlineLevel="0" collapsed="false">
      <c r="A2200" s="40"/>
      <c r="B2200" s="27"/>
    </row>
    <row r="2201" customFormat="false" ht="12.75" hidden="false" customHeight="true" outlineLevel="0" collapsed="false">
      <c r="A2201" s="40"/>
      <c r="B2201" s="27"/>
    </row>
    <row r="2202" customFormat="false" ht="12.75" hidden="false" customHeight="true" outlineLevel="0" collapsed="false">
      <c r="A2202" s="40"/>
      <c r="B2202" s="27"/>
    </row>
    <row r="2203" customFormat="false" ht="12.75" hidden="false" customHeight="true" outlineLevel="0" collapsed="false">
      <c r="A2203" s="40"/>
      <c r="B2203" s="27"/>
    </row>
    <row r="2204" customFormat="false" ht="12.75" hidden="false" customHeight="true" outlineLevel="0" collapsed="false">
      <c r="A2204" s="40"/>
      <c r="B2204" s="27"/>
    </row>
    <row r="2205" customFormat="false" ht="12.75" hidden="false" customHeight="true" outlineLevel="0" collapsed="false">
      <c r="A2205" s="40"/>
      <c r="B2205" s="27"/>
    </row>
    <row r="2206" customFormat="false" ht="12.75" hidden="false" customHeight="true" outlineLevel="0" collapsed="false">
      <c r="A2206" s="40"/>
      <c r="B2206" s="27"/>
    </row>
    <row r="2207" customFormat="false" ht="12.75" hidden="false" customHeight="true" outlineLevel="0" collapsed="false">
      <c r="A2207" s="40"/>
      <c r="B2207" s="27"/>
    </row>
    <row r="2208" customFormat="false" ht="12.75" hidden="false" customHeight="true" outlineLevel="0" collapsed="false">
      <c r="A2208" s="40"/>
      <c r="B2208" s="27"/>
    </row>
    <row r="2209" customFormat="false" ht="12.75" hidden="false" customHeight="true" outlineLevel="0" collapsed="false">
      <c r="A2209" s="40"/>
      <c r="B2209" s="27"/>
    </row>
    <row r="2210" customFormat="false" ht="12.75" hidden="false" customHeight="true" outlineLevel="0" collapsed="false">
      <c r="A2210" s="40"/>
      <c r="B2210" s="27"/>
    </row>
    <row r="2211" customFormat="false" ht="12.75" hidden="false" customHeight="true" outlineLevel="0" collapsed="false">
      <c r="A2211" s="40"/>
      <c r="B2211" s="27"/>
    </row>
    <row r="2212" customFormat="false" ht="12.75" hidden="false" customHeight="true" outlineLevel="0" collapsed="false">
      <c r="A2212" s="40"/>
      <c r="B2212" s="27"/>
    </row>
    <row r="2213" customFormat="false" ht="12.75" hidden="false" customHeight="true" outlineLevel="0" collapsed="false">
      <c r="A2213" s="40"/>
      <c r="B2213" s="27"/>
    </row>
    <row r="2214" customFormat="false" ht="12.75" hidden="false" customHeight="true" outlineLevel="0" collapsed="false">
      <c r="A2214" s="40"/>
      <c r="B2214" s="27"/>
    </row>
    <row r="2215" customFormat="false" ht="12.75" hidden="false" customHeight="true" outlineLevel="0" collapsed="false">
      <c r="A2215" s="40"/>
      <c r="B2215" s="27"/>
    </row>
    <row r="2216" customFormat="false" ht="12.75" hidden="false" customHeight="true" outlineLevel="0" collapsed="false">
      <c r="A2216" s="40"/>
      <c r="B2216" s="27"/>
    </row>
    <row r="2217" customFormat="false" ht="12.75" hidden="false" customHeight="true" outlineLevel="0" collapsed="false">
      <c r="A2217" s="40"/>
      <c r="B2217" s="27"/>
    </row>
    <row r="2218" customFormat="false" ht="12.75" hidden="false" customHeight="true" outlineLevel="0" collapsed="false">
      <c r="A2218" s="40"/>
      <c r="B2218" s="27"/>
    </row>
    <row r="2219" customFormat="false" ht="12.75" hidden="false" customHeight="true" outlineLevel="0" collapsed="false">
      <c r="A2219" s="40"/>
      <c r="B2219" s="27"/>
    </row>
    <row r="2220" customFormat="false" ht="12.75" hidden="false" customHeight="true" outlineLevel="0" collapsed="false">
      <c r="A2220" s="40"/>
      <c r="B2220" s="27"/>
    </row>
    <row r="2221" customFormat="false" ht="12.75" hidden="false" customHeight="true" outlineLevel="0" collapsed="false">
      <c r="A2221" s="40"/>
      <c r="B2221" s="27"/>
    </row>
    <row r="2222" customFormat="false" ht="12.75" hidden="false" customHeight="true" outlineLevel="0" collapsed="false">
      <c r="A2222" s="40"/>
      <c r="B2222" s="27"/>
    </row>
    <row r="2223" customFormat="false" ht="12.75" hidden="false" customHeight="true" outlineLevel="0" collapsed="false">
      <c r="A2223" s="40"/>
      <c r="B2223" s="27"/>
    </row>
    <row r="2224" customFormat="false" ht="12.75" hidden="false" customHeight="true" outlineLevel="0" collapsed="false">
      <c r="A2224" s="40"/>
      <c r="B2224" s="27"/>
    </row>
    <row r="2225" customFormat="false" ht="12.75" hidden="false" customHeight="true" outlineLevel="0" collapsed="false">
      <c r="A2225" s="40"/>
      <c r="B2225" s="27"/>
    </row>
    <row r="2226" customFormat="false" ht="12.75" hidden="false" customHeight="true" outlineLevel="0" collapsed="false">
      <c r="A2226" s="40"/>
      <c r="B2226" s="27"/>
    </row>
    <row r="2227" customFormat="false" ht="12.75" hidden="false" customHeight="true" outlineLevel="0" collapsed="false">
      <c r="A2227" s="40"/>
      <c r="B2227" s="27"/>
    </row>
    <row r="2228" customFormat="false" ht="12.75" hidden="false" customHeight="true" outlineLevel="0" collapsed="false">
      <c r="A2228" s="40"/>
      <c r="B2228" s="27"/>
    </row>
    <row r="2229" customFormat="false" ht="12.75" hidden="false" customHeight="true" outlineLevel="0" collapsed="false">
      <c r="A2229" s="40"/>
      <c r="B2229" s="27"/>
    </row>
    <row r="2230" customFormat="false" ht="12.75" hidden="false" customHeight="true" outlineLevel="0" collapsed="false">
      <c r="A2230" s="40"/>
      <c r="B2230" s="27"/>
    </row>
    <row r="2231" customFormat="false" ht="12.75" hidden="false" customHeight="true" outlineLevel="0" collapsed="false">
      <c r="A2231" s="40"/>
      <c r="B2231" s="27"/>
    </row>
    <row r="2232" customFormat="false" ht="12.75" hidden="false" customHeight="true" outlineLevel="0" collapsed="false">
      <c r="A2232" s="40"/>
      <c r="B2232" s="27"/>
    </row>
    <row r="2233" customFormat="false" ht="12.75" hidden="false" customHeight="true" outlineLevel="0" collapsed="false">
      <c r="A2233" s="40"/>
      <c r="B2233" s="27"/>
    </row>
    <row r="2234" customFormat="false" ht="12.75" hidden="false" customHeight="true" outlineLevel="0" collapsed="false">
      <c r="A2234" s="40"/>
      <c r="B2234" s="27"/>
    </row>
    <row r="2235" customFormat="false" ht="12.75" hidden="false" customHeight="true" outlineLevel="0" collapsed="false">
      <c r="A2235" s="40"/>
      <c r="B2235" s="27"/>
    </row>
    <row r="2236" customFormat="false" ht="12.75" hidden="false" customHeight="true" outlineLevel="0" collapsed="false">
      <c r="A2236" s="40"/>
      <c r="B2236" s="27"/>
    </row>
    <row r="2237" customFormat="false" ht="12.75" hidden="false" customHeight="true" outlineLevel="0" collapsed="false">
      <c r="A2237" s="40"/>
      <c r="B2237" s="27"/>
    </row>
    <row r="2238" customFormat="false" ht="12.75" hidden="false" customHeight="true" outlineLevel="0" collapsed="false">
      <c r="A2238" s="40"/>
      <c r="B2238" s="27"/>
    </row>
    <row r="2239" customFormat="false" ht="12.75" hidden="false" customHeight="true" outlineLevel="0" collapsed="false">
      <c r="A2239" s="40"/>
      <c r="B2239" s="27"/>
    </row>
    <row r="2240" customFormat="false" ht="12.75" hidden="false" customHeight="true" outlineLevel="0" collapsed="false">
      <c r="A2240" s="40"/>
      <c r="B2240" s="27"/>
    </row>
    <row r="2241" customFormat="false" ht="12.75" hidden="false" customHeight="true" outlineLevel="0" collapsed="false">
      <c r="A2241" s="40"/>
      <c r="B2241" s="27"/>
    </row>
    <row r="2242" customFormat="false" ht="12.75" hidden="false" customHeight="true" outlineLevel="0" collapsed="false">
      <c r="A2242" s="40"/>
      <c r="B2242" s="27"/>
    </row>
    <row r="2243" customFormat="false" ht="12.75" hidden="false" customHeight="true" outlineLevel="0" collapsed="false">
      <c r="A2243" s="40"/>
      <c r="B2243" s="27"/>
    </row>
    <row r="2244" customFormat="false" ht="12.75" hidden="false" customHeight="true" outlineLevel="0" collapsed="false">
      <c r="A2244" s="40"/>
      <c r="B2244" s="27"/>
    </row>
    <row r="2245" customFormat="false" ht="12.75" hidden="false" customHeight="true" outlineLevel="0" collapsed="false">
      <c r="A2245" s="40"/>
      <c r="B2245" s="27"/>
    </row>
    <row r="2246" customFormat="false" ht="12.75" hidden="false" customHeight="true" outlineLevel="0" collapsed="false">
      <c r="A2246" s="40"/>
      <c r="B2246" s="27"/>
    </row>
    <row r="2247" customFormat="false" ht="12.75" hidden="false" customHeight="true" outlineLevel="0" collapsed="false">
      <c r="A2247" s="40"/>
      <c r="B2247" s="27"/>
    </row>
    <row r="2248" customFormat="false" ht="12.75" hidden="false" customHeight="true" outlineLevel="0" collapsed="false">
      <c r="A2248" s="40"/>
      <c r="B2248" s="27"/>
    </row>
    <row r="2249" customFormat="false" ht="12.75" hidden="false" customHeight="true" outlineLevel="0" collapsed="false">
      <c r="A2249" s="40"/>
      <c r="B2249" s="27"/>
    </row>
    <row r="2250" customFormat="false" ht="12.75" hidden="false" customHeight="true" outlineLevel="0" collapsed="false">
      <c r="A2250" s="40"/>
      <c r="B2250" s="27"/>
    </row>
    <row r="2251" customFormat="false" ht="12.75" hidden="false" customHeight="true" outlineLevel="0" collapsed="false">
      <c r="A2251" s="40"/>
      <c r="B2251" s="27"/>
    </row>
    <row r="2252" customFormat="false" ht="12.75" hidden="false" customHeight="true" outlineLevel="0" collapsed="false">
      <c r="A2252" s="40"/>
      <c r="B2252" s="27"/>
    </row>
    <row r="2253" customFormat="false" ht="12.75" hidden="false" customHeight="true" outlineLevel="0" collapsed="false">
      <c r="A2253" s="40"/>
      <c r="B2253" s="27"/>
    </row>
    <row r="2254" customFormat="false" ht="12.75" hidden="false" customHeight="true" outlineLevel="0" collapsed="false">
      <c r="A2254" s="40"/>
      <c r="B2254" s="27"/>
    </row>
    <row r="2255" customFormat="false" ht="12.75" hidden="false" customHeight="true" outlineLevel="0" collapsed="false">
      <c r="A2255" s="40"/>
      <c r="B2255" s="27"/>
    </row>
    <row r="2256" customFormat="false" ht="12.75" hidden="false" customHeight="true" outlineLevel="0" collapsed="false">
      <c r="A2256" s="40"/>
      <c r="B2256" s="27"/>
    </row>
    <row r="2257" customFormat="false" ht="12.75" hidden="false" customHeight="true" outlineLevel="0" collapsed="false">
      <c r="A2257" s="40"/>
      <c r="B2257" s="27"/>
    </row>
    <row r="2258" customFormat="false" ht="12.75" hidden="false" customHeight="true" outlineLevel="0" collapsed="false">
      <c r="A2258" s="40"/>
      <c r="B2258" s="27"/>
    </row>
    <row r="2259" customFormat="false" ht="12.75" hidden="false" customHeight="true" outlineLevel="0" collapsed="false">
      <c r="A2259" s="40"/>
      <c r="B2259" s="27"/>
    </row>
    <row r="2260" customFormat="false" ht="12.75" hidden="false" customHeight="true" outlineLevel="0" collapsed="false">
      <c r="A2260" s="40"/>
      <c r="B2260" s="27"/>
    </row>
    <row r="2261" customFormat="false" ht="12.75" hidden="false" customHeight="true" outlineLevel="0" collapsed="false">
      <c r="A2261" s="40"/>
      <c r="B2261" s="27"/>
    </row>
    <row r="2262" customFormat="false" ht="12.75" hidden="false" customHeight="true" outlineLevel="0" collapsed="false">
      <c r="A2262" s="40"/>
      <c r="B2262" s="27"/>
    </row>
    <row r="2263" customFormat="false" ht="12.75" hidden="false" customHeight="true" outlineLevel="0" collapsed="false">
      <c r="A2263" s="40"/>
      <c r="B2263" s="27"/>
    </row>
    <row r="2264" customFormat="false" ht="12.75" hidden="false" customHeight="true" outlineLevel="0" collapsed="false">
      <c r="A2264" s="40"/>
      <c r="B2264" s="27"/>
    </row>
    <row r="2265" customFormat="false" ht="12.75" hidden="false" customHeight="true" outlineLevel="0" collapsed="false">
      <c r="A2265" s="40"/>
      <c r="B2265" s="27"/>
    </row>
    <row r="2266" customFormat="false" ht="12.75" hidden="false" customHeight="true" outlineLevel="0" collapsed="false">
      <c r="A2266" s="40"/>
      <c r="B2266" s="27"/>
    </row>
    <row r="2267" customFormat="false" ht="12.75" hidden="false" customHeight="true" outlineLevel="0" collapsed="false">
      <c r="A2267" s="40"/>
      <c r="B2267" s="27"/>
    </row>
    <row r="2268" customFormat="false" ht="12.75" hidden="false" customHeight="true" outlineLevel="0" collapsed="false">
      <c r="A2268" s="40"/>
      <c r="B2268" s="27"/>
    </row>
    <row r="2269" customFormat="false" ht="12.75" hidden="false" customHeight="true" outlineLevel="0" collapsed="false">
      <c r="A2269" s="40"/>
      <c r="B2269" s="27"/>
    </row>
    <row r="2270" customFormat="false" ht="12.75" hidden="false" customHeight="true" outlineLevel="0" collapsed="false">
      <c r="A2270" s="40"/>
      <c r="B2270" s="27"/>
    </row>
    <row r="2271" customFormat="false" ht="12.75" hidden="false" customHeight="true" outlineLevel="0" collapsed="false">
      <c r="A2271" s="40"/>
      <c r="B2271" s="27"/>
    </row>
    <row r="2272" customFormat="false" ht="12.75" hidden="false" customHeight="true" outlineLevel="0" collapsed="false">
      <c r="A2272" s="40"/>
      <c r="B2272" s="27"/>
    </row>
    <row r="2273" customFormat="false" ht="12.75" hidden="false" customHeight="true" outlineLevel="0" collapsed="false">
      <c r="A2273" s="40"/>
      <c r="B2273" s="27"/>
    </row>
    <row r="2274" customFormat="false" ht="12.75" hidden="false" customHeight="true" outlineLevel="0" collapsed="false">
      <c r="A2274" s="40"/>
      <c r="B2274" s="27"/>
    </row>
    <row r="2275" customFormat="false" ht="12.75" hidden="false" customHeight="true" outlineLevel="0" collapsed="false">
      <c r="A2275" s="40"/>
      <c r="B2275" s="27"/>
    </row>
    <row r="2276" customFormat="false" ht="12.75" hidden="false" customHeight="true" outlineLevel="0" collapsed="false">
      <c r="A2276" s="40"/>
      <c r="B2276" s="27"/>
    </row>
    <row r="2277" customFormat="false" ht="12.75" hidden="false" customHeight="true" outlineLevel="0" collapsed="false">
      <c r="A2277" s="40"/>
      <c r="B2277" s="27"/>
    </row>
    <row r="2278" customFormat="false" ht="12.75" hidden="false" customHeight="true" outlineLevel="0" collapsed="false">
      <c r="A2278" s="40"/>
      <c r="B2278" s="27"/>
    </row>
    <row r="2279" customFormat="false" ht="12.75" hidden="false" customHeight="true" outlineLevel="0" collapsed="false">
      <c r="A2279" s="40"/>
      <c r="B2279" s="27"/>
    </row>
    <row r="2280" customFormat="false" ht="12.75" hidden="false" customHeight="true" outlineLevel="0" collapsed="false">
      <c r="A2280" s="40"/>
      <c r="B2280" s="27"/>
    </row>
    <row r="2281" customFormat="false" ht="12.75" hidden="false" customHeight="true" outlineLevel="0" collapsed="false">
      <c r="A2281" s="40"/>
      <c r="B2281" s="27"/>
    </row>
    <row r="2282" customFormat="false" ht="12.75" hidden="false" customHeight="true" outlineLevel="0" collapsed="false">
      <c r="A2282" s="40"/>
      <c r="B2282" s="27"/>
    </row>
    <row r="2283" customFormat="false" ht="12.75" hidden="false" customHeight="true" outlineLevel="0" collapsed="false">
      <c r="A2283" s="40"/>
      <c r="B2283" s="27"/>
    </row>
    <row r="2284" customFormat="false" ht="12.75" hidden="false" customHeight="true" outlineLevel="0" collapsed="false">
      <c r="A2284" s="40"/>
      <c r="B2284" s="27"/>
    </row>
    <row r="2285" customFormat="false" ht="12.75" hidden="false" customHeight="true" outlineLevel="0" collapsed="false">
      <c r="A2285" s="40"/>
      <c r="B2285" s="27"/>
    </row>
    <row r="2286" customFormat="false" ht="12.75" hidden="false" customHeight="true" outlineLevel="0" collapsed="false">
      <c r="A2286" s="40"/>
      <c r="B2286" s="27"/>
    </row>
    <row r="2287" customFormat="false" ht="12.75" hidden="false" customHeight="true" outlineLevel="0" collapsed="false">
      <c r="A2287" s="40"/>
      <c r="B2287" s="27"/>
    </row>
    <row r="2288" customFormat="false" ht="12.75" hidden="false" customHeight="true" outlineLevel="0" collapsed="false">
      <c r="A2288" s="40"/>
      <c r="B2288" s="27"/>
    </row>
    <row r="2289" customFormat="false" ht="12.75" hidden="false" customHeight="true" outlineLevel="0" collapsed="false">
      <c r="A2289" s="40"/>
      <c r="B2289" s="27"/>
    </row>
    <row r="2290" customFormat="false" ht="12.75" hidden="false" customHeight="true" outlineLevel="0" collapsed="false">
      <c r="A2290" s="40"/>
      <c r="B2290" s="27"/>
    </row>
    <row r="2291" customFormat="false" ht="12.75" hidden="false" customHeight="true" outlineLevel="0" collapsed="false">
      <c r="A2291" s="40"/>
      <c r="B2291" s="27"/>
    </row>
    <row r="2292" customFormat="false" ht="12.75" hidden="false" customHeight="true" outlineLevel="0" collapsed="false">
      <c r="A2292" s="40"/>
      <c r="B2292" s="27"/>
    </row>
    <row r="2293" customFormat="false" ht="12.75" hidden="false" customHeight="true" outlineLevel="0" collapsed="false">
      <c r="A2293" s="40"/>
      <c r="B2293" s="27"/>
    </row>
    <row r="2294" customFormat="false" ht="12.75" hidden="false" customHeight="true" outlineLevel="0" collapsed="false">
      <c r="A2294" s="40"/>
      <c r="B2294" s="27"/>
    </row>
    <row r="2295" customFormat="false" ht="12.75" hidden="false" customHeight="true" outlineLevel="0" collapsed="false">
      <c r="A2295" s="40"/>
      <c r="B2295" s="27"/>
    </row>
    <row r="2296" customFormat="false" ht="12.75" hidden="false" customHeight="true" outlineLevel="0" collapsed="false">
      <c r="A2296" s="40"/>
      <c r="B2296" s="27"/>
    </row>
    <row r="2297" customFormat="false" ht="12.75" hidden="false" customHeight="true" outlineLevel="0" collapsed="false">
      <c r="A2297" s="40"/>
      <c r="B2297" s="27"/>
    </row>
    <row r="2298" customFormat="false" ht="12.75" hidden="false" customHeight="true" outlineLevel="0" collapsed="false">
      <c r="A2298" s="40"/>
      <c r="B2298" s="27"/>
    </row>
    <row r="2299" customFormat="false" ht="12.75" hidden="false" customHeight="true" outlineLevel="0" collapsed="false">
      <c r="A2299" s="40"/>
      <c r="B2299" s="27"/>
    </row>
    <row r="2300" customFormat="false" ht="12.75" hidden="false" customHeight="true" outlineLevel="0" collapsed="false">
      <c r="A2300" s="40"/>
      <c r="B2300" s="27"/>
    </row>
    <row r="2301" customFormat="false" ht="12.75" hidden="false" customHeight="true" outlineLevel="0" collapsed="false">
      <c r="A2301" s="40"/>
      <c r="B2301" s="27"/>
    </row>
    <row r="2302" customFormat="false" ht="12.75" hidden="false" customHeight="true" outlineLevel="0" collapsed="false">
      <c r="A2302" s="40"/>
      <c r="B2302" s="27"/>
    </row>
    <row r="2303" customFormat="false" ht="12.75" hidden="false" customHeight="true" outlineLevel="0" collapsed="false">
      <c r="A2303" s="40"/>
      <c r="B2303" s="27"/>
    </row>
    <row r="2304" customFormat="false" ht="12.75" hidden="false" customHeight="true" outlineLevel="0" collapsed="false">
      <c r="A2304" s="40"/>
      <c r="B2304" s="27"/>
    </row>
    <row r="2305" customFormat="false" ht="12.75" hidden="false" customHeight="true" outlineLevel="0" collapsed="false">
      <c r="A2305" s="40"/>
      <c r="B2305" s="27"/>
    </row>
    <row r="2306" customFormat="false" ht="12.75" hidden="false" customHeight="true" outlineLevel="0" collapsed="false">
      <c r="A2306" s="40"/>
      <c r="B2306" s="27"/>
    </row>
    <row r="2307" customFormat="false" ht="12.75" hidden="false" customHeight="true" outlineLevel="0" collapsed="false">
      <c r="A2307" s="40"/>
      <c r="B2307" s="27"/>
    </row>
    <row r="2308" customFormat="false" ht="12.75" hidden="false" customHeight="true" outlineLevel="0" collapsed="false">
      <c r="A2308" s="40"/>
      <c r="B2308" s="27"/>
    </row>
    <row r="2309" customFormat="false" ht="12.75" hidden="false" customHeight="true" outlineLevel="0" collapsed="false">
      <c r="A2309" s="40"/>
      <c r="B2309" s="27"/>
    </row>
    <row r="2310" customFormat="false" ht="12.75" hidden="false" customHeight="true" outlineLevel="0" collapsed="false">
      <c r="A2310" s="40"/>
      <c r="B2310" s="27"/>
    </row>
    <row r="2311" customFormat="false" ht="12.75" hidden="false" customHeight="true" outlineLevel="0" collapsed="false">
      <c r="A2311" s="40"/>
      <c r="B2311" s="27"/>
    </row>
    <row r="2312" customFormat="false" ht="12.75" hidden="false" customHeight="true" outlineLevel="0" collapsed="false">
      <c r="A2312" s="40"/>
      <c r="B2312" s="27"/>
    </row>
    <row r="2313" customFormat="false" ht="12.75" hidden="false" customHeight="true" outlineLevel="0" collapsed="false">
      <c r="A2313" s="40"/>
      <c r="B2313" s="27"/>
    </row>
    <row r="2314" customFormat="false" ht="12.75" hidden="false" customHeight="true" outlineLevel="0" collapsed="false">
      <c r="A2314" s="40"/>
      <c r="B2314" s="27"/>
    </row>
    <row r="2315" customFormat="false" ht="12.75" hidden="false" customHeight="true" outlineLevel="0" collapsed="false">
      <c r="A2315" s="40"/>
      <c r="B2315" s="27"/>
    </row>
    <row r="2316" customFormat="false" ht="12.75" hidden="false" customHeight="true" outlineLevel="0" collapsed="false">
      <c r="A2316" s="40"/>
      <c r="B2316" s="27"/>
    </row>
    <row r="2317" customFormat="false" ht="12.75" hidden="false" customHeight="true" outlineLevel="0" collapsed="false">
      <c r="A2317" s="40"/>
      <c r="B2317" s="27"/>
    </row>
    <row r="2318" customFormat="false" ht="12.75" hidden="false" customHeight="true" outlineLevel="0" collapsed="false">
      <c r="A2318" s="40"/>
      <c r="B2318" s="27"/>
    </row>
    <row r="2319" customFormat="false" ht="12.75" hidden="false" customHeight="true" outlineLevel="0" collapsed="false">
      <c r="A2319" s="40"/>
      <c r="B2319" s="27"/>
    </row>
    <row r="2320" customFormat="false" ht="12.75" hidden="false" customHeight="true" outlineLevel="0" collapsed="false">
      <c r="A2320" s="40"/>
      <c r="B2320" s="27"/>
    </row>
    <row r="2321" customFormat="false" ht="12.75" hidden="false" customHeight="true" outlineLevel="0" collapsed="false">
      <c r="A2321" s="40"/>
      <c r="B2321" s="27"/>
    </row>
    <row r="2322" customFormat="false" ht="12.75" hidden="false" customHeight="true" outlineLevel="0" collapsed="false">
      <c r="A2322" s="40"/>
      <c r="B2322" s="27"/>
    </row>
    <row r="2323" customFormat="false" ht="12.75" hidden="false" customHeight="true" outlineLevel="0" collapsed="false">
      <c r="A2323" s="40"/>
      <c r="B2323" s="27"/>
    </row>
    <row r="2324" customFormat="false" ht="12.75" hidden="false" customHeight="true" outlineLevel="0" collapsed="false">
      <c r="A2324" s="40"/>
      <c r="B2324" s="27"/>
    </row>
    <row r="2325" customFormat="false" ht="12.75" hidden="false" customHeight="true" outlineLevel="0" collapsed="false">
      <c r="A2325" s="40"/>
      <c r="B2325" s="27"/>
    </row>
    <row r="2326" customFormat="false" ht="12.75" hidden="false" customHeight="true" outlineLevel="0" collapsed="false">
      <c r="A2326" s="40"/>
      <c r="B2326" s="27"/>
    </row>
    <row r="2327" customFormat="false" ht="12.75" hidden="false" customHeight="true" outlineLevel="0" collapsed="false">
      <c r="A2327" s="40"/>
      <c r="B2327" s="27"/>
    </row>
    <row r="2328" customFormat="false" ht="12.75" hidden="false" customHeight="true" outlineLevel="0" collapsed="false">
      <c r="A2328" s="40"/>
      <c r="B2328" s="27"/>
    </row>
    <row r="2329" customFormat="false" ht="12.75" hidden="false" customHeight="true" outlineLevel="0" collapsed="false">
      <c r="A2329" s="40"/>
      <c r="B2329" s="27"/>
    </row>
    <row r="2330" customFormat="false" ht="12.75" hidden="false" customHeight="true" outlineLevel="0" collapsed="false">
      <c r="A2330" s="40"/>
      <c r="B2330" s="27"/>
    </row>
    <row r="2331" customFormat="false" ht="12.75" hidden="false" customHeight="true" outlineLevel="0" collapsed="false">
      <c r="A2331" s="40"/>
      <c r="B2331" s="27"/>
    </row>
    <row r="2332" customFormat="false" ht="12.75" hidden="false" customHeight="true" outlineLevel="0" collapsed="false">
      <c r="A2332" s="40"/>
      <c r="B2332" s="27"/>
    </row>
    <row r="2333" customFormat="false" ht="12.75" hidden="false" customHeight="true" outlineLevel="0" collapsed="false">
      <c r="A2333" s="40"/>
      <c r="B2333" s="27"/>
    </row>
    <row r="2334" customFormat="false" ht="12.75" hidden="false" customHeight="true" outlineLevel="0" collapsed="false">
      <c r="A2334" s="40"/>
      <c r="B2334" s="27"/>
    </row>
    <row r="2335" customFormat="false" ht="12.75" hidden="false" customHeight="true" outlineLevel="0" collapsed="false">
      <c r="A2335" s="40"/>
      <c r="B2335" s="27"/>
    </row>
    <row r="2336" customFormat="false" ht="12.75" hidden="false" customHeight="true" outlineLevel="0" collapsed="false">
      <c r="A2336" s="40"/>
      <c r="B2336" s="27"/>
    </row>
    <row r="2337" customFormat="false" ht="12.75" hidden="false" customHeight="true" outlineLevel="0" collapsed="false">
      <c r="A2337" s="40"/>
      <c r="B2337" s="27"/>
    </row>
    <row r="2338" customFormat="false" ht="12.75" hidden="false" customHeight="true" outlineLevel="0" collapsed="false">
      <c r="A2338" s="40"/>
      <c r="B2338" s="27"/>
    </row>
    <row r="2339" customFormat="false" ht="12.75" hidden="false" customHeight="true" outlineLevel="0" collapsed="false">
      <c r="A2339" s="40"/>
      <c r="B2339" s="27"/>
    </row>
    <row r="2340" customFormat="false" ht="12.75" hidden="false" customHeight="true" outlineLevel="0" collapsed="false">
      <c r="A2340" s="40"/>
      <c r="B2340" s="27"/>
    </row>
    <row r="2341" customFormat="false" ht="12.75" hidden="false" customHeight="true" outlineLevel="0" collapsed="false">
      <c r="A2341" s="40"/>
      <c r="B2341" s="27"/>
    </row>
    <row r="2342" customFormat="false" ht="12.75" hidden="false" customHeight="true" outlineLevel="0" collapsed="false">
      <c r="A2342" s="40"/>
      <c r="B2342" s="27"/>
    </row>
    <row r="2343" customFormat="false" ht="12.75" hidden="false" customHeight="true" outlineLevel="0" collapsed="false">
      <c r="A2343" s="40"/>
      <c r="B2343" s="27"/>
    </row>
    <row r="2344" customFormat="false" ht="12.75" hidden="false" customHeight="true" outlineLevel="0" collapsed="false">
      <c r="A2344" s="40"/>
      <c r="B2344" s="27"/>
    </row>
    <row r="2345" customFormat="false" ht="12.75" hidden="false" customHeight="true" outlineLevel="0" collapsed="false">
      <c r="A2345" s="40"/>
      <c r="B2345" s="27"/>
    </row>
    <row r="2346" customFormat="false" ht="12.75" hidden="false" customHeight="true" outlineLevel="0" collapsed="false">
      <c r="A2346" s="40"/>
      <c r="B2346" s="27"/>
    </row>
    <row r="2347" customFormat="false" ht="12.75" hidden="false" customHeight="true" outlineLevel="0" collapsed="false">
      <c r="A2347" s="40"/>
      <c r="B2347" s="27"/>
    </row>
    <row r="2348" customFormat="false" ht="12.75" hidden="false" customHeight="true" outlineLevel="0" collapsed="false">
      <c r="A2348" s="40"/>
      <c r="B2348" s="27"/>
    </row>
    <row r="2349" customFormat="false" ht="12.75" hidden="false" customHeight="true" outlineLevel="0" collapsed="false">
      <c r="A2349" s="40"/>
      <c r="B2349" s="27"/>
    </row>
    <row r="2350" customFormat="false" ht="12.75" hidden="false" customHeight="true" outlineLevel="0" collapsed="false">
      <c r="A2350" s="40"/>
      <c r="B2350" s="27"/>
    </row>
    <row r="2351" customFormat="false" ht="12.75" hidden="false" customHeight="true" outlineLevel="0" collapsed="false">
      <c r="A2351" s="40"/>
      <c r="B2351" s="27"/>
    </row>
    <row r="2352" customFormat="false" ht="12.75" hidden="false" customHeight="true" outlineLevel="0" collapsed="false">
      <c r="A2352" s="40"/>
      <c r="B2352" s="27"/>
    </row>
    <row r="2353" customFormat="false" ht="12.75" hidden="false" customHeight="true" outlineLevel="0" collapsed="false">
      <c r="A2353" s="40"/>
      <c r="B2353" s="27"/>
    </row>
    <row r="2354" customFormat="false" ht="12.75" hidden="false" customHeight="true" outlineLevel="0" collapsed="false">
      <c r="A2354" s="40"/>
      <c r="B2354" s="27"/>
    </row>
    <row r="2355" customFormat="false" ht="12.75" hidden="false" customHeight="true" outlineLevel="0" collapsed="false">
      <c r="A2355" s="40"/>
      <c r="B2355" s="27"/>
    </row>
    <row r="2356" customFormat="false" ht="12.75" hidden="false" customHeight="true" outlineLevel="0" collapsed="false">
      <c r="A2356" s="40"/>
      <c r="B2356" s="27"/>
    </row>
    <row r="2357" customFormat="false" ht="12.75" hidden="false" customHeight="true" outlineLevel="0" collapsed="false">
      <c r="A2357" s="40"/>
      <c r="B2357" s="27"/>
    </row>
    <row r="2358" customFormat="false" ht="12.75" hidden="false" customHeight="true" outlineLevel="0" collapsed="false">
      <c r="A2358" s="40"/>
      <c r="B2358" s="27"/>
    </row>
    <row r="2359" customFormat="false" ht="12.75" hidden="false" customHeight="true" outlineLevel="0" collapsed="false">
      <c r="A2359" s="40"/>
      <c r="B2359" s="27"/>
    </row>
    <row r="2360" customFormat="false" ht="12.75" hidden="false" customHeight="true" outlineLevel="0" collapsed="false">
      <c r="A2360" s="40"/>
      <c r="B2360" s="27"/>
    </row>
    <row r="2361" customFormat="false" ht="12.75" hidden="false" customHeight="true" outlineLevel="0" collapsed="false">
      <c r="A2361" s="40"/>
      <c r="B2361" s="27"/>
    </row>
    <row r="2362" customFormat="false" ht="12.75" hidden="false" customHeight="true" outlineLevel="0" collapsed="false">
      <c r="A2362" s="40"/>
      <c r="B2362" s="27"/>
    </row>
    <row r="2363" customFormat="false" ht="12.75" hidden="false" customHeight="true" outlineLevel="0" collapsed="false">
      <c r="A2363" s="40"/>
      <c r="B2363" s="27"/>
    </row>
    <row r="2364" customFormat="false" ht="12.75" hidden="false" customHeight="true" outlineLevel="0" collapsed="false">
      <c r="A2364" s="40"/>
      <c r="B2364" s="27"/>
    </row>
    <row r="2365" customFormat="false" ht="12.75" hidden="false" customHeight="true" outlineLevel="0" collapsed="false">
      <c r="A2365" s="40"/>
      <c r="B2365" s="27"/>
    </row>
    <row r="2366" customFormat="false" ht="12.75" hidden="false" customHeight="true" outlineLevel="0" collapsed="false">
      <c r="A2366" s="40"/>
      <c r="B2366" s="27"/>
    </row>
    <row r="2367" customFormat="false" ht="12.75" hidden="false" customHeight="true" outlineLevel="0" collapsed="false">
      <c r="A2367" s="40"/>
      <c r="B2367" s="27"/>
    </row>
    <row r="2368" customFormat="false" ht="12.75" hidden="false" customHeight="true" outlineLevel="0" collapsed="false">
      <c r="A2368" s="40"/>
      <c r="B2368" s="27"/>
    </row>
    <row r="2369" customFormat="false" ht="12.75" hidden="false" customHeight="true" outlineLevel="0" collapsed="false">
      <c r="A2369" s="40"/>
      <c r="B2369" s="27"/>
    </row>
    <row r="2370" customFormat="false" ht="12.75" hidden="false" customHeight="true" outlineLevel="0" collapsed="false">
      <c r="A2370" s="40"/>
      <c r="B2370" s="27"/>
    </row>
    <row r="2371" customFormat="false" ht="12.75" hidden="false" customHeight="true" outlineLevel="0" collapsed="false">
      <c r="A2371" s="40"/>
      <c r="B2371" s="27"/>
    </row>
    <row r="2372" customFormat="false" ht="12.75" hidden="false" customHeight="true" outlineLevel="0" collapsed="false">
      <c r="A2372" s="40"/>
      <c r="B2372" s="27"/>
    </row>
    <row r="2373" customFormat="false" ht="12.75" hidden="false" customHeight="true" outlineLevel="0" collapsed="false">
      <c r="A2373" s="40"/>
      <c r="B2373" s="27"/>
    </row>
    <row r="2374" customFormat="false" ht="12.75" hidden="false" customHeight="true" outlineLevel="0" collapsed="false">
      <c r="A2374" s="40"/>
      <c r="B2374" s="27"/>
    </row>
    <row r="2375" customFormat="false" ht="12.75" hidden="false" customHeight="true" outlineLevel="0" collapsed="false">
      <c r="A2375" s="40"/>
      <c r="B2375" s="27"/>
    </row>
    <row r="2376" customFormat="false" ht="12.75" hidden="false" customHeight="true" outlineLevel="0" collapsed="false">
      <c r="A2376" s="40"/>
      <c r="B2376" s="27"/>
    </row>
    <row r="2377" customFormat="false" ht="12.75" hidden="false" customHeight="true" outlineLevel="0" collapsed="false">
      <c r="A2377" s="40"/>
      <c r="B2377" s="27"/>
    </row>
    <row r="2378" customFormat="false" ht="12.75" hidden="false" customHeight="true" outlineLevel="0" collapsed="false">
      <c r="A2378" s="40"/>
      <c r="B2378" s="27"/>
    </row>
    <row r="2379" customFormat="false" ht="12.75" hidden="false" customHeight="true" outlineLevel="0" collapsed="false">
      <c r="A2379" s="40"/>
      <c r="B2379" s="27"/>
    </row>
    <row r="2380" customFormat="false" ht="12.75" hidden="false" customHeight="true" outlineLevel="0" collapsed="false">
      <c r="A2380" s="40"/>
      <c r="B2380" s="27"/>
    </row>
    <row r="2381" customFormat="false" ht="12.75" hidden="false" customHeight="true" outlineLevel="0" collapsed="false">
      <c r="A2381" s="40"/>
      <c r="B2381" s="27"/>
    </row>
    <row r="2382" customFormat="false" ht="12.75" hidden="false" customHeight="true" outlineLevel="0" collapsed="false">
      <c r="A2382" s="40"/>
      <c r="B2382" s="27"/>
    </row>
    <row r="2383" customFormat="false" ht="12.75" hidden="false" customHeight="true" outlineLevel="0" collapsed="false">
      <c r="A2383" s="40"/>
      <c r="B2383" s="27"/>
    </row>
    <row r="2384" customFormat="false" ht="12.75" hidden="false" customHeight="true" outlineLevel="0" collapsed="false">
      <c r="A2384" s="40"/>
      <c r="B2384" s="27"/>
    </row>
    <row r="2385" customFormat="false" ht="12.75" hidden="false" customHeight="true" outlineLevel="0" collapsed="false">
      <c r="A2385" s="40"/>
      <c r="B2385" s="27"/>
    </row>
    <row r="2386" customFormat="false" ht="12.75" hidden="false" customHeight="true" outlineLevel="0" collapsed="false">
      <c r="A2386" s="40"/>
      <c r="B2386" s="27"/>
    </row>
    <row r="2387" customFormat="false" ht="12.75" hidden="false" customHeight="true" outlineLevel="0" collapsed="false">
      <c r="A2387" s="40"/>
      <c r="B2387" s="27"/>
    </row>
    <row r="2388" customFormat="false" ht="12.75" hidden="false" customHeight="true" outlineLevel="0" collapsed="false">
      <c r="A2388" s="40"/>
      <c r="B2388" s="27"/>
    </row>
    <row r="2389" customFormat="false" ht="12.75" hidden="false" customHeight="true" outlineLevel="0" collapsed="false">
      <c r="A2389" s="40"/>
      <c r="B2389" s="27"/>
    </row>
    <row r="2390" customFormat="false" ht="12.75" hidden="false" customHeight="true" outlineLevel="0" collapsed="false">
      <c r="A2390" s="40"/>
      <c r="B2390" s="27"/>
    </row>
    <row r="2391" customFormat="false" ht="12.75" hidden="false" customHeight="true" outlineLevel="0" collapsed="false">
      <c r="A2391" s="40"/>
      <c r="B2391" s="27"/>
    </row>
    <row r="2392" customFormat="false" ht="12.75" hidden="false" customHeight="true" outlineLevel="0" collapsed="false">
      <c r="A2392" s="40"/>
      <c r="B2392" s="27"/>
    </row>
    <row r="2393" customFormat="false" ht="12.75" hidden="false" customHeight="true" outlineLevel="0" collapsed="false">
      <c r="A2393" s="40"/>
      <c r="B2393" s="27"/>
    </row>
    <row r="2394" customFormat="false" ht="12.75" hidden="false" customHeight="true" outlineLevel="0" collapsed="false">
      <c r="A2394" s="40"/>
      <c r="B2394" s="27"/>
    </row>
    <row r="2395" customFormat="false" ht="12.75" hidden="false" customHeight="true" outlineLevel="0" collapsed="false">
      <c r="A2395" s="40"/>
      <c r="B2395" s="27"/>
    </row>
    <row r="2396" customFormat="false" ht="12.75" hidden="false" customHeight="true" outlineLevel="0" collapsed="false">
      <c r="A2396" s="40"/>
      <c r="B2396" s="27"/>
    </row>
    <row r="2397" customFormat="false" ht="12.75" hidden="false" customHeight="true" outlineLevel="0" collapsed="false">
      <c r="A2397" s="40"/>
      <c r="B2397" s="27"/>
    </row>
    <row r="2398" customFormat="false" ht="12.75" hidden="false" customHeight="true" outlineLevel="0" collapsed="false">
      <c r="A2398" s="40"/>
      <c r="B2398" s="27"/>
    </row>
    <row r="2399" customFormat="false" ht="12.75" hidden="false" customHeight="true" outlineLevel="0" collapsed="false">
      <c r="A2399" s="40"/>
      <c r="B2399" s="27"/>
    </row>
    <row r="2400" customFormat="false" ht="12.75" hidden="false" customHeight="true" outlineLevel="0" collapsed="false">
      <c r="A2400" s="40"/>
      <c r="B2400" s="27"/>
    </row>
    <row r="2401" customFormat="false" ht="12.75" hidden="false" customHeight="true" outlineLevel="0" collapsed="false">
      <c r="A2401" s="40"/>
      <c r="B2401" s="27"/>
    </row>
    <row r="2402" customFormat="false" ht="12.75" hidden="false" customHeight="true" outlineLevel="0" collapsed="false">
      <c r="A2402" s="40"/>
      <c r="B2402" s="27"/>
    </row>
    <row r="2403" customFormat="false" ht="12.75" hidden="false" customHeight="true" outlineLevel="0" collapsed="false">
      <c r="A2403" s="40"/>
      <c r="B2403" s="27"/>
    </row>
    <row r="2404" customFormat="false" ht="12.75" hidden="false" customHeight="true" outlineLevel="0" collapsed="false">
      <c r="A2404" s="40"/>
      <c r="B2404" s="27"/>
    </row>
    <row r="2405" customFormat="false" ht="12.75" hidden="false" customHeight="true" outlineLevel="0" collapsed="false">
      <c r="A2405" s="40"/>
      <c r="B2405" s="27"/>
    </row>
    <row r="2406" customFormat="false" ht="12.75" hidden="false" customHeight="true" outlineLevel="0" collapsed="false">
      <c r="A2406" s="40"/>
      <c r="B2406" s="27"/>
    </row>
    <row r="2407" customFormat="false" ht="12.75" hidden="false" customHeight="true" outlineLevel="0" collapsed="false">
      <c r="A2407" s="40"/>
      <c r="B2407" s="27"/>
    </row>
    <row r="2408" customFormat="false" ht="12.75" hidden="false" customHeight="true" outlineLevel="0" collapsed="false">
      <c r="A2408" s="40"/>
      <c r="B2408" s="27"/>
    </row>
    <row r="2409" customFormat="false" ht="12.75" hidden="false" customHeight="true" outlineLevel="0" collapsed="false">
      <c r="A2409" s="40"/>
      <c r="B2409" s="27"/>
    </row>
    <row r="2410" customFormat="false" ht="12.75" hidden="false" customHeight="true" outlineLevel="0" collapsed="false">
      <c r="A2410" s="40"/>
      <c r="B2410" s="27"/>
    </row>
    <row r="2411" customFormat="false" ht="12.75" hidden="false" customHeight="true" outlineLevel="0" collapsed="false">
      <c r="A2411" s="40"/>
      <c r="B2411" s="27"/>
    </row>
    <row r="2412" customFormat="false" ht="12.75" hidden="false" customHeight="true" outlineLevel="0" collapsed="false">
      <c r="A2412" s="40"/>
      <c r="B2412" s="27"/>
    </row>
    <row r="2413" customFormat="false" ht="12.75" hidden="false" customHeight="true" outlineLevel="0" collapsed="false">
      <c r="A2413" s="40"/>
      <c r="B2413" s="27"/>
    </row>
    <row r="2414" customFormat="false" ht="12.75" hidden="false" customHeight="true" outlineLevel="0" collapsed="false">
      <c r="A2414" s="40"/>
      <c r="B2414" s="27"/>
    </row>
    <row r="2415" customFormat="false" ht="12.75" hidden="false" customHeight="true" outlineLevel="0" collapsed="false">
      <c r="A2415" s="40"/>
      <c r="B2415" s="27"/>
    </row>
    <row r="2416" customFormat="false" ht="12.75" hidden="false" customHeight="true" outlineLevel="0" collapsed="false">
      <c r="A2416" s="40"/>
      <c r="B2416" s="27"/>
    </row>
    <row r="2417" customFormat="false" ht="12.75" hidden="false" customHeight="true" outlineLevel="0" collapsed="false">
      <c r="A2417" s="40"/>
      <c r="B2417" s="27"/>
    </row>
    <row r="2418" customFormat="false" ht="12.75" hidden="false" customHeight="true" outlineLevel="0" collapsed="false">
      <c r="A2418" s="40"/>
      <c r="B2418" s="27"/>
    </row>
    <row r="2419" customFormat="false" ht="12.75" hidden="false" customHeight="true" outlineLevel="0" collapsed="false">
      <c r="A2419" s="40"/>
      <c r="B2419" s="27"/>
    </row>
    <row r="2420" customFormat="false" ht="12.75" hidden="false" customHeight="true" outlineLevel="0" collapsed="false">
      <c r="A2420" s="40"/>
      <c r="B2420" s="27"/>
    </row>
    <row r="2421" customFormat="false" ht="12.75" hidden="false" customHeight="true" outlineLevel="0" collapsed="false">
      <c r="A2421" s="40"/>
      <c r="B2421" s="27"/>
    </row>
    <row r="2422" customFormat="false" ht="12.75" hidden="false" customHeight="true" outlineLevel="0" collapsed="false">
      <c r="A2422" s="40"/>
      <c r="B2422" s="27"/>
    </row>
    <row r="2423" customFormat="false" ht="12.75" hidden="false" customHeight="true" outlineLevel="0" collapsed="false">
      <c r="A2423" s="40"/>
      <c r="B2423" s="27"/>
    </row>
    <row r="2424" customFormat="false" ht="12.75" hidden="false" customHeight="true" outlineLevel="0" collapsed="false">
      <c r="A2424" s="40"/>
      <c r="B2424" s="27"/>
    </row>
    <row r="2425" customFormat="false" ht="12.75" hidden="false" customHeight="true" outlineLevel="0" collapsed="false">
      <c r="A2425" s="40"/>
      <c r="B2425" s="27"/>
    </row>
    <row r="2426" customFormat="false" ht="12.75" hidden="false" customHeight="true" outlineLevel="0" collapsed="false">
      <c r="A2426" s="40"/>
      <c r="B2426" s="27"/>
    </row>
    <row r="2427" customFormat="false" ht="12.75" hidden="false" customHeight="true" outlineLevel="0" collapsed="false">
      <c r="A2427" s="40"/>
      <c r="B2427" s="27"/>
    </row>
    <row r="2428" customFormat="false" ht="12.75" hidden="false" customHeight="true" outlineLevel="0" collapsed="false">
      <c r="A2428" s="40"/>
      <c r="B2428" s="27"/>
    </row>
    <row r="2429" customFormat="false" ht="12.75" hidden="false" customHeight="true" outlineLevel="0" collapsed="false">
      <c r="A2429" s="40"/>
      <c r="B2429" s="27"/>
    </row>
    <row r="2430" customFormat="false" ht="12.75" hidden="false" customHeight="true" outlineLevel="0" collapsed="false">
      <c r="A2430" s="40"/>
      <c r="B2430" s="27"/>
    </row>
    <row r="2431" customFormat="false" ht="12.75" hidden="false" customHeight="true" outlineLevel="0" collapsed="false">
      <c r="A2431" s="40"/>
      <c r="B2431" s="27"/>
    </row>
    <row r="2432" customFormat="false" ht="12.75" hidden="false" customHeight="true" outlineLevel="0" collapsed="false">
      <c r="A2432" s="40"/>
      <c r="B2432" s="27"/>
    </row>
    <row r="2433" customFormat="false" ht="12.75" hidden="false" customHeight="true" outlineLevel="0" collapsed="false">
      <c r="A2433" s="40"/>
      <c r="B2433" s="27"/>
    </row>
    <row r="2434" customFormat="false" ht="12.75" hidden="false" customHeight="true" outlineLevel="0" collapsed="false">
      <c r="A2434" s="40"/>
      <c r="B2434" s="27"/>
    </row>
    <row r="2435" customFormat="false" ht="12.75" hidden="false" customHeight="true" outlineLevel="0" collapsed="false">
      <c r="A2435" s="40"/>
      <c r="B2435" s="27"/>
    </row>
    <row r="2436" customFormat="false" ht="12.75" hidden="false" customHeight="true" outlineLevel="0" collapsed="false">
      <c r="A2436" s="40"/>
      <c r="B2436" s="27"/>
    </row>
    <row r="2437" customFormat="false" ht="12.75" hidden="false" customHeight="true" outlineLevel="0" collapsed="false">
      <c r="A2437" s="40"/>
      <c r="B2437" s="27"/>
    </row>
    <row r="2438" customFormat="false" ht="12.75" hidden="false" customHeight="true" outlineLevel="0" collapsed="false">
      <c r="A2438" s="40"/>
      <c r="B2438" s="27"/>
    </row>
    <row r="2439" customFormat="false" ht="12.75" hidden="false" customHeight="true" outlineLevel="0" collapsed="false">
      <c r="A2439" s="40"/>
      <c r="B2439" s="27"/>
    </row>
    <row r="2440" customFormat="false" ht="12.75" hidden="false" customHeight="true" outlineLevel="0" collapsed="false">
      <c r="A2440" s="40"/>
      <c r="B2440" s="27"/>
    </row>
    <row r="2441" customFormat="false" ht="12.75" hidden="false" customHeight="true" outlineLevel="0" collapsed="false">
      <c r="A2441" s="40"/>
      <c r="B2441" s="27"/>
    </row>
    <row r="2442" customFormat="false" ht="12.75" hidden="false" customHeight="true" outlineLevel="0" collapsed="false">
      <c r="A2442" s="40"/>
      <c r="B2442" s="27"/>
    </row>
    <row r="2443" customFormat="false" ht="12.75" hidden="false" customHeight="true" outlineLevel="0" collapsed="false">
      <c r="A2443" s="40"/>
      <c r="B2443" s="27"/>
    </row>
    <row r="2444" customFormat="false" ht="12.75" hidden="false" customHeight="true" outlineLevel="0" collapsed="false">
      <c r="A2444" s="40"/>
      <c r="B2444" s="27"/>
    </row>
    <row r="2445" customFormat="false" ht="12.75" hidden="false" customHeight="true" outlineLevel="0" collapsed="false">
      <c r="A2445" s="40"/>
      <c r="B2445" s="27"/>
    </row>
    <row r="2446" customFormat="false" ht="12.75" hidden="false" customHeight="true" outlineLevel="0" collapsed="false">
      <c r="A2446" s="40"/>
      <c r="B2446" s="27"/>
    </row>
    <row r="2447" customFormat="false" ht="12.75" hidden="false" customHeight="true" outlineLevel="0" collapsed="false">
      <c r="A2447" s="40"/>
      <c r="B2447" s="27"/>
    </row>
    <row r="2448" customFormat="false" ht="12.75" hidden="false" customHeight="true" outlineLevel="0" collapsed="false">
      <c r="A2448" s="40"/>
      <c r="B2448" s="27"/>
    </row>
    <row r="2449" customFormat="false" ht="12.75" hidden="false" customHeight="true" outlineLevel="0" collapsed="false">
      <c r="A2449" s="40"/>
      <c r="B2449" s="27"/>
    </row>
    <row r="2450" customFormat="false" ht="12.75" hidden="false" customHeight="true" outlineLevel="0" collapsed="false">
      <c r="A2450" s="40"/>
      <c r="B2450" s="27"/>
    </row>
    <row r="2451" customFormat="false" ht="12.75" hidden="false" customHeight="true" outlineLevel="0" collapsed="false">
      <c r="A2451" s="40"/>
      <c r="B2451" s="27"/>
    </row>
    <row r="2452" customFormat="false" ht="12.75" hidden="false" customHeight="true" outlineLevel="0" collapsed="false">
      <c r="A2452" s="40"/>
      <c r="B2452" s="27"/>
    </row>
    <row r="2453" customFormat="false" ht="12.75" hidden="false" customHeight="true" outlineLevel="0" collapsed="false">
      <c r="A2453" s="40"/>
      <c r="B2453" s="27"/>
    </row>
    <row r="2454" customFormat="false" ht="12.75" hidden="false" customHeight="true" outlineLevel="0" collapsed="false">
      <c r="A2454" s="40"/>
      <c r="B2454" s="27"/>
    </row>
    <row r="2455" customFormat="false" ht="12.75" hidden="false" customHeight="true" outlineLevel="0" collapsed="false">
      <c r="A2455" s="40"/>
      <c r="B2455" s="27"/>
    </row>
    <row r="2456" customFormat="false" ht="12.75" hidden="false" customHeight="true" outlineLevel="0" collapsed="false">
      <c r="A2456" s="40"/>
      <c r="B2456" s="27"/>
    </row>
    <row r="2457" customFormat="false" ht="12.75" hidden="false" customHeight="true" outlineLevel="0" collapsed="false">
      <c r="A2457" s="40"/>
      <c r="B2457" s="27"/>
    </row>
    <row r="2458" customFormat="false" ht="12.75" hidden="false" customHeight="true" outlineLevel="0" collapsed="false">
      <c r="A2458" s="40"/>
      <c r="B2458" s="27"/>
    </row>
    <row r="2459" customFormat="false" ht="12.75" hidden="false" customHeight="true" outlineLevel="0" collapsed="false">
      <c r="A2459" s="40"/>
      <c r="B2459" s="27"/>
    </row>
    <row r="2460" customFormat="false" ht="12.75" hidden="false" customHeight="true" outlineLevel="0" collapsed="false">
      <c r="A2460" s="40"/>
      <c r="B2460" s="27"/>
    </row>
    <row r="2461" customFormat="false" ht="12.75" hidden="false" customHeight="true" outlineLevel="0" collapsed="false">
      <c r="A2461" s="40"/>
      <c r="B2461" s="27"/>
    </row>
    <row r="2462" customFormat="false" ht="12.75" hidden="false" customHeight="true" outlineLevel="0" collapsed="false">
      <c r="A2462" s="40"/>
      <c r="B2462" s="27"/>
    </row>
    <row r="2463" customFormat="false" ht="12.75" hidden="false" customHeight="true" outlineLevel="0" collapsed="false">
      <c r="A2463" s="40"/>
      <c r="B2463" s="27"/>
    </row>
    <row r="2464" customFormat="false" ht="12.75" hidden="false" customHeight="true" outlineLevel="0" collapsed="false">
      <c r="A2464" s="40"/>
      <c r="B2464" s="27"/>
    </row>
    <row r="2465" customFormat="false" ht="12.75" hidden="false" customHeight="true" outlineLevel="0" collapsed="false">
      <c r="A2465" s="40"/>
      <c r="B2465" s="27"/>
    </row>
    <row r="2466" customFormat="false" ht="12.75" hidden="false" customHeight="true" outlineLevel="0" collapsed="false">
      <c r="A2466" s="40"/>
      <c r="B2466" s="27"/>
    </row>
    <row r="2467" customFormat="false" ht="12.75" hidden="false" customHeight="true" outlineLevel="0" collapsed="false">
      <c r="A2467" s="40"/>
      <c r="B2467" s="27"/>
    </row>
    <row r="2468" customFormat="false" ht="12.75" hidden="false" customHeight="true" outlineLevel="0" collapsed="false">
      <c r="A2468" s="40"/>
      <c r="B2468" s="27"/>
    </row>
    <row r="2469" customFormat="false" ht="12.75" hidden="false" customHeight="true" outlineLevel="0" collapsed="false">
      <c r="A2469" s="40"/>
      <c r="B2469" s="27"/>
    </row>
    <row r="2470" customFormat="false" ht="12.75" hidden="false" customHeight="true" outlineLevel="0" collapsed="false">
      <c r="A2470" s="40"/>
      <c r="B2470" s="27"/>
    </row>
    <row r="2471" customFormat="false" ht="12.75" hidden="false" customHeight="true" outlineLevel="0" collapsed="false">
      <c r="A2471" s="40"/>
      <c r="B2471" s="27"/>
    </row>
    <row r="2472" customFormat="false" ht="12.75" hidden="false" customHeight="true" outlineLevel="0" collapsed="false">
      <c r="A2472" s="40"/>
      <c r="B2472" s="27"/>
    </row>
    <row r="2473" customFormat="false" ht="12.75" hidden="false" customHeight="true" outlineLevel="0" collapsed="false">
      <c r="A2473" s="40"/>
      <c r="B2473" s="27"/>
    </row>
    <row r="2474" customFormat="false" ht="12.75" hidden="false" customHeight="true" outlineLevel="0" collapsed="false">
      <c r="A2474" s="40"/>
      <c r="B2474" s="27"/>
    </row>
    <row r="2475" customFormat="false" ht="12.75" hidden="false" customHeight="true" outlineLevel="0" collapsed="false">
      <c r="A2475" s="40"/>
      <c r="B2475" s="27"/>
    </row>
    <row r="2476" customFormat="false" ht="12.75" hidden="false" customHeight="true" outlineLevel="0" collapsed="false">
      <c r="A2476" s="40"/>
      <c r="B2476" s="27"/>
    </row>
    <row r="2477" customFormat="false" ht="12.75" hidden="false" customHeight="true" outlineLevel="0" collapsed="false">
      <c r="A2477" s="40"/>
      <c r="B2477" s="27"/>
    </row>
    <row r="2478" customFormat="false" ht="12.75" hidden="false" customHeight="true" outlineLevel="0" collapsed="false">
      <c r="A2478" s="40"/>
      <c r="B2478" s="27"/>
    </row>
    <row r="2479" customFormat="false" ht="12.75" hidden="false" customHeight="true" outlineLevel="0" collapsed="false">
      <c r="A2479" s="40"/>
      <c r="B2479" s="27"/>
    </row>
    <row r="2480" customFormat="false" ht="12.75" hidden="false" customHeight="true" outlineLevel="0" collapsed="false">
      <c r="A2480" s="40"/>
      <c r="B2480" s="27"/>
    </row>
    <row r="2481" customFormat="false" ht="12.75" hidden="false" customHeight="true" outlineLevel="0" collapsed="false">
      <c r="A2481" s="40"/>
      <c r="B2481" s="27"/>
    </row>
    <row r="2482" customFormat="false" ht="12.75" hidden="false" customHeight="true" outlineLevel="0" collapsed="false">
      <c r="A2482" s="40"/>
      <c r="B2482" s="27"/>
    </row>
    <row r="2483" customFormat="false" ht="12.75" hidden="false" customHeight="true" outlineLevel="0" collapsed="false">
      <c r="A2483" s="40"/>
      <c r="B2483" s="27"/>
    </row>
    <row r="2484" customFormat="false" ht="12.75" hidden="false" customHeight="true" outlineLevel="0" collapsed="false">
      <c r="A2484" s="40"/>
      <c r="B2484" s="27"/>
    </row>
    <row r="2485" customFormat="false" ht="12.75" hidden="false" customHeight="true" outlineLevel="0" collapsed="false">
      <c r="A2485" s="40"/>
      <c r="B2485" s="27"/>
    </row>
    <row r="2486" customFormat="false" ht="12.75" hidden="false" customHeight="true" outlineLevel="0" collapsed="false">
      <c r="A2486" s="40"/>
      <c r="B2486" s="27"/>
    </row>
    <row r="2487" customFormat="false" ht="12.75" hidden="false" customHeight="true" outlineLevel="0" collapsed="false">
      <c r="A2487" s="40"/>
      <c r="B2487" s="27"/>
    </row>
    <row r="2488" customFormat="false" ht="12.75" hidden="false" customHeight="true" outlineLevel="0" collapsed="false">
      <c r="A2488" s="40"/>
      <c r="B2488" s="27"/>
    </row>
    <row r="2489" customFormat="false" ht="12.75" hidden="false" customHeight="true" outlineLevel="0" collapsed="false">
      <c r="A2489" s="40"/>
      <c r="B2489" s="27"/>
    </row>
    <row r="2490" customFormat="false" ht="12.75" hidden="false" customHeight="true" outlineLevel="0" collapsed="false">
      <c r="A2490" s="40"/>
      <c r="B2490" s="27"/>
    </row>
    <row r="2491" customFormat="false" ht="12.75" hidden="false" customHeight="true" outlineLevel="0" collapsed="false">
      <c r="A2491" s="40"/>
      <c r="B2491" s="27"/>
    </row>
    <row r="2492" customFormat="false" ht="12.75" hidden="false" customHeight="true" outlineLevel="0" collapsed="false">
      <c r="A2492" s="40"/>
      <c r="B2492" s="27"/>
    </row>
    <row r="2493" customFormat="false" ht="12.75" hidden="false" customHeight="true" outlineLevel="0" collapsed="false">
      <c r="A2493" s="40"/>
      <c r="B2493" s="27"/>
    </row>
    <row r="2494" customFormat="false" ht="12.75" hidden="false" customHeight="true" outlineLevel="0" collapsed="false">
      <c r="A2494" s="40"/>
      <c r="B2494" s="27"/>
    </row>
    <row r="2495" customFormat="false" ht="12.75" hidden="false" customHeight="true" outlineLevel="0" collapsed="false">
      <c r="A2495" s="40"/>
      <c r="B2495" s="27"/>
    </row>
    <row r="2496" customFormat="false" ht="12.75" hidden="false" customHeight="true" outlineLevel="0" collapsed="false">
      <c r="A2496" s="40"/>
      <c r="B2496" s="27"/>
    </row>
    <row r="2497" customFormat="false" ht="12.75" hidden="false" customHeight="true" outlineLevel="0" collapsed="false">
      <c r="A2497" s="40"/>
      <c r="B2497" s="27"/>
    </row>
    <row r="2498" customFormat="false" ht="12.75" hidden="false" customHeight="true" outlineLevel="0" collapsed="false">
      <c r="A2498" s="40"/>
      <c r="B2498" s="27"/>
    </row>
    <row r="2499" customFormat="false" ht="12.75" hidden="false" customHeight="true" outlineLevel="0" collapsed="false">
      <c r="A2499" s="40"/>
      <c r="B2499" s="27"/>
    </row>
    <row r="2500" customFormat="false" ht="12.75" hidden="false" customHeight="true" outlineLevel="0" collapsed="false">
      <c r="A2500" s="40"/>
      <c r="B2500" s="27"/>
    </row>
    <row r="2501" customFormat="false" ht="12.75" hidden="false" customHeight="true" outlineLevel="0" collapsed="false">
      <c r="A2501" s="40"/>
      <c r="B2501" s="27"/>
    </row>
    <row r="2502" customFormat="false" ht="12.75" hidden="false" customHeight="true" outlineLevel="0" collapsed="false">
      <c r="A2502" s="40"/>
      <c r="B2502" s="27"/>
    </row>
    <row r="2503" customFormat="false" ht="12.75" hidden="false" customHeight="true" outlineLevel="0" collapsed="false">
      <c r="A2503" s="40"/>
      <c r="B2503" s="27"/>
    </row>
    <row r="2504" customFormat="false" ht="12.75" hidden="false" customHeight="true" outlineLevel="0" collapsed="false">
      <c r="A2504" s="40"/>
      <c r="B2504" s="27"/>
    </row>
    <row r="2505" customFormat="false" ht="12.75" hidden="false" customHeight="true" outlineLevel="0" collapsed="false">
      <c r="A2505" s="40"/>
      <c r="B2505" s="27"/>
    </row>
    <row r="2506" customFormat="false" ht="12.75" hidden="false" customHeight="true" outlineLevel="0" collapsed="false">
      <c r="A2506" s="40"/>
      <c r="B2506" s="27"/>
    </row>
    <row r="2507" customFormat="false" ht="12.75" hidden="false" customHeight="true" outlineLevel="0" collapsed="false">
      <c r="A2507" s="40"/>
      <c r="B2507" s="27"/>
    </row>
    <row r="2508" customFormat="false" ht="12.75" hidden="false" customHeight="true" outlineLevel="0" collapsed="false">
      <c r="A2508" s="40"/>
      <c r="B2508" s="27"/>
    </row>
    <row r="2509" customFormat="false" ht="12.75" hidden="false" customHeight="true" outlineLevel="0" collapsed="false">
      <c r="A2509" s="40"/>
      <c r="B2509" s="27"/>
    </row>
    <row r="2510" customFormat="false" ht="12.75" hidden="false" customHeight="true" outlineLevel="0" collapsed="false">
      <c r="A2510" s="40"/>
      <c r="B2510" s="27"/>
    </row>
    <row r="2511" customFormat="false" ht="12.75" hidden="false" customHeight="true" outlineLevel="0" collapsed="false">
      <c r="A2511" s="40"/>
      <c r="B2511" s="27"/>
    </row>
    <row r="2512" customFormat="false" ht="12.75" hidden="false" customHeight="true" outlineLevel="0" collapsed="false">
      <c r="A2512" s="40"/>
      <c r="B2512" s="27"/>
    </row>
    <row r="2513" customFormat="false" ht="12.75" hidden="false" customHeight="true" outlineLevel="0" collapsed="false">
      <c r="A2513" s="40"/>
      <c r="B2513" s="27"/>
    </row>
    <row r="2514" customFormat="false" ht="12.75" hidden="false" customHeight="true" outlineLevel="0" collapsed="false">
      <c r="A2514" s="40"/>
      <c r="B2514" s="27"/>
    </row>
    <row r="2515" customFormat="false" ht="12.75" hidden="false" customHeight="true" outlineLevel="0" collapsed="false">
      <c r="A2515" s="40"/>
      <c r="B2515" s="27"/>
    </row>
    <row r="2516" customFormat="false" ht="12.75" hidden="false" customHeight="true" outlineLevel="0" collapsed="false">
      <c r="A2516" s="40"/>
      <c r="B2516" s="27"/>
    </row>
    <row r="2517" customFormat="false" ht="12.75" hidden="false" customHeight="true" outlineLevel="0" collapsed="false">
      <c r="A2517" s="40"/>
      <c r="B2517" s="27"/>
    </row>
    <row r="2518" customFormat="false" ht="12.75" hidden="false" customHeight="true" outlineLevel="0" collapsed="false">
      <c r="A2518" s="40"/>
      <c r="B2518" s="27"/>
    </row>
    <row r="2519" customFormat="false" ht="12.75" hidden="false" customHeight="true" outlineLevel="0" collapsed="false">
      <c r="A2519" s="40"/>
      <c r="B2519" s="27"/>
    </row>
    <row r="2520" customFormat="false" ht="12.75" hidden="false" customHeight="true" outlineLevel="0" collapsed="false">
      <c r="A2520" s="40"/>
      <c r="B2520" s="27"/>
    </row>
    <row r="2521" customFormat="false" ht="12.75" hidden="false" customHeight="true" outlineLevel="0" collapsed="false">
      <c r="A2521" s="40"/>
      <c r="B2521" s="27"/>
    </row>
    <row r="2522" customFormat="false" ht="12.75" hidden="false" customHeight="true" outlineLevel="0" collapsed="false">
      <c r="A2522" s="40"/>
      <c r="B2522" s="27"/>
    </row>
    <row r="2523" customFormat="false" ht="12.75" hidden="false" customHeight="true" outlineLevel="0" collapsed="false">
      <c r="A2523" s="40"/>
      <c r="B2523" s="27"/>
    </row>
    <row r="2524" customFormat="false" ht="12.75" hidden="false" customHeight="true" outlineLevel="0" collapsed="false">
      <c r="A2524" s="40"/>
      <c r="B2524" s="27"/>
    </row>
    <row r="2525" customFormat="false" ht="12.75" hidden="false" customHeight="true" outlineLevel="0" collapsed="false">
      <c r="A2525" s="40"/>
      <c r="B2525" s="27"/>
    </row>
    <row r="2526" customFormat="false" ht="12.75" hidden="false" customHeight="true" outlineLevel="0" collapsed="false">
      <c r="A2526" s="40"/>
      <c r="B2526" s="27"/>
    </row>
    <row r="2527" customFormat="false" ht="12.75" hidden="false" customHeight="true" outlineLevel="0" collapsed="false">
      <c r="A2527" s="40"/>
      <c r="B2527" s="27"/>
    </row>
    <row r="2528" customFormat="false" ht="12.75" hidden="false" customHeight="true" outlineLevel="0" collapsed="false">
      <c r="A2528" s="40"/>
      <c r="B2528" s="27"/>
    </row>
    <row r="2529" customFormat="false" ht="12.75" hidden="false" customHeight="true" outlineLevel="0" collapsed="false">
      <c r="A2529" s="40"/>
      <c r="B2529" s="27"/>
    </row>
    <row r="2530" customFormat="false" ht="12.75" hidden="false" customHeight="true" outlineLevel="0" collapsed="false">
      <c r="A2530" s="40"/>
      <c r="B2530" s="27"/>
    </row>
    <row r="2531" customFormat="false" ht="12.75" hidden="false" customHeight="true" outlineLevel="0" collapsed="false">
      <c r="A2531" s="40"/>
      <c r="B2531" s="27"/>
    </row>
    <row r="2532" customFormat="false" ht="12.75" hidden="false" customHeight="true" outlineLevel="0" collapsed="false">
      <c r="A2532" s="40"/>
      <c r="B2532" s="27"/>
    </row>
    <row r="2533" customFormat="false" ht="12.75" hidden="false" customHeight="true" outlineLevel="0" collapsed="false">
      <c r="A2533" s="40"/>
      <c r="B2533" s="27"/>
    </row>
    <row r="2534" customFormat="false" ht="12.75" hidden="false" customHeight="true" outlineLevel="0" collapsed="false">
      <c r="A2534" s="40"/>
      <c r="B2534" s="27"/>
    </row>
    <row r="2535" customFormat="false" ht="12.75" hidden="false" customHeight="true" outlineLevel="0" collapsed="false">
      <c r="A2535" s="40"/>
      <c r="B2535" s="27"/>
    </row>
    <row r="2536" customFormat="false" ht="12.75" hidden="false" customHeight="true" outlineLevel="0" collapsed="false">
      <c r="A2536" s="40"/>
      <c r="B2536" s="27"/>
    </row>
    <row r="2537" customFormat="false" ht="12.75" hidden="false" customHeight="true" outlineLevel="0" collapsed="false">
      <c r="A2537" s="40"/>
      <c r="B2537" s="27"/>
    </row>
    <row r="2538" customFormat="false" ht="12.75" hidden="false" customHeight="true" outlineLevel="0" collapsed="false">
      <c r="A2538" s="40"/>
      <c r="B2538" s="27"/>
    </row>
    <row r="2539" customFormat="false" ht="12.75" hidden="false" customHeight="true" outlineLevel="0" collapsed="false">
      <c r="A2539" s="40"/>
      <c r="B2539" s="27"/>
    </row>
    <row r="2540" customFormat="false" ht="12.75" hidden="false" customHeight="true" outlineLevel="0" collapsed="false">
      <c r="A2540" s="40"/>
      <c r="B2540" s="27"/>
    </row>
    <row r="2541" customFormat="false" ht="12.75" hidden="false" customHeight="true" outlineLevel="0" collapsed="false">
      <c r="A2541" s="40"/>
      <c r="B2541" s="27"/>
    </row>
    <row r="2542" customFormat="false" ht="12.75" hidden="false" customHeight="true" outlineLevel="0" collapsed="false">
      <c r="A2542" s="40"/>
      <c r="B2542" s="27"/>
    </row>
    <row r="2543" customFormat="false" ht="12.75" hidden="false" customHeight="true" outlineLevel="0" collapsed="false">
      <c r="A2543" s="40"/>
      <c r="B2543" s="27"/>
    </row>
    <row r="2544" customFormat="false" ht="12.75" hidden="false" customHeight="true" outlineLevel="0" collapsed="false">
      <c r="A2544" s="40"/>
      <c r="B2544" s="27"/>
    </row>
    <row r="2545" customFormat="false" ht="12.75" hidden="false" customHeight="true" outlineLevel="0" collapsed="false">
      <c r="A2545" s="40"/>
      <c r="B2545" s="27"/>
    </row>
    <row r="2546" customFormat="false" ht="12.75" hidden="false" customHeight="true" outlineLevel="0" collapsed="false">
      <c r="A2546" s="40"/>
      <c r="B2546" s="27"/>
    </row>
    <row r="2547" customFormat="false" ht="12.75" hidden="false" customHeight="true" outlineLevel="0" collapsed="false">
      <c r="A2547" s="40"/>
      <c r="B2547" s="27"/>
    </row>
    <row r="2548" customFormat="false" ht="12.75" hidden="false" customHeight="true" outlineLevel="0" collapsed="false">
      <c r="A2548" s="40"/>
      <c r="B2548" s="27"/>
    </row>
    <row r="2549" customFormat="false" ht="12.75" hidden="false" customHeight="true" outlineLevel="0" collapsed="false">
      <c r="A2549" s="40"/>
      <c r="B2549" s="27"/>
    </row>
    <row r="2550" customFormat="false" ht="12.75" hidden="false" customHeight="true" outlineLevel="0" collapsed="false">
      <c r="A2550" s="40"/>
      <c r="B2550" s="27"/>
    </row>
    <row r="2551" customFormat="false" ht="12.75" hidden="false" customHeight="true" outlineLevel="0" collapsed="false">
      <c r="A2551" s="40"/>
      <c r="B2551" s="27"/>
    </row>
    <row r="2552" customFormat="false" ht="12.75" hidden="false" customHeight="true" outlineLevel="0" collapsed="false">
      <c r="A2552" s="40"/>
      <c r="B2552" s="27"/>
    </row>
    <row r="2553" customFormat="false" ht="12.75" hidden="false" customHeight="true" outlineLevel="0" collapsed="false">
      <c r="A2553" s="40"/>
      <c r="B2553" s="27"/>
    </row>
    <row r="2554" customFormat="false" ht="12.75" hidden="false" customHeight="true" outlineLevel="0" collapsed="false">
      <c r="A2554" s="40"/>
      <c r="B2554" s="27"/>
    </row>
    <row r="2555" customFormat="false" ht="12.75" hidden="false" customHeight="true" outlineLevel="0" collapsed="false">
      <c r="A2555" s="40"/>
      <c r="B2555" s="27"/>
    </row>
    <row r="2556" customFormat="false" ht="12.75" hidden="false" customHeight="true" outlineLevel="0" collapsed="false">
      <c r="A2556" s="40"/>
      <c r="B2556" s="27"/>
    </row>
    <row r="2557" customFormat="false" ht="12.75" hidden="false" customHeight="true" outlineLevel="0" collapsed="false">
      <c r="A2557" s="40"/>
      <c r="B2557" s="27"/>
    </row>
    <row r="2558" customFormat="false" ht="12.75" hidden="false" customHeight="true" outlineLevel="0" collapsed="false">
      <c r="A2558" s="40"/>
      <c r="B2558" s="27"/>
    </row>
    <row r="2559" customFormat="false" ht="12.75" hidden="false" customHeight="true" outlineLevel="0" collapsed="false">
      <c r="A2559" s="40"/>
      <c r="B2559" s="27"/>
    </row>
    <row r="2560" customFormat="false" ht="12.75" hidden="false" customHeight="true" outlineLevel="0" collapsed="false">
      <c r="A2560" s="40"/>
      <c r="B2560" s="27"/>
    </row>
    <row r="2561" customFormat="false" ht="12.75" hidden="false" customHeight="true" outlineLevel="0" collapsed="false">
      <c r="A2561" s="40"/>
      <c r="B2561" s="27"/>
    </row>
    <row r="2562" customFormat="false" ht="12.75" hidden="false" customHeight="true" outlineLevel="0" collapsed="false">
      <c r="A2562" s="40"/>
      <c r="B2562" s="27"/>
    </row>
    <row r="2563" customFormat="false" ht="12.75" hidden="false" customHeight="true" outlineLevel="0" collapsed="false">
      <c r="A2563" s="40"/>
      <c r="B2563" s="27"/>
    </row>
    <row r="2564" customFormat="false" ht="12.75" hidden="false" customHeight="true" outlineLevel="0" collapsed="false">
      <c r="A2564" s="40"/>
      <c r="B2564" s="27"/>
    </row>
    <row r="2565" customFormat="false" ht="12.75" hidden="false" customHeight="true" outlineLevel="0" collapsed="false">
      <c r="A2565" s="40"/>
      <c r="B2565" s="27"/>
    </row>
    <row r="2566" customFormat="false" ht="12.75" hidden="false" customHeight="true" outlineLevel="0" collapsed="false">
      <c r="A2566" s="40"/>
      <c r="B2566" s="27"/>
    </row>
    <row r="2567" customFormat="false" ht="12.75" hidden="false" customHeight="true" outlineLevel="0" collapsed="false">
      <c r="A2567" s="40"/>
      <c r="B2567" s="27"/>
    </row>
    <row r="2568" customFormat="false" ht="12.75" hidden="false" customHeight="true" outlineLevel="0" collapsed="false">
      <c r="A2568" s="40"/>
      <c r="B2568" s="27"/>
    </row>
    <row r="2569" customFormat="false" ht="12.75" hidden="false" customHeight="true" outlineLevel="0" collapsed="false">
      <c r="A2569" s="40"/>
      <c r="B2569" s="27"/>
    </row>
    <row r="2570" customFormat="false" ht="12.75" hidden="false" customHeight="true" outlineLevel="0" collapsed="false">
      <c r="A2570" s="40"/>
      <c r="B2570" s="27"/>
    </row>
    <row r="2571" customFormat="false" ht="12.75" hidden="false" customHeight="true" outlineLevel="0" collapsed="false">
      <c r="A2571" s="40"/>
      <c r="B2571" s="27"/>
    </row>
    <row r="2572" customFormat="false" ht="12.75" hidden="false" customHeight="true" outlineLevel="0" collapsed="false">
      <c r="A2572" s="40"/>
      <c r="B2572" s="27"/>
    </row>
    <row r="2573" customFormat="false" ht="12.75" hidden="false" customHeight="true" outlineLevel="0" collapsed="false">
      <c r="A2573" s="40"/>
      <c r="B2573" s="27"/>
    </row>
    <row r="2574" customFormat="false" ht="12.75" hidden="false" customHeight="true" outlineLevel="0" collapsed="false">
      <c r="A2574" s="40"/>
      <c r="B2574" s="27"/>
    </row>
    <row r="2575" customFormat="false" ht="12.75" hidden="false" customHeight="true" outlineLevel="0" collapsed="false">
      <c r="A2575" s="40"/>
      <c r="B2575" s="27"/>
    </row>
    <row r="2576" customFormat="false" ht="12.75" hidden="false" customHeight="true" outlineLevel="0" collapsed="false">
      <c r="A2576" s="40"/>
      <c r="B2576" s="27"/>
    </row>
    <row r="2577" customFormat="false" ht="12.75" hidden="false" customHeight="true" outlineLevel="0" collapsed="false">
      <c r="A2577" s="40"/>
      <c r="B2577" s="27"/>
    </row>
    <row r="2578" customFormat="false" ht="12.75" hidden="false" customHeight="true" outlineLevel="0" collapsed="false">
      <c r="A2578" s="40"/>
      <c r="B2578" s="27"/>
    </row>
    <row r="2579" customFormat="false" ht="12.75" hidden="false" customHeight="true" outlineLevel="0" collapsed="false">
      <c r="A2579" s="40"/>
      <c r="B2579" s="27"/>
    </row>
    <row r="2580" customFormat="false" ht="12.75" hidden="false" customHeight="true" outlineLevel="0" collapsed="false">
      <c r="A2580" s="40"/>
      <c r="B2580" s="27"/>
    </row>
    <row r="2581" customFormat="false" ht="12.75" hidden="false" customHeight="true" outlineLevel="0" collapsed="false">
      <c r="A2581" s="40"/>
      <c r="B2581" s="27"/>
    </row>
    <row r="2582" customFormat="false" ht="12.75" hidden="false" customHeight="true" outlineLevel="0" collapsed="false">
      <c r="A2582" s="40"/>
      <c r="B2582" s="27"/>
    </row>
    <row r="2583" customFormat="false" ht="12.75" hidden="false" customHeight="true" outlineLevel="0" collapsed="false">
      <c r="A2583" s="40"/>
      <c r="B2583" s="27"/>
    </row>
    <row r="2584" customFormat="false" ht="12.75" hidden="false" customHeight="true" outlineLevel="0" collapsed="false">
      <c r="A2584" s="40"/>
      <c r="B2584" s="27"/>
    </row>
    <row r="2585" customFormat="false" ht="12.75" hidden="false" customHeight="true" outlineLevel="0" collapsed="false">
      <c r="A2585" s="40"/>
      <c r="B2585" s="27"/>
    </row>
    <row r="2586" customFormat="false" ht="12.75" hidden="false" customHeight="true" outlineLevel="0" collapsed="false">
      <c r="A2586" s="40"/>
      <c r="B2586" s="27"/>
    </row>
    <row r="2587" customFormat="false" ht="12.75" hidden="false" customHeight="true" outlineLevel="0" collapsed="false">
      <c r="A2587" s="40"/>
      <c r="B2587" s="27"/>
    </row>
    <row r="2588" customFormat="false" ht="12.75" hidden="false" customHeight="true" outlineLevel="0" collapsed="false">
      <c r="A2588" s="40"/>
      <c r="B2588" s="27"/>
    </row>
    <row r="2589" customFormat="false" ht="12.75" hidden="false" customHeight="true" outlineLevel="0" collapsed="false">
      <c r="A2589" s="40"/>
      <c r="B2589" s="27"/>
    </row>
    <row r="2590" customFormat="false" ht="12.75" hidden="false" customHeight="true" outlineLevel="0" collapsed="false">
      <c r="A2590" s="40"/>
      <c r="B2590" s="27"/>
    </row>
    <row r="2591" customFormat="false" ht="12.75" hidden="false" customHeight="true" outlineLevel="0" collapsed="false">
      <c r="A2591" s="40"/>
      <c r="B2591" s="27"/>
    </row>
    <row r="2592" customFormat="false" ht="12.75" hidden="false" customHeight="true" outlineLevel="0" collapsed="false">
      <c r="A2592" s="40"/>
      <c r="B2592" s="27"/>
    </row>
    <row r="2593" customFormat="false" ht="12.75" hidden="false" customHeight="true" outlineLevel="0" collapsed="false">
      <c r="A2593" s="40"/>
      <c r="B2593" s="27"/>
    </row>
    <row r="2594" customFormat="false" ht="12.75" hidden="false" customHeight="true" outlineLevel="0" collapsed="false">
      <c r="A2594" s="40"/>
      <c r="B2594" s="27"/>
    </row>
    <row r="2595" customFormat="false" ht="12.75" hidden="false" customHeight="true" outlineLevel="0" collapsed="false">
      <c r="A2595" s="40"/>
      <c r="B2595" s="27"/>
    </row>
    <row r="2596" customFormat="false" ht="12.75" hidden="false" customHeight="true" outlineLevel="0" collapsed="false">
      <c r="A2596" s="40"/>
      <c r="B2596" s="27"/>
    </row>
    <row r="2597" customFormat="false" ht="12.75" hidden="false" customHeight="true" outlineLevel="0" collapsed="false">
      <c r="A2597" s="40"/>
      <c r="B2597" s="27"/>
    </row>
    <row r="2598" customFormat="false" ht="12.75" hidden="false" customHeight="true" outlineLevel="0" collapsed="false">
      <c r="A2598" s="40"/>
      <c r="B2598" s="27"/>
    </row>
    <row r="2599" customFormat="false" ht="12.75" hidden="false" customHeight="true" outlineLevel="0" collapsed="false">
      <c r="A2599" s="40"/>
      <c r="B2599" s="27"/>
    </row>
    <row r="2600" customFormat="false" ht="12.75" hidden="false" customHeight="true" outlineLevel="0" collapsed="false">
      <c r="A2600" s="40"/>
      <c r="B2600" s="27"/>
    </row>
    <row r="2601" customFormat="false" ht="12.75" hidden="false" customHeight="true" outlineLevel="0" collapsed="false">
      <c r="A2601" s="40"/>
      <c r="B2601" s="27"/>
    </row>
    <row r="2602" customFormat="false" ht="12.75" hidden="false" customHeight="true" outlineLevel="0" collapsed="false">
      <c r="A2602" s="40"/>
      <c r="B2602" s="27"/>
    </row>
    <row r="2603" customFormat="false" ht="12.75" hidden="false" customHeight="true" outlineLevel="0" collapsed="false">
      <c r="A2603" s="40"/>
      <c r="B2603" s="27"/>
    </row>
    <row r="2604" customFormat="false" ht="12.75" hidden="false" customHeight="true" outlineLevel="0" collapsed="false">
      <c r="A2604" s="40"/>
      <c r="B2604" s="27"/>
    </row>
    <row r="2605" customFormat="false" ht="12.75" hidden="false" customHeight="true" outlineLevel="0" collapsed="false">
      <c r="A2605" s="40"/>
      <c r="B2605" s="27"/>
    </row>
    <row r="2606" customFormat="false" ht="12.75" hidden="false" customHeight="true" outlineLevel="0" collapsed="false">
      <c r="A2606" s="40"/>
      <c r="B2606" s="27"/>
    </row>
    <row r="2607" customFormat="false" ht="12.75" hidden="false" customHeight="true" outlineLevel="0" collapsed="false">
      <c r="A2607" s="40"/>
      <c r="B2607" s="27"/>
    </row>
    <row r="2608" customFormat="false" ht="12.75" hidden="false" customHeight="true" outlineLevel="0" collapsed="false">
      <c r="A2608" s="40"/>
      <c r="B2608" s="27"/>
    </row>
    <row r="2609" customFormat="false" ht="12.75" hidden="false" customHeight="true" outlineLevel="0" collapsed="false">
      <c r="A2609" s="40"/>
      <c r="B2609" s="27"/>
    </row>
    <row r="2610" customFormat="false" ht="12.75" hidden="false" customHeight="true" outlineLevel="0" collapsed="false">
      <c r="A2610" s="40"/>
      <c r="B2610" s="27"/>
    </row>
    <row r="2611" customFormat="false" ht="12.75" hidden="false" customHeight="true" outlineLevel="0" collapsed="false">
      <c r="A2611" s="40"/>
      <c r="B2611" s="27"/>
    </row>
    <row r="2612" customFormat="false" ht="12.75" hidden="false" customHeight="true" outlineLevel="0" collapsed="false">
      <c r="A2612" s="40"/>
      <c r="B2612" s="27"/>
    </row>
    <row r="2613" customFormat="false" ht="12.75" hidden="false" customHeight="true" outlineLevel="0" collapsed="false">
      <c r="A2613" s="40"/>
      <c r="B2613" s="27"/>
    </row>
    <row r="2614" customFormat="false" ht="12.75" hidden="false" customHeight="true" outlineLevel="0" collapsed="false">
      <c r="A2614" s="40"/>
      <c r="B2614" s="27"/>
    </row>
    <row r="2615" customFormat="false" ht="12.75" hidden="false" customHeight="true" outlineLevel="0" collapsed="false">
      <c r="A2615" s="40"/>
      <c r="B2615" s="27"/>
    </row>
    <row r="2616" customFormat="false" ht="12.75" hidden="false" customHeight="true" outlineLevel="0" collapsed="false">
      <c r="A2616" s="40"/>
      <c r="B2616" s="27"/>
    </row>
    <row r="2617" customFormat="false" ht="12.75" hidden="false" customHeight="true" outlineLevel="0" collapsed="false">
      <c r="A2617" s="40"/>
      <c r="B2617" s="27"/>
    </row>
    <row r="2618" customFormat="false" ht="12.75" hidden="false" customHeight="true" outlineLevel="0" collapsed="false">
      <c r="A2618" s="40"/>
      <c r="B2618" s="27"/>
    </row>
    <row r="2619" customFormat="false" ht="12.75" hidden="false" customHeight="true" outlineLevel="0" collapsed="false">
      <c r="A2619" s="40"/>
      <c r="B2619" s="27"/>
    </row>
    <row r="2620" customFormat="false" ht="12.75" hidden="false" customHeight="true" outlineLevel="0" collapsed="false">
      <c r="A2620" s="40"/>
      <c r="B2620" s="27"/>
    </row>
    <row r="2621" customFormat="false" ht="12.75" hidden="false" customHeight="true" outlineLevel="0" collapsed="false">
      <c r="A2621" s="40"/>
      <c r="B2621" s="27"/>
    </row>
    <row r="2622" customFormat="false" ht="12.75" hidden="false" customHeight="true" outlineLevel="0" collapsed="false">
      <c r="A2622" s="40"/>
      <c r="B2622" s="27"/>
    </row>
    <row r="2623" customFormat="false" ht="12.75" hidden="false" customHeight="true" outlineLevel="0" collapsed="false">
      <c r="A2623" s="40"/>
      <c r="B2623" s="27"/>
    </row>
    <row r="2624" customFormat="false" ht="12.75" hidden="false" customHeight="true" outlineLevel="0" collapsed="false">
      <c r="A2624" s="40"/>
      <c r="B2624" s="27"/>
    </row>
    <row r="2625" customFormat="false" ht="12.75" hidden="false" customHeight="true" outlineLevel="0" collapsed="false">
      <c r="A2625" s="40"/>
      <c r="B2625" s="27"/>
    </row>
    <row r="2626" customFormat="false" ht="12.75" hidden="false" customHeight="true" outlineLevel="0" collapsed="false">
      <c r="A2626" s="40"/>
      <c r="B2626" s="27"/>
    </row>
    <row r="2627" customFormat="false" ht="12.75" hidden="false" customHeight="true" outlineLevel="0" collapsed="false">
      <c r="A2627" s="40"/>
      <c r="B2627" s="27"/>
    </row>
    <row r="2628" customFormat="false" ht="12.75" hidden="false" customHeight="true" outlineLevel="0" collapsed="false">
      <c r="A2628" s="40"/>
      <c r="B2628" s="27"/>
    </row>
    <row r="2629" customFormat="false" ht="12.75" hidden="false" customHeight="true" outlineLevel="0" collapsed="false">
      <c r="A2629" s="40"/>
      <c r="B2629" s="27"/>
    </row>
    <row r="2630" customFormat="false" ht="12.75" hidden="false" customHeight="true" outlineLevel="0" collapsed="false">
      <c r="A2630" s="40"/>
      <c r="B2630" s="27"/>
    </row>
    <row r="2631" customFormat="false" ht="12.75" hidden="false" customHeight="true" outlineLevel="0" collapsed="false">
      <c r="A2631" s="40"/>
      <c r="B2631" s="27"/>
    </row>
    <row r="2632" customFormat="false" ht="12.75" hidden="false" customHeight="true" outlineLevel="0" collapsed="false">
      <c r="A2632" s="40"/>
      <c r="B2632" s="27"/>
    </row>
    <row r="2633" customFormat="false" ht="12.75" hidden="false" customHeight="true" outlineLevel="0" collapsed="false">
      <c r="A2633" s="40"/>
      <c r="B2633" s="27"/>
    </row>
    <row r="2634" customFormat="false" ht="12.75" hidden="false" customHeight="true" outlineLevel="0" collapsed="false">
      <c r="A2634" s="40"/>
      <c r="B2634" s="27"/>
    </row>
    <row r="2635" customFormat="false" ht="12.75" hidden="false" customHeight="true" outlineLevel="0" collapsed="false">
      <c r="A2635" s="40"/>
      <c r="B2635" s="27"/>
    </row>
    <row r="2636" customFormat="false" ht="12.75" hidden="false" customHeight="true" outlineLevel="0" collapsed="false">
      <c r="A2636" s="40"/>
      <c r="B2636" s="27"/>
    </row>
    <row r="2637" customFormat="false" ht="12.75" hidden="false" customHeight="true" outlineLevel="0" collapsed="false">
      <c r="A2637" s="40"/>
      <c r="B2637" s="27"/>
    </row>
    <row r="2638" customFormat="false" ht="12.75" hidden="false" customHeight="true" outlineLevel="0" collapsed="false">
      <c r="A2638" s="40"/>
      <c r="B2638" s="27"/>
    </row>
    <row r="2639" customFormat="false" ht="12.75" hidden="false" customHeight="true" outlineLevel="0" collapsed="false">
      <c r="A2639" s="40"/>
      <c r="B2639" s="27"/>
    </row>
    <row r="2640" customFormat="false" ht="12.75" hidden="false" customHeight="true" outlineLevel="0" collapsed="false">
      <c r="A2640" s="40"/>
      <c r="B2640" s="27"/>
    </row>
    <row r="2641" customFormat="false" ht="12.75" hidden="false" customHeight="true" outlineLevel="0" collapsed="false">
      <c r="A2641" s="40"/>
      <c r="B2641" s="27"/>
    </row>
    <row r="2642" customFormat="false" ht="12.75" hidden="false" customHeight="true" outlineLevel="0" collapsed="false">
      <c r="A2642" s="40"/>
      <c r="B2642" s="27"/>
    </row>
    <row r="2643" customFormat="false" ht="12.75" hidden="false" customHeight="true" outlineLevel="0" collapsed="false">
      <c r="A2643" s="40"/>
      <c r="B2643" s="27"/>
    </row>
    <row r="2644" customFormat="false" ht="12.75" hidden="false" customHeight="true" outlineLevel="0" collapsed="false">
      <c r="A2644" s="40"/>
      <c r="B2644" s="27"/>
    </row>
    <row r="2645" customFormat="false" ht="12.75" hidden="false" customHeight="true" outlineLevel="0" collapsed="false">
      <c r="A2645" s="40"/>
      <c r="B2645" s="27"/>
    </row>
    <row r="2646" customFormat="false" ht="12.75" hidden="false" customHeight="true" outlineLevel="0" collapsed="false">
      <c r="A2646" s="40"/>
      <c r="B2646" s="27"/>
    </row>
    <row r="2647" customFormat="false" ht="12.75" hidden="false" customHeight="true" outlineLevel="0" collapsed="false">
      <c r="A2647" s="40"/>
      <c r="B2647" s="27"/>
    </row>
    <row r="2648" customFormat="false" ht="12.75" hidden="false" customHeight="true" outlineLevel="0" collapsed="false">
      <c r="A2648" s="40"/>
      <c r="B2648" s="27"/>
    </row>
    <row r="2649" customFormat="false" ht="12.75" hidden="false" customHeight="true" outlineLevel="0" collapsed="false">
      <c r="A2649" s="40"/>
      <c r="B2649" s="27"/>
    </row>
    <row r="2650" customFormat="false" ht="12.75" hidden="false" customHeight="true" outlineLevel="0" collapsed="false">
      <c r="A2650" s="40"/>
      <c r="B2650" s="27"/>
    </row>
    <row r="2651" customFormat="false" ht="12.75" hidden="false" customHeight="true" outlineLevel="0" collapsed="false">
      <c r="A2651" s="40"/>
      <c r="B2651" s="27"/>
    </row>
    <row r="2652" customFormat="false" ht="12.75" hidden="false" customHeight="true" outlineLevel="0" collapsed="false">
      <c r="A2652" s="40"/>
      <c r="B2652" s="27"/>
    </row>
    <row r="2653" customFormat="false" ht="12.75" hidden="false" customHeight="true" outlineLevel="0" collapsed="false">
      <c r="A2653" s="40"/>
      <c r="B2653" s="27"/>
    </row>
    <row r="2654" customFormat="false" ht="12.75" hidden="false" customHeight="true" outlineLevel="0" collapsed="false">
      <c r="A2654" s="40"/>
      <c r="B2654" s="27"/>
    </row>
    <row r="2655" customFormat="false" ht="12.75" hidden="false" customHeight="true" outlineLevel="0" collapsed="false">
      <c r="A2655" s="40"/>
      <c r="B2655" s="27"/>
    </row>
    <row r="2656" customFormat="false" ht="12.75" hidden="false" customHeight="true" outlineLevel="0" collapsed="false">
      <c r="A2656" s="40"/>
      <c r="B2656" s="27"/>
    </row>
    <row r="2657" customFormat="false" ht="12.75" hidden="false" customHeight="true" outlineLevel="0" collapsed="false">
      <c r="A2657" s="40"/>
      <c r="B2657" s="27"/>
    </row>
    <row r="2658" customFormat="false" ht="12.75" hidden="false" customHeight="true" outlineLevel="0" collapsed="false">
      <c r="A2658" s="40"/>
      <c r="B2658" s="27"/>
    </row>
    <row r="2659" customFormat="false" ht="12.75" hidden="false" customHeight="true" outlineLevel="0" collapsed="false">
      <c r="A2659" s="40"/>
      <c r="B2659" s="27"/>
    </row>
    <row r="2660" customFormat="false" ht="12.75" hidden="false" customHeight="true" outlineLevel="0" collapsed="false">
      <c r="A2660" s="40"/>
      <c r="B2660" s="27"/>
    </row>
    <row r="2661" customFormat="false" ht="12.75" hidden="false" customHeight="true" outlineLevel="0" collapsed="false">
      <c r="A2661" s="40"/>
      <c r="B2661" s="27"/>
    </row>
    <row r="2662" customFormat="false" ht="12.75" hidden="false" customHeight="true" outlineLevel="0" collapsed="false">
      <c r="A2662" s="40"/>
      <c r="B2662" s="27"/>
    </row>
    <row r="2663" customFormat="false" ht="12.75" hidden="false" customHeight="true" outlineLevel="0" collapsed="false">
      <c r="A2663" s="40"/>
      <c r="B2663" s="27"/>
    </row>
    <row r="2664" customFormat="false" ht="12.75" hidden="false" customHeight="true" outlineLevel="0" collapsed="false">
      <c r="A2664" s="40"/>
      <c r="B2664" s="27"/>
    </row>
    <row r="2665" customFormat="false" ht="12.75" hidden="false" customHeight="true" outlineLevel="0" collapsed="false">
      <c r="A2665" s="40"/>
      <c r="B2665" s="27"/>
    </row>
    <row r="2666" customFormat="false" ht="12.75" hidden="false" customHeight="true" outlineLevel="0" collapsed="false">
      <c r="A2666" s="40"/>
      <c r="B2666" s="27"/>
    </row>
    <row r="2667" customFormat="false" ht="12.75" hidden="false" customHeight="true" outlineLevel="0" collapsed="false">
      <c r="A2667" s="40"/>
      <c r="B2667" s="27"/>
    </row>
    <row r="2668" customFormat="false" ht="12.75" hidden="false" customHeight="true" outlineLevel="0" collapsed="false">
      <c r="A2668" s="40"/>
      <c r="B2668" s="27"/>
    </row>
    <row r="2669" customFormat="false" ht="12.75" hidden="false" customHeight="true" outlineLevel="0" collapsed="false">
      <c r="A2669" s="40"/>
      <c r="B2669" s="27"/>
    </row>
    <row r="2670" customFormat="false" ht="12.75" hidden="false" customHeight="true" outlineLevel="0" collapsed="false">
      <c r="A2670" s="40"/>
      <c r="B2670" s="27"/>
    </row>
    <row r="2671" customFormat="false" ht="12.75" hidden="false" customHeight="true" outlineLevel="0" collapsed="false">
      <c r="A2671" s="40"/>
      <c r="B2671" s="27"/>
    </row>
    <row r="2672" customFormat="false" ht="12.75" hidden="false" customHeight="true" outlineLevel="0" collapsed="false">
      <c r="A2672" s="40"/>
      <c r="B2672" s="27"/>
    </row>
    <row r="2673" customFormat="false" ht="12.75" hidden="false" customHeight="true" outlineLevel="0" collapsed="false">
      <c r="A2673" s="40"/>
      <c r="B2673" s="27"/>
    </row>
    <row r="2674" customFormat="false" ht="12.75" hidden="false" customHeight="true" outlineLevel="0" collapsed="false">
      <c r="A2674" s="40"/>
      <c r="B2674" s="27"/>
    </row>
    <row r="2675" customFormat="false" ht="12.75" hidden="false" customHeight="true" outlineLevel="0" collapsed="false">
      <c r="A2675" s="40"/>
      <c r="B2675" s="27"/>
    </row>
    <row r="2676" customFormat="false" ht="12.75" hidden="false" customHeight="true" outlineLevel="0" collapsed="false">
      <c r="A2676" s="40"/>
      <c r="B2676" s="27"/>
    </row>
    <row r="2677" customFormat="false" ht="12.75" hidden="false" customHeight="true" outlineLevel="0" collapsed="false">
      <c r="A2677" s="40"/>
      <c r="B2677" s="27"/>
    </row>
    <row r="2678" customFormat="false" ht="12.75" hidden="false" customHeight="true" outlineLevel="0" collapsed="false">
      <c r="A2678" s="40"/>
      <c r="B2678" s="27"/>
    </row>
    <row r="2679" customFormat="false" ht="12.75" hidden="false" customHeight="true" outlineLevel="0" collapsed="false">
      <c r="A2679" s="40"/>
      <c r="B2679" s="27"/>
    </row>
    <row r="2680" customFormat="false" ht="12.75" hidden="false" customHeight="true" outlineLevel="0" collapsed="false">
      <c r="A2680" s="40"/>
      <c r="B2680" s="27"/>
    </row>
    <row r="2681" customFormat="false" ht="12.75" hidden="false" customHeight="true" outlineLevel="0" collapsed="false">
      <c r="A2681" s="40"/>
      <c r="B2681" s="27"/>
    </row>
    <row r="2682" customFormat="false" ht="12.75" hidden="false" customHeight="true" outlineLevel="0" collapsed="false">
      <c r="A2682" s="40"/>
      <c r="B2682" s="27"/>
    </row>
    <row r="2683" customFormat="false" ht="12.75" hidden="false" customHeight="true" outlineLevel="0" collapsed="false">
      <c r="A2683" s="40"/>
      <c r="B2683" s="27"/>
    </row>
    <row r="2684" customFormat="false" ht="12.75" hidden="false" customHeight="true" outlineLevel="0" collapsed="false">
      <c r="A2684" s="40"/>
      <c r="B2684" s="27"/>
    </row>
    <row r="2685" customFormat="false" ht="12.75" hidden="false" customHeight="true" outlineLevel="0" collapsed="false">
      <c r="A2685" s="40"/>
      <c r="B2685" s="27"/>
    </row>
    <row r="2686" customFormat="false" ht="12.75" hidden="false" customHeight="true" outlineLevel="0" collapsed="false">
      <c r="A2686" s="40"/>
      <c r="B2686" s="27"/>
    </row>
    <row r="2687" customFormat="false" ht="12.75" hidden="false" customHeight="true" outlineLevel="0" collapsed="false">
      <c r="A2687" s="40"/>
      <c r="B2687" s="27"/>
    </row>
    <row r="2688" customFormat="false" ht="12.75" hidden="false" customHeight="true" outlineLevel="0" collapsed="false">
      <c r="A2688" s="40"/>
      <c r="B2688" s="27"/>
    </row>
    <row r="2689" customFormat="false" ht="12.75" hidden="false" customHeight="true" outlineLevel="0" collapsed="false">
      <c r="A2689" s="40"/>
      <c r="B2689" s="27"/>
    </row>
    <row r="2690" customFormat="false" ht="12.75" hidden="false" customHeight="true" outlineLevel="0" collapsed="false">
      <c r="A2690" s="40"/>
      <c r="B2690" s="27"/>
    </row>
    <row r="2691" customFormat="false" ht="12.75" hidden="false" customHeight="true" outlineLevel="0" collapsed="false">
      <c r="A2691" s="40"/>
      <c r="B2691" s="27"/>
    </row>
    <row r="2692" customFormat="false" ht="12.75" hidden="false" customHeight="true" outlineLevel="0" collapsed="false">
      <c r="A2692" s="40"/>
      <c r="B2692" s="27"/>
    </row>
    <row r="2693" customFormat="false" ht="12.75" hidden="false" customHeight="true" outlineLevel="0" collapsed="false">
      <c r="A2693" s="40"/>
      <c r="B2693" s="27"/>
    </row>
    <row r="2694" customFormat="false" ht="12.75" hidden="false" customHeight="true" outlineLevel="0" collapsed="false">
      <c r="A2694" s="40"/>
      <c r="B2694" s="27"/>
    </row>
    <row r="2695" customFormat="false" ht="12.75" hidden="false" customHeight="true" outlineLevel="0" collapsed="false">
      <c r="A2695" s="40"/>
      <c r="B2695" s="27"/>
    </row>
    <row r="2696" customFormat="false" ht="12.75" hidden="false" customHeight="true" outlineLevel="0" collapsed="false">
      <c r="A2696" s="40"/>
      <c r="B2696" s="27"/>
    </row>
    <row r="2697" customFormat="false" ht="12.75" hidden="false" customHeight="true" outlineLevel="0" collapsed="false">
      <c r="A2697" s="40"/>
      <c r="B2697" s="27"/>
    </row>
    <row r="2698" customFormat="false" ht="12.75" hidden="false" customHeight="true" outlineLevel="0" collapsed="false">
      <c r="A2698" s="40"/>
      <c r="B2698" s="27"/>
    </row>
    <row r="2699" customFormat="false" ht="12.75" hidden="false" customHeight="true" outlineLevel="0" collapsed="false">
      <c r="A2699" s="40"/>
      <c r="B2699" s="27"/>
    </row>
    <row r="2700" customFormat="false" ht="12.75" hidden="false" customHeight="true" outlineLevel="0" collapsed="false">
      <c r="A2700" s="40"/>
      <c r="B2700" s="27"/>
    </row>
    <row r="2701" customFormat="false" ht="12.75" hidden="false" customHeight="true" outlineLevel="0" collapsed="false">
      <c r="A2701" s="40"/>
      <c r="B2701" s="27"/>
    </row>
    <row r="2702" customFormat="false" ht="12.75" hidden="false" customHeight="true" outlineLevel="0" collapsed="false">
      <c r="A2702" s="40"/>
      <c r="B2702" s="27"/>
    </row>
    <row r="2703" customFormat="false" ht="12.75" hidden="false" customHeight="true" outlineLevel="0" collapsed="false">
      <c r="A2703" s="40"/>
      <c r="B2703" s="27"/>
    </row>
    <row r="2704" customFormat="false" ht="12.75" hidden="false" customHeight="true" outlineLevel="0" collapsed="false">
      <c r="A2704" s="40"/>
      <c r="B2704" s="27"/>
    </row>
    <row r="2705" customFormat="false" ht="12.75" hidden="false" customHeight="true" outlineLevel="0" collapsed="false">
      <c r="A2705" s="40"/>
      <c r="B2705" s="27"/>
    </row>
    <row r="2706" customFormat="false" ht="12.75" hidden="false" customHeight="true" outlineLevel="0" collapsed="false">
      <c r="A2706" s="40"/>
      <c r="B2706" s="27"/>
    </row>
    <row r="2707" customFormat="false" ht="12.75" hidden="false" customHeight="true" outlineLevel="0" collapsed="false">
      <c r="A2707" s="40"/>
      <c r="B2707" s="27"/>
    </row>
    <row r="2708" customFormat="false" ht="12.75" hidden="false" customHeight="true" outlineLevel="0" collapsed="false">
      <c r="A2708" s="40"/>
      <c r="B2708" s="27"/>
    </row>
    <row r="2709" customFormat="false" ht="12.75" hidden="false" customHeight="true" outlineLevel="0" collapsed="false">
      <c r="A2709" s="40"/>
      <c r="B2709" s="27"/>
    </row>
    <row r="2710" customFormat="false" ht="12.75" hidden="false" customHeight="true" outlineLevel="0" collapsed="false">
      <c r="A2710" s="40"/>
      <c r="B2710" s="27"/>
    </row>
    <row r="2711" customFormat="false" ht="12.75" hidden="false" customHeight="true" outlineLevel="0" collapsed="false">
      <c r="A2711" s="40"/>
      <c r="B2711" s="27"/>
    </row>
    <row r="2712" customFormat="false" ht="12.75" hidden="false" customHeight="true" outlineLevel="0" collapsed="false">
      <c r="A2712" s="40"/>
      <c r="B2712" s="27"/>
    </row>
    <row r="2713" customFormat="false" ht="12.75" hidden="false" customHeight="true" outlineLevel="0" collapsed="false">
      <c r="A2713" s="40"/>
      <c r="B2713" s="27"/>
    </row>
    <row r="2714" customFormat="false" ht="12.75" hidden="false" customHeight="true" outlineLevel="0" collapsed="false">
      <c r="A2714" s="40"/>
      <c r="B2714" s="27"/>
    </row>
    <row r="2715" customFormat="false" ht="12.75" hidden="false" customHeight="true" outlineLevel="0" collapsed="false">
      <c r="A2715" s="40"/>
      <c r="B2715" s="27"/>
    </row>
    <row r="2716" customFormat="false" ht="12.75" hidden="false" customHeight="true" outlineLevel="0" collapsed="false">
      <c r="A2716" s="40"/>
      <c r="B2716" s="27"/>
    </row>
    <row r="2717" customFormat="false" ht="12.75" hidden="false" customHeight="true" outlineLevel="0" collapsed="false">
      <c r="A2717" s="40"/>
      <c r="B2717" s="27"/>
    </row>
    <row r="2718" customFormat="false" ht="12.75" hidden="false" customHeight="true" outlineLevel="0" collapsed="false">
      <c r="A2718" s="40"/>
      <c r="B2718" s="27"/>
    </row>
    <row r="2719" customFormat="false" ht="12.75" hidden="false" customHeight="true" outlineLevel="0" collapsed="false">
      <c r="A2719" s="40"/>
      <c r="B2719" s="27"/>
    </row>
    <row r="2720" customFormat="false" ht="12.75" hidden="false" customHeight="true" outlineLevel="0" collapsed="false">
      <c r="A2720" s="40"/>
      <c r="B2720" s="27"/>
    </row>
    <row r="2721" customFormat="false" ht="12.75" hidden="false" customHeight="true" outlineLevel="0" collapsed="false">
      <c r="A2721" s="40"/>
      <c r="B2721" s="27"/>
    </row>
    <row r="2722" customFormat="false" ht="12.75" hidden="false" customHeight="true" outlineLevel="0" collapsed="false">
      <c r="A2722" s="40"/>
      <c r="B2722" s="27"/>
    </row>
    <row r="2723" customFormat="false" ht="12.75" hidden="false" customHeight="true" outlineLevel="0" collapsed="false">
      <c r="A2723" s="40"/>
      <c r="B2723" s="27"/>
    </row>
    <row r="2724" customFormat="false" ht="12.75" hidden="false" customHeight="true" outlineLevel="0" collapsed="false">
      <c r="A2724" s="40"/>
      <c r="B2724" s="27"/>
    </row>
    <row r="2725" customFormat="false" ht="12.75" hidden="false" customHeight="true" outlineLevel="0" collapsed="false">
      <c r="A2725" s="40"/>
      <c r="B2725" s="27"/>
    </row>
    <row r="2726" customFormat="false" ht="12.75" hidden="false" customHeight="true" outlineLevel="0" collapsed="false">
      <c r="A2726" s="40"/>
      <c r="B2726" s="27"/>
    </row>
    <row r="2727" customFormat="false" ht="12.75" hidden="false" customHeight="true" outlineLevel="0" collapsed="false">
      <c r="A2727" s="40"/>
      <c r="B2727" s="27"/>
    </row>
    <row r="2728" customFormat="false" ht="12.75" hidden="false" customHeight="true" outlineLevel="0" collapsed="false">
      <c r="A2728" s="40"/>
      <c r="B2728" s="27"/>
    </row>
    <row r="2729" customFormat="false" ht="12.75" hidden="false" customHeight="true" outlineLevel="0" collapsed="false">
      <c r="A2729" s="40"/>
      <c r="B2729" s="27"/>
    </row>
    <row r="2730" customFormat="false" ht="12.75" hidden="false" customHeight="true" outlineLevel="0" collapsed="false">
      <c r="A2730" s="40"/>
      <c r="B2730" s="27"/>
    </row>
    <row r="2731" customFormat="false" ht="12.75" hidden="false" customHeight="true" outlineLevel="0" collapsed="false">
      <c r="A2731" s="40"/>
      <c r="B2731" s="27"/>
    </row>
    <row r="2732" customFormat="false" ht="12.75" hidden="false" customHeight="true" outlineLevel="0" collapsed="false">
      <c r="A2732" s="40"/>
      <c r="B2732" s="27"/>
    </row>
    <row r="2733" customFormat="false" ht="12.75" hidden="false" customHeight="true" outlineLevel="0" collapsed="false">
      <c r="A2733" s="40"/>
      <c r="B2733" s="27"/>
    </row>
    <row r="2734" customFormat="false" ht="12.75" hidden="false" customHeight="true" outlineLevel="0" collapsed="false">
      <c r="A2734" s="40"/>
      <c r="B2734" s="27"/>
    </row>
    <row r="2735" customFormat="false" ht="12.75" hidden="false" customHeight="true" outlineLevel="0" collapsed="false">
      <c r="A2735" s="40"/>
      <c r="B2735" s="27"/>
    </row>
    <row r="2736" customFormat="false" ht="12.75" hidden="false" customHeight="true" outlineLevel="0" collapsed="false">
      <c r="A2736" s="40"/>
      <c r="B2736" s="27"/>
    </row>
    <row r="2737" customFormat="false" ht="12.75" hidden="false" customHeight="true" outlineLevel="0" collapsed="false">
      <c r="A2737" s="40"/>
      <c r="B2737" s="27"/>
    </row>
    <row r="2738" customFormat="false" ht="12.75" hidden="false" customHeight="true" outlineLevel="0" collapsed="false">
      <c r="A2738" s="40"/>
      <c r="B2738" s="27"/>
    </row>
    <row r="2739" customFormat="false" ht="12.75" hidden="false" customHeight="true" outlineLevel="0" collapsed="false">
      <c r="A2739" s="40"/>
      <c r="B2739" s="27"/>
    </row>
    <row r="2740" customFormat="false" ht="12.75" hidden="false" customHeight="true" outlineLevel="0" collapsed="false">
      <c r="A2740" s="40"/>
      <c r="B2740" s="27"/>
    </row>
    <row r="2741" customFormat="false" ht="12.75" hidden="false" customHeight="true" outlineLevel="0" collapsed="false">
      <c r="A2741" s="40"/>
      <c r="B2741" s="27"/>
    </row>
    <row r="2742" customFormat="false" ht="12.75" hidden="false" customHeight="true" outlineLevel="0" collapsed="false">
      <c r="A2742" s="40"/>
      <c r="B2742" s="27"/>
    </row>
    <row r="2743" customFormat="false" ht="12.75" hidden="false" customHeight="true" outlineLevel="0" collapsed="false">
      <c r="A2743" s="40"/>
      <c r="B2743" s="27"/>
    </row>
    <row r="2744" customFormat="false" ht="12.75" hidden="false" customHeight="true" outlineLevel="0" collapsed="false">
      <c r="A2744" s="40"/>
      <c r="B2744" s="27"/>
    </row>
    <row r="2745" customFormat="false" ht="12.75" hidden="false" customHeight="true" outlineLevel="0" collapsed="false">
      <c r="A2745" s="40"/>
      <c r="B2745" s="27"/>
    </row>
    <row r="2746" customFormat="false" ht="12.75" hidden="false" customHeight="true" outlineLevel="0" collapsed="false">
      <c r="A2746" s="40"/>
      <c r="B2746" s="27"/>
    </row>
    <row r="2747" customFormat="false" ht="12.75" hidden="false" customHeight="true" outlineLevel="0" collapsed="false">
      <c r="A2747" s="40"/>
      <c r="B2747" s="27"/>
    </row>
    <row r="2748" customFormat="false" ht="12.75" hidden="false" customHeight="true" outlineLevel="0" collapsed="false">
      <c r="A2748" s="40"/>
      <c r="B2748" s="27"/>
    </row>
    <row r="2749" customFormat="false" ht="12.75" hidden="false" customHeight="true" outlineLevel="0" collapsed="false">
      <c r="A2749" s="40"/>
      <c r="B2749" s="27"/>
    </row>
    <row r="2750" customFormat="false" ht="12.75" hidden="false" customHeight="true" outlineLevel="0" collapsed="false">
      <c r="A2750" s="40"/>
      <c r="B2750" s="27"/>
    </row>
    <row r="2751" customFormat="false" ht="12.75" hidden="false" customHeight="true" outlineLevel="0" collapsed="false">
      <c r="A2751" s="40"/>
      <c r="B2751" s="27"/>
    </row>
    <row r="2752" customFormat="false" ht="12.75" hidden="false" customHeight="true" outlineLevel="0" collapsed="false">
      <c r="A2752" s="40"/>
      <c r="B2752" s="27"/>
    </row>
    <row r="2753" customFormat="false" ht="12.75" hidden="false" customHeight="true" outlineLevel="0" collapsed="false">
      <c r="A2753" s="40"/>
      <c r="B2753" s="27"/>
    </row>
    <row r="2754" customFormat="false" ht="12.75" hidden="false" customHeight="true" outlineLevel="0" collapsed="false">
      <c r="A2754" s="40"/>
      <c r="B2754" s="27"/>
    </row>
    <row r="2755" customFormat="false" ht="12.75" hidden="false" customHeight="true" outlineLevel="0" collapsed="false">
      <c r="A2755" s="40"/>
      <c r="B2755" s="27"/>
    </row>
    <row r="2756" customFormat="false" ht="12.75" hidden="false" customHeight="true" outlineLevel="0" collapsed="false">
      <c r="A2756" s="40"/>
      <c r="B2756" s="27"/>
    </row>
    <row r="2757" customFormat="false" ht="12.75" hidden="false" customHeight="true" outlineLevel="0" collapsed="false">
      <c r="A2757" s="40"/>
      <c r="B2757" s="27"/>
    </row>
    <row r="2758" customFormat="false" ht="12.75" hidden="false" customHeight="true" outlineLevel="0" collapsed="false">
      <c r="A2758" s="40"/>
      <c r="B2758" s="27"/>
    </row>
    <row r="2759" customFormat="false" ht="12.75" hidden="false" customHeight="true" outlineLevel="0" collapsed="false">
      <c r="A2759" s="40"/>
      <c r="B2759" s="27"/>
    </row>
    <row r="2760" customFormat="false" ht="12.75" hidden="false" customHeight="true" outlineLevel="0" collapsed="false">
      <c r="A2760" s="40"/>
      <c r="B2760" s="27"/>
    </row>
    <row r="2761" customFormat="false" ht="12.75" hidden="false" customHeight="true" outlineLevel="0" collapsed="false">
      <c r="A2761" s="40"/>
      <c r="B2761" s="27"/>
    </row>
    <row r="2762" customFormat="false" ht="12.75" hidden="false" customHeight="true" outlineLevel="0" collapsed="false">
      <c r="A2762" s="40"/>
      <c r="B2762" s="27"/>
    </row>
    <row r="2763" customFormat="false" ht="12.75" hidden="false" customHeight="true" outlineLevel="0" collapsed="false">
      <c r="A2763" s="40"/>
      <c r="B2763" s="27"/>
    </row>
    <row r="2764" customFormat="false" ht="12.75" hidden="false" customHeight="true" outlineLevel="0" collapsed="false">
      <c r="A2764" s="40"/>
      <c r="B2764" s="27"/>
    </row>
    <row r="2765" customFormat="false" ht="12.75" hidden="false" customHeight="true" outlineLevel="0" collapsed="false">
      <c r="A2765" s="40"/>
      <c r="B2765" s="27"/>
    </row>
    <row r="2766" customFormat="false" ht="12.75" hidden="false" customHeight="true" outlineLevel="0" collapsed="false">
      <c r="A2766" s="40"/>
      <c r="B2766" s="27"/>
    </row>
    <row r="2767" customFormat="false" ht="12.75" hidden="false" customHeight="true" outlineLevel="0" collapsed="false">
      <c r="A2767" s="40"/>
      <c r="B2767" s="27"/>
    </row>
    <row r="2768" customFormat="false" ht="12.75" hidden="false" customHeight="true" outlineLevel="0" collapsed="false">
      <c r="A2768" s="40"/>
      <c r="B2768" s="27"/>
    </row>
    <row r="2769" customFormat="false" ht="12.75" hidden="false" customHeight="true" outlineLevel="0" collapsed="false">
      <c r="A2769" s="40"/>
      <c r="B2769" s="27"/>
    </row>
    <row r="2770" customFormat="false" ht="12.75" hidden="false" customHeight="true" outlineLevel="0" collapsed="false">
      <c r="A2770" s="40"/>
      <c r="B2770" s="27"/>
    </row>
    <row r="2771" customFormat="false" ht="12.75" hidden="false" customHeight="true" outlineLevel="0" collapsed="false">
      <c r="A2771" s="40"/>
      <c r="B2771" s="27"/>
    </row>
    <row r="2772" customFormat="false" ht="12.75" hidden="false" customHeight="true" outlineLevel="0" collapsed="false">
      <c r="A2772" s="40"/>
      <c r="B2772" s="27"/>
    </row>
    <row r="2773" customFormat="false" ht="12.75" hidden="false" customHeight="true" outlineLevel="0" collapsed="false">
      <c r="A2773" s="40"/>
      <c r="B2773" s="27"/>
    </row>
    <row r="2774" customFormat="false" ht="12.75" hidden="false" customHeight="true" outlineLevel="0" collapsed="false">
      <c r="A2774" s="40"/>
      <c r="B2774" s="27"/>
    </row>
    <row r="2775" customFormat="false" ht="12.75" hidden="false" customHeight="true" outlineLevel="0" collapsed="false">
      <c r="A2775" s="40"/>
      <c r="B2775" s="27"/>
    </row>
    <row r="2776" customFormat="false" ht="12.75" hidden="false" customHeight="true" outlineLevel="0" collapsed="false">
      <c r="A2776" s="40"/>
      <c r="B2776" s="27"/>
    </row>
    <row r="2777" customFormat="false" ht="12.75" hidden="false" customHeight="true" outlineLevel="0" collapsed="false">
      <c r="A2777" s="40"/>
      <c r="B2777" s="27"/>
    </row>
    <row r="2778" customFormat="false" ht="12.75" hidden="false" customHeight="true" outlineLevel="0" collapsed="false">
      <c r="A2778" s="40"/>
      <c r="B2778" s="27"/>
    </row>
    <row r="2779" customFormat="false" ht="12.75" hidden="false" customHeight="true" outlineLevel="0" collapsed="false">
      <c r="A2779" s="40"/>
      <c r="B2779" s="27"/>
    </row>
    <row r="2780" customFormat="false" ht="12.75" hidden="false" customHeight="true" outlineLevel="0" collapsed="false">
      <c r="A2780" s="40"/>
      <c r="B2780" s="27"/>
    </row>
    <row r="2781" customFormat="false" ht="12.75" hidden="false" customHeight="true" outlineLevel="0" collapsed="false">
      <c r="A2781" s="40"/>
      <c r="B2781" s="27"/>
    </row>
    <row r="2782" customFormat="false" ht="12.75" hidden="false" customHeight="true" outlineLevel="0" collapsed="false">
      <c r="A2782" s="40"/>
      <c r="B2782" s="27"/>
    </row>
    <row r="2783" customFormat="false" ht="12.75" hidden="false" customHeight="true" outlineLevel="0" collapsed="false">
      <c r="A2783" s="40"/>
      <c r="B2783" s="27"/>
    </row>
    <row r="2784" customFormat="false" ht="12.75" hidden="false" customHeight="true" outlineLevel="0" collapsed="false">
      <c r="A2784" s="40"/>
      <c r="B2784" s="27"/>
    </row>
    <row r="2785" customFormat="false" ht="12.75" hidden="false" customHeight="true" outlineLevel="0" collapsed="false">
      <c r="A2785" s="40"/>
      <c r="B2785" s="27"/>
    </row>
    <row r="2786" customFormat="false" ht="12.75" hidden="false" customHeight="true" outlineLevel="0" collapsed="false">
      <c r="A2786" s="40"/>
      <c r="B2786" s="27"/>
    </row>
    <row r="2787" customFormat="false" ht="12.75" hidden="false" customHeight="true" outlineLevel="0" collapsed="false">
      <c r="A2787" s="40"/>
      <c r="B2787" s="27"/>
    </row>
    <row r="2788" customFormat="false" ht="12.75" hidden="false" customHeight="true" outlineLevel="0" collapsed="false">
      <c r="A2788" s="40"/>
      <c r="B2788" s="27"/>
    </row>
    <row r="2789" customFormat="false" ht="12.75" hidden="false" customHeight="true" outlineLevel="0" collapsed="false">
      <c r="A2789" s="40"/>
      <c r="B2789" s="27"/>
    </row>
    <row r="2790" customFormat="false" ht="12.75" hidden="false" customHeight="true" outlineLevel="0" collapsed="false">
      <c r="A2790" s="40"/>
      <c r="B2790" s="27"/>
    </row>
    <row r="2791" customFormat="false" ht="12.75" hidden="false" customHeight="true" outlineLevel="0" collapsed="false">
      <c r="A2791" s="40"/>
      <c r="B2791" s="27"/>
    </row>
    <row r="2792" customFormat="false" ht="12.75" hidden="false" customHeight="true" outlineLevel="0" collapsed="false">
      <c r="A2792" s="40"/>
      <c r="B2792" s="27"/>
    </row>
    <row r="2793" customFormat="false" ht="12.75" hidden="false" customHeight="true" outlineLevel="0" collapsed="false">
      <c r="A2793" s="40"/>
      <c r="B2793" s="27"/>
    </row>
    <row r="2794" customFormat="false" ht="12.75" hidden="false" customHeight="true" outlineLevel="0" collapsed="false">
      <c r="A2794" s="40"/>
      <c r="B2794" s="27"/>
    </row>
    <row r="2795" customFormat="false" ht="12.75" hidden="false" customHeight="true" outlineLevel="0" collapsed="false">
      <c r="A2795" s="40"/>
      <c r="B2795" s="27"/>
    </row>
    <row r="2796" customFormat="false" ht="12.75" hidden="false" customHeight="true" outlineLevel="0" collapsed="false">
      <c r="A2796" s="40"/>
      <c r="B2796" s="27"/>
    </row>
    <row r="2797" customFormat="false" ht="12.75" hidden="false" customHeight="true" outlineLevel="0" collapsed="false">
      <c r="A2797" s="40"/>
      <c r="B2797" s="27"/>
    </row>
    <row r="2798" customFormat="false" ht="12.75" hidden="false" customHeight="true" outlineLevel="0" collapsed="false">
      <c r="A2798" s="40"/>
      <c r="B2798" s="27"/>
    </row>
    <row r="2799" customFormat="false" ht="12.75" hidden="false" customHeight="true" outlineLevel="0" collapsed="false">
      <c r="A2799" s="40"/>
      <c r="B2799" s="27"/>
    </row>
    <row r="2800" customFormat="false" ht="12.75" hidden="false" customHeight="true" outlineLevel="0" collapsed="false">
      <c r="A2800" s="40"/>
      <c r="B2800" s="27"/>
    </row>
    <row r="2801" customFormat="false" ht="12.75" hidden="false" customHeight="true" outlineLevel="0" collapsed="false">
      <c r="A2801" s="40"/>
      <c r="B2801" s="27"/>
    </row>
    <row r="2802" customFormat="false" ht="12.75" hidden="false" customHeight="true" outlineLevel="0" collapsed="false">
      <c r="A2802" s="40"/>
      <c r="B2802" s="27"/>
    </row>
    <row r="2803" customFormat="false" ht="12.75" hidden="false" customHeight="true" outlineLevel="0" collapsed="false">
      <c r="A2803" s="40"/>
      <c r="B2803" s="27"/>
    </row>
    <row r="2804" customFormat="false" ht="12.75" hidden="false" customHeight="true" outlineLevel="0" collapsed="false">
      <c r="A2804" s="40"/>
      <c r="B2804" s="27"/>
    </row>
    <row r="2805" customFormat="false" ht="12.75" hidden="false" customHeight="true" outlineLevel="0" collapsed="false">
      <c r="A2805" s="40"/>
      <c r="B2805" s="27"/>
    </row>
    <row r="2806" customFormat="false" ht="12.75" hidden="false" customHeight="true" outlineLevel="0" collapsed="false">
      <c r="A2806" s="40"/>
      <c r="B2806" s="27"/>
    </row>
    <row r="2807" customFormat="false" ht="12.75" hidden="false" customHeight="true" outlineLevel="0" collapsed="false">
      <c r="A2807" s="40"/>
      <c r="B2807" s="27"/>
    </row>
    <row r="2808" customFormat="false" ht="12.75" hidden="false" customHeight="true" outlineLevel="0" collapsed="false">
      <c r="A2808" s="40"/>
      <c r="B2808" s="27"/>
    </row>
    <row r="2809" customFormat="false" ht="12.75" hidden="false" customHeight="true" outlineLevel="0" collapsed="false">
      <c r="A2809" s="40"/>
      <c r="B2809" s="27"/>
    </row>
    <row r="2810" customFormat="false" ht="12.75" hidden="false" customHeight="true" outlineLevel="0" collapsed="false">
      <c r="A2810" s="40"/>
      <c r="B2810" s="27"/>
    </row>
    <row r="2811" customFormat="false" ht="12.75" hidden="false" customHeight="true" outlineLevel="0" collapsed="false">
      <c r="A2811" s="40"/>
      <c r="B2811" s="27"/>
    </row>
    <row r="2812" customFormat="false" ht="12.75" hidden="false" customHeight="true" outlineLevel="0" collapsed="false">
      <c r="A2812" s="40"/>
      <c r="B2812" s="27"/>
    </row>
    <row r="2813" customFormat="false" ht="12.75" hidden="false" customHeight="true" outlineLevel="0" collapsed="false">
      <c r="A2813" s="40"/>
      <c r="B2813" s="27"/>
    </row>
    <row r="2814" customFormat="false" ht="12.75" hidden="false" customHeight="true" outlineLevel="0" collapsed="false">
      <c r="A2814" s="40"/>
      <c r="B2814" s="27"/>
    </row>
    <row r="2815" customFormat="false" ht="12.75" hidden="false" customHeight="true" outlineLevel="0" collapsed="false">
      <c r="A2815" s="40"/>
      <c r="B2815" s="27"/>
    </row>
    <row r="2816" customFormat="false" ht="12.75" hidden="false" customHeight="true" outlineLevel="0" collapsed="false">
      <c r="A2816" s="40"/>
      <c r="B2816" s="27"/>
    </row>
    <row r="2817" customFormat="false" ht="12.75" hidden="false" customHeight="true" outlineLevel="0" collapsed="false">
      <c r="A2817" s="40"/>
      <c r="B2817" s="27"/>
    </row>
    <row r="2818" customFormat="false" ht="12.75" hidden="false" customHeight="true" outlineLevel="0" collapsed="false">
      <c r="A2818" s="40"/>
      <c r="B2818" s="27"/>
    </row>
    <row r="2819" customFormat="false" ht="12.75" hidden="false" customHeight="true" outlineLevel="0" collapsed="false">
      <c r="A2819" s="40"/>
      <c r="B2819" s="27"/>
    </row>
    <row r="2820" customFormat="false" ht="12.75" hidden="false" customHeight="true" outlineLevel="0" collapsed="false">
      <c r="A2820" s="40"/>
      <c r="B2820" s="27"/>
    </row>
    <row r="2821" customFormat="false" ht="12.75" hidden="false" customHeight="true" outlineLevel="0" collapsed="false">
      <c r="A2821" s="40"/>
      <c r="B2821" s="27"/>
    </row>
    <row r="2822" customFormat="false" ht="12.75" hidden="false" customHeight="true" outlineLevel="0" collapsed="false">
      <c r="A2822" s="40"/>
      <c r="B2822" s="27"/>
    </row>
    <row r="2823" customFormat="false" ht="12.75" hidden="false" customHeight="true" outlineLevel="0" collapsed="false">
      <c r="A2823" s="40"/>
      <c r="B2823" s="27"/>
    </row>
    <row r="2824" customFormat="false" ht="12.75" hidden="false" customHeight="true" outlineLevel="0" collapsed="false">
      <c r="A2824" s="40"/>
      <c r="B2824" s="27"/>
    </row>
    <row r="2825" customFormat="false" ht="12.75" hidden="false" customHeight="true" outlineLevel="0" collapsed="false">
      <c r="A2825" s="40"/>
      <c r="B2825" s="27"/>
    </row>
    <row r="2826" customFormat="false" ht="12.75" hidden="false" customHeight="true" outlineLevel="0" collapsed="false">
      <c r="A2826" s="40"/>
      <c r="B2826" s="27"/>
    </row>
    <row r="2827" customFormat="false" ht="12.75" hidden="false" customHeight="true" outlineLevel="0" collapsed="false">
      <c r="A2827" s="40"/>
      <c r="B2827" s="27"/>
    </row>
    <row r="2828" customFormat="false" ht="12.75" hidden="false" customHeight="true" outlineLevel="0" collapsed="false">
      <c r="A2828" s="40"/>
      <c r="B2828" s="27"/>
    </row>
    <row r="2829" customFormat="false" ht="12.75" hidden="false" customHeight="true" outlineLevel="0" collapsed="false">
      <c r="A2829" s="40"/>
      <c r="B2829" s="27"/>
    </row>
    <row r="2830" customFormat="false" ht="12.75" hidden="false" customHeight="true" outlineLevel="0" collapsed="false">
      <c r="A2830" s="40"/>
      <c r="B2830" s="27"/>
    </row>
    <row r="2831" customFormat="false" ht="12.75" hidden="false" customHeight="true" outlineLevel="0" collapsed="false">
      <c r="A2831" s="40"/>
      <c r="B2831" s="27"/>
    </row>
    <row r="2832" customFormat="false" ht="12.75" hidden="false" customHeight="true" outlineLevel="0" collapsed="false">
      <c r="A2832" s="40"/>
      <c r="B2832" s="27"/>
    </row>
    <row r="2833" customFormat="false" ht="12.75" hidden="false" customHeight="true" outlineLevel="0" collapsed="false">
      <c r="A2833" s="40"/>
      <c r="B2833" s="27"/>
    </row>
    <row r="2834" customFormat="false" ht="12.75" hidden="false" customHeight="true" outlineLevel="0" collapsed="false">
      <c r="A2834" s="40"/>
      <c r="B2834" s="27"/>
    </row>
    <row r="2835" customFormat="false" ht="12.75" hidden="false" customHeight="true" outlineLevel="0" collapsed="false">
      <c r="A2835" s="40"/>
      <c r="B2835" s="27"/>
    </row>
    <row r="2836" customFormat="false" ht="12.75" hidden="false" customHeight="true" outlineLevel="0" collapsed="false">
      <c r="A2836" s="40"/>
      <c r="B2836" s="27"/>
    </row>
    <row r="2837" customFormat="false" ht="12.75" hidden="false" customHeight="true" outlineLevel="0" collapsed="false">
      <c r="A2837" s="40"/>
      <c r="B2837" s="27"/>
    </row>
    <row r="2838" customFormat="false" ht="12.75" hidden="false" customHeight="true" outlineLevel="0" collapsed="false">
      <c r="A2838" s="40"/>
      <c r="B2838" s="27"/>
    </row>
    <row r="2839" customFormat="false" ht="12.75" hidden="false" customHeight="true" outlineLevel="0" collapsed="false">
      <c r="A2839" s="40"/>
      <c r="B2839" s="27"/>
    </row>
    <row r="2840" customFormat="false" ht="12.75" hidden="false" customHeight="true" outlineLevel="0" collapsed="false">
      <c r="A2840" s="40"/>
      <c r="B2840" s="27"/>
    </row>
    <row r="2841" customFormat="false" ht="12.75" hidden="false" customHeight="true" outlineLevel="0" collapsed="false">
      <c r="A2841" s="40"/>
      <c r="B2841" s="27"/>
    </row>
    <row r="2842" customFormat="false" ht="12.75" hidden="false" customHeight="true" outlineLevel="0" collapsed="false">
      <c r="A2842" s="40"/>
      <c r="B2842" s="27"/>
    </row>
    <row r="2843" customFormat="false" ht="12.75" hidden="false" customHeight="true" outlineLevel="0" collapsed="false">
      <c r="A2843" s="40"/>
      <c r="B2843" s="27"/>
    </row>
    <row r="2844" customFormat="false" ht="12.75" hidden="false" customHeight="true" outlineLevel="0" collapsed="false">
      <c r="A2844" s="40"/>
      <c r="B2844" s="27"/>
    </row>
    <row r="2845" customFormat="false" ht="12.75" hidden="false" customHeight="true" outlineLevel="0" collapsed="false">
      <c r="A2845" s="40"/>
      <c r="B2845" s="27"/>
    </row>
    <row r="2846" customFormat="false" ht="12.75" hidden="false" customHeight="true" outlineLevel="0" collapsed="false">
      <c r="A2846" s="40"/>
      <c r="B2846" s="27"/>
    </row>
    <row r="2847" customFormat="false" ht="12.75" hidden="false" customHeight="true" outlineLevel="0" collapsed="false">
      <c r="A2847" s="40"/>
      <c r="B2847" s="27"/>
    </row>
    <row r="2848" customFormat="false" ht="12.75" hidden="false" customHeight="true" outlineLevel="0" collapsed="false">
      <c r="A2848" s="40"/>
      <c r="B2848" s="27"/>
    </row>
    <row r="2849" customFormat="false" ht="12.75" hidden="false" customHeight="true" outlineLevel="0" collapsed="false">
      <c r="A2849" s="40"/>
      <c r="B2849" s="27"/>
    </row>
    <row r="2850" customFormat="false" ht="12.75" hidden="false" customHeight="true" outlineLevel="0" collapsed="false">
      <c r="A2850" s="40"/>
      <c r="B2850" s="27"/>
    </row>
    <row r="2851" customFormat="false" ht="12.75" hidden="false" customHeight="true" outlineLevel="0" collapsed="false">
      <c r="A2851" s="40"/>
      <c r="B2851" s="27"/>
    </row>
    <row r="2852" customFormat="false" ht="12.75" hidden="false" customHeight="true" outlineLevel="0" collapsed="false">
      <c r="A2852" s="40"/>
      <c r="B2852" s="27"/>
    </row>
    <row r="2853" customFormat="false" ht="12.75" hidden="false" customHeight="true" outlineLevel="0" collapsed="false">
      <c r="A2853" s="40"/>
      <c r="B2853" s="27"/>
    </row>
    <row r="2854" customFormat="false" ht="12.75" hidden="false" customHeight="true" outlineLevel="0" collapsed="false">
      <c r="A2854" s="40"/>
      <c r="B2854" s="27"/>
    </row>
    <row r="2855" customFormat="false" ht="12.75" hidden="false" customHeight="true" outlineLevel="0" collapsed="false">
      <c r="A2855" s="40"/>
      <c r="B2855" s="27"/>
    </row>
    <row r="2856" customFormat="false" ht="12.75" hidden="false" customHeight="true" outlineLevel="0" collapsed="false">
      <c r="A2856" s="40"/>
      <c r="B2856" s="27"/>
    </row>
    <row r="2857" customFormat="false" ht="12.75" hidden="false" customHeight="true" outlineLevel="0" collapsed="false">
      <c r="A2857" s="40"/>
      <c r="B2857" s="27"/>
    </row>
    <row r="2858" customFormat="false" ht="12.75" hidden="false" customHeight="true" outlineLevel="0" collapsed="false">
      <c r="A2858" s="40"/>
      <c r="B2858" s="27"/>
    </row>
    <row r="2859" customFormat="false" ht="12.75" hidden="false" customHeight="true" outlineLevel="0" collapsed="false">
      <c r="A2859" s="40"/>
      <c r="B2859" s="27"/>
    </row>
    <row r="2860" customFormat="false" ht="12.75" hidden="false" customHeight="true" outlineLevel="0" collapsed="false">
      <c r="A2860" s="40"/>
      <c r="B2860" s="27"/>
    </row>
    <row r="2861" customFormat="false" ht="12.75" hidden="false" customHeight="true" outlineLevel="0" collapsed="false">
      <c r="A2861" s="40"/>
      <c r="B2861" s="27"/>
    </row>
    <row r="2862" customFormat="false" ht="12.75" hidden="false" customHeight="true" outlineLevel="0" collapsed="false">
      <c r="A2862" s="40"/>
      <c r="B2862" s="27"/>
    </row>
    <row r="2863" customFormat="false" ht="12.75" hidden="false" customHeight="true" outlineLevel="0" collapsed="false">
      <c r="A2863" s="40"/>
      <c r="B2863" s="27"/>
    </row>
    <row r="2864" customFormat="false" ht="12.75" hidden="false" customHeight="true" outlineLevel="0" collapsed="false">
      <c r="A2864" s="40"/>
      <c r="B2864" s="27"/>
    </row>
    <row r="2865" customFormat="false" ht="12.75" hidden="false" customHeight="true" outlineLevel="0" collapsed="false">
      <c r="A2865" s="40"/>
      <c r="B2865" s="27"/>
    </row>
    <row r="2866" customFormat="false" ht="12.75" hidden="false" customHeight="true" outlineLevel="0" collapsed="false">
      <c r="A2866" s="40"/>
      <c r="B2866" s="27"/>
    </row>
    <row r="2867" customFormat="false" ht="12.75" hidden="false" customHeight="true" outlineLevel="0" collapsed="false">
      <c r="A2867" s="40"/>
      <c r="B2867" s="27"/>
    </row>
    <row r="2868" customFormat="false" ht="12.75" hidden="false" customHeight="true" outlineLevel="0" collapsed="false">
      <c r="A2868" s="40"/>
      <c r="B2868" s="27"/>
    </row>
    <row r="2869" customFormat="false" ht="12.75" hidden="false" customHeight="true" outlineLevel="0" collapsed="false">
      <c r="A2869" s="40"/>
      <c r="B2869" s="27"/>
    </row>
    <row r="2870" customFormat="false" ht="12.75" hidden="false" customHeight="true" outlineLevel="0" collapsed="false">
      <c r="A2870" s="40"/>
      <c r="B2870" s="27"/>
    </row>
    <row r="2871" customFormat="false" ht="12.75" hidden="false" customHeight="true" outlineLevel="0" collapsed="false">
      <c r="A2871" s="40"/>
      <c r="B2871" s="27"/>
    </row>
    <row r="2872" customFormat="false" ht="12.75" hidden="false" customHeight="true" outlineLevel="0" collapsed="false">
      <c r="A2872" s="40"/>
      <c r="B2872" s="27"/>
    </row>
    <row r="2873" customFormat="false" ht="12.75" hidden="false" customHeight="true" outlineLevel="0" collapsed="false">
      <c r="A2873" s="40"/>
      <c r="B2873" s="27"/>
    </row>
    <row r="2874" customFormat="false" ht="12.75" hidden="false" customHeight="true" outlineLevel="0" collapsed="false">
      <c r="A2874" s="40"/>
      <c r="B2874" s="27"/>
    </row>
    <row r="2875" customFormat="false" ht="12.75" hidden="false" customHeight="true" outlineLevel="0" collapsed="false">
      <c r="A2875" s="40"/>
      <c r="B2875" s="27"/>
    </row>
    <row r="2876" customFormat="false" ht="12.75" hidden="false" customHeight="true" outlineLevel="0" collapsed="false">
      <c r="A2876" s="40"/>
      <c r="B2876" s="27"/>
    </row>
    <row r="2877" customFormat="false" ht="12.75" hidden="false" customHeight="true" outlineLevel="0" collapsed="false">
      <c r="A2877" s="40"/>
      <c r="B2877" s="27"/>
    </row>
    <row r="2878" customFormat="false" ht="12.75" hidden="false" customHeight="true" outlineLevel="0" collapsed="false">
      <c r="A2878" s="40"/>
      <c r="B2878" s="27"/>
    </row>
    <row r="2879" customFormat="false" ht="12.75" hidden="false" customHeight="true" outlineLevel="0" collapsed="false">
      <c r="A2879" s="40"/>
      <c r="B2879" s="27"/>
    </row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</sheetData>
  <autoFilter ref="A1:AE2087"/>
  <conditionalFormatting sqref="A2:A2900">
    <cfRule type="expression" priority="2" aboveAverage="0" equalAverage="0" bottom="0" percent="0" rank="0" text="" dxfId="191">
      <formula>AND($L2&gt;0,$L2&lt;&gt;"",$AA2&lt;&gt;"NO")</formula>
    </cfRule>
    <cfRule type="expression" priority="3" aboveAverage="0" equalAverage="0" bottom="0" percent="0" rank="0" text="" dxfId="192">
      <formula>AND(OR($L2="-",$L2=0),$L2&lt;&gt;"")</formula>
    </cfRule>
  </conditionalFormatting>
  <conditionalFormatting sqref="B2:H2080 B2086:H2086 B2081:D2085 F2081:H2085 B2088:H2900 B2087:D2087 F2087:H2087 A2:A2900">
    <cfRule type="expression" priority="4" aboveAverage="0" equalAverage="0" bottom="0" percent="0" rank="0" text="" dxfId="193">
      <formula>$AA2="NO"</formula>
    </cfRule>
  </conditionalFormatting>
  <conditionalFormatting sqref="C2:C2900">
    <cfRule type="expression" priority="5" aboveAverage="0" equalAverage="0" bottom="0" percent="0" rank="0" text="" dxfId="194">
      <formula>$C2="MG"</formula>
    </cfRule>
    <cfRule type="expression" priority="6" aboveAverage="0" equalAverage="0" bottom="0" percent="0" rank="0" text="" dxfId="195">
      <formula>$C2="GE"</formula>
    </cfRule>
    <cfRule type="expression" priority="7" aboveAverage="0" equalAverage="0" bottom="0" percent="0" rank="0" text="" dxfId="196">
      <formula>$C2="PE"</formula>
    </cfRule>
    <cfRule type="expression" priority="8" aboveAverage="0" equalAverage="0" bottom="0" percent="0" rank="0" text="" dxfId="197">
      <formula>OR($C2="PSY",$C2="NE")</formula>
    </cfRule>
    <cfRule type="expression" priority="9" aboveAverage="0" equalAverage="0" bottom="0" percent="0" rank="0" text="" dxfId="198">
      <formula>OR($C2="GY",$C2="SF",$C2="MG-GY")</formula>
    </cfRule>
    <cfRule type="expression" priority="10" aboveAverage="0" equalAverage="0" bottom="0" percent="0" rank="0" text="" dxfId="199">
      <formula>$C2="PE-PSY"</formula>
    </cfRule>
  </conditionalFormatting>
  <conditionalFormatting sqref="J2:J2900">
    <cfRule type="colorScale" priority="11">
      <colorScale>
        <cfvo type="min" val="0"/>
        <cfvo type="num" val="0"/>
        <cfvo type="max" val="0"/>
        <color rgb="FFFFFFFF"/>
        <color rgb="FF729FCF"/>
        <color rgb="FF780373"/>
      </colorScale>
    </cfRule>
  </conditionalFormatting>
  <conditionalFormatting sqref="K2:K2900">
    <cfRule type="colorScale" priority="12">
      <colorScale>
        <cfvo type="min" val="0"/>
        <cfvo type="num" val="0"/>
        <cfvo type="max" val="0"/>
        <color rgb="FFF6F9D4"/>
        <color rgb="FF3FAF46"/>
        <color rgb="FF780373"/>
      </colorScale>
    </cfRule>
  </conditionalFormatting>
  <conditionalFormatting sqref="M2:M2900">
    <cfRule type="expression" priority="13" aboveAverage="0" equalAverage="0" bottom="0" percent="0" rank="0" text="" dxfId="200">
      <formula>$M2="RDV"</formula>
    </cfRule>
    <cfRule type="expression" priority="14" aboveAverage="0" equalAverage="0" bottom="0" percent="0" rank="0" text="" dxfId="201">
      <formula>$M2="L"</formula>
    </cfRule>
    <cfRule type="expression" priority="15" aboveAverage="0" equalAverage="0" bottom="0" percent="0" rank="0" text="" dxfId="202">
      <formula>$M2="RAPPELER"</formula>
    </cfRule>
    <cfRule type="expression" priority="16" aboveAverage="0" equalAverage="0" bottom="0" percent="0" rank="0" text="" dxfId="203">
      <formula>$M2="RETRAITE"</formula>
    </cfRule>
    <cfRule type="expression" priority="17" aboveAverage="0" equalAverage="0" bottom="0" percent="0" rank="0" text="" dxfId="204">
      <formula>FIND("PSY",$C2)</formula>
    </cfRule>
    <cfRule type="expression" priority="18" aboveAverage="0" equalAverage="0" bottom="0" percent="0" rank="0" text="" dxfId="205">
      <formula>$C2="NE"</formula>
    </cfRule>
    <cfRule type="expression" priority="19" aboveAverage="0" equalAverage="0" bottom="0" percent="0" rank="0" text="" dxfId="206">
      <formula>$M2="CHECK"</formula>
    </cfRule>
  </conditionalFormatting>
  <conditionalFormatting sqref="M2:N2900">
    <cfRule type="expression" priority="20" aboveAverage="0" equalAverage="0" bottom="0" percent="0" rank="0" text="" dxfId="207">
      <formula>OR($N2="NRP",$N2="NPAI",$N2="HC",$M2="NRP",$M2="NPAI",$M2="HC")</formula>
    </cfRule>
  </conditionalFormatting>
  <hyperlinks>
    <hyperlink ref="N1337" r:id="rId1" display="lys.michel@wanadoo.fr"/>
  </hyperlinks>
  <printOptions headings="false" gridLines="tru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tabColor rgb="FF92D050"/>
    <pageSetUpPr fitToPage="false"/>
  </sheetPr>
  <dimension ref="A1:Z6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H69" activePane="bottomLeft" state="frozen"/>
      <selection pane="topLeft" activeCell="A1" activeCellId="0" sqref="A1"/>
      <selection pane="bottomLeft" activeCell="F170" activeCellId="0" sqref="F170"/>
    </sheetView>
  </sheetViews>
  <sheetFormatPr defaultColWidth="15.015625" defaultRowHeight="12.8" zeroHeight="false" outlineLevelRow="0" outlineLevelCol="1"/>
  <cols>
    <col collapsed="false" customWidth="true" hidden="false" outlineLevel="0" max="1" min="1" style="0" width="9.5"/>
    <col collapsed="false" customWidth="true" hidden="false" outlineLevel="0" max="2" min="2" style="0" width="76.67"/>
    <col collapsed="false" customWidth="true" hidden="false" outlineLevel="0" max="3" min="3" style="0" width="14.54"/>
    <col collapsed="false" customWidth="true" hidden="false" outlineLevel="0" max="4" min="4" style="0" width="19.58"/>
    <col collapsed="false" customWidth="true" hidden="false" outlineLevel="0" max="5" min="5" style="0" width="7.83"/>
    <col collapsed="false" customWidth="true" hidden="false" outlineLevel="1" max="6" min="6" style="0" width="55.5"/>
    <col collapsed="false" customWidth="true" hidden="false" outlineLevel="1" max="7" min="7" style="0" width="9.34"/>
    <col collapsed="false" customWidth="true" hidden="false" outlineLevel="1" max="8" min="8" style="0" width="33.66"/>
    <col collapsed="false" customWidth="true" hidden="false" outlineLevel="1" max="9" min="9" style="0" width="15.17"/>
    <col collapsed="false" customWidth="true" hidden="false" outlineLevel="0" max="10" min="10" style="0" width="7.83"/>
    <col collapsed="false" customWidth="true" hidden="false" outlineLevel="0" max="11" min="11" style="0" width="9.5"/>
    <col collapsed="false" customWidth="true" hidden="false" outlineLevel="0" max="12" min="12" style="0" width="10.66"/>
    <col collapsed="false" customWidth="true" hidden="false" outlineLevel="0" max="13" min="13" style="0" width="10"/>
    <col collapsed="false" customWidth="true" hidden="false" outlineLevel="0" max="14" min="14" style="79" width="14.4"/>
    <col collapsed="false" customWidth="true" hidden="false" outlineLevel="0" max="15" min="15" style="79" width="11.83"/>
    <col collapsed="false" customWidth="true" hidden="true" outlineLevel="1" max="23" min="16" style="79" width="14"/>
    <col collapsed="false" customWidth="true" hidden="false" outlineLevel="0" max="24" min="24" style="0" width="13.34"/>
    <col collapsed="false" customWidth="true" hidden="false" outlineLevel="0" max="25" min="25" style="0" width="28.5"/>
    <col collapsed="false" customWidth="true" hidden="false" outlineLevel="0" max="26" min="26" style="0" width="35.5"/>
  </cols>
  <sheetData>
    <row r="1" s="84" customFormat="true" ht="30.35" hidden="false" customHeight="false" outlineLevel="0" collapsed="false">
      <c r="A1" s="80" t="s">
        <v>3886</v>
      </c>
      <c r="B1" s="80" t="s">
        <v>3887</v>
      </c>
      <c r="C1" s="80"/>
      <c r="D1" s="80"/>
      <c r="E1" s="80" t="s">
        <v>3888</v>
      </c>
      <c r="F1" s="80" t="s">
        <v>5</v>
      </c>
      <c r="G1" s="80" t="s">
        <v>6</v>
      </c>
      <c r="H1" s="80" t="s">
        <v>7</v>
      </c>
      <c r="I1" s="80" t="s">
        <v>8</v>
      </c>
      <c r="J1" s="0"/>
      <c r="K1" s="80" t="s">
        <v>3889</v>
      </c>
      <c r="L1" s="80" t="s">
        <v>3890</v>
      </c>
      <c r="M1" s="80" t="s">
        <v>3891</v>
      </c>
      <c r="N1" s="81" t="s">
        <v>3892</v>
      </c>
      <c r="O1" s="80" t="s">
        <v>155</v>
      </c>
      <c r="P1" s="82" t="s">
        <v>3893</v>
      </c>
      <c r="Q1" s="82" t="s">
        <v>3894</v>
      </c>
      <c r="R1" s="83" t="s">
        <v>3895</v>
      </c>
      <c r="S1" s="83" t="s">
        <v>3896</v>
      </c>
      <c r="T1" s="82" t="s">
        <v>3897</v>
      </c>
      <c r="U1" s="82" t="s">
        <v>3894</v>
      </c>
      <c r="V1" s="83" t="s">
        <v>3898</v>
      </c>
      <c r="W1" s="83" t="s">
        <v>3896</v>
      </c>
      <c r="X1" s="80" t="s">
        <v>3899</v>
      </c>
      <c r="Y1" s="80" t="s">
        <v>3900</v>
      </c>
      <c r="Z1" s="80" t="s">
        <v>3901</v>
      </c>
    </row>
    <row r="2" customFormat="false" ht="12.75" hidden="true" customHeight="true" outlineLevel="0" collapsed="false">
      <c r="A2" s="85" t="n">
        <v>2053775</v>
      </c>
      <c r="B2" s="85" t="s">
        <v>3902</v>
      </c>
      <c r="C2" s="85"/>
      <c r="D2" s="85"/>
      <c r="E2" s="85" t="s">
        <v>2132</v>
      </c>
      <c r="F2" s="85" t="s">
        <v>3903</v>
      </c>
      <c r="G2" s="85" t="n">
        <v>75016</v>
      </c>
      <c r="H2" s="85" t="s">
        <v>36</v>
      </c>
      <c r="I2" s="85" t="n">
        <v>142881830</v>
      </c>
      <c r="K2" s="85"/>
      <c r="L2" s="85"/>
      <c r="M2" s="86"/>
      <c r="N2" s="87"/>
      <c r="O2" s="87"/>
      <c r="P2" s="88" t="n">
        <v>3534.55</v>
      </c>
      <c r="Q2" s="89" t="n">
        <f aca="false">RANK(P2,P$2:P$404)</f>
        <v>1</v>
      </c>
      <c r="R2" s="88" t="n">
        <v>1539.62</v>
      </c>
      <c r="S2" s="89" t="n">
        <v>102</v>
      </c>
      <c r="T2" s="88" t="n">
        <v>1895.5</v>
      </c>
      <c r="U2" s="89" t="n">
        <f aca="false">RANK($T2,$T$2:$T$121)</f>
        <v>8</v>
      </c>
      <c r="V2" s="88" t="n">
        <v>783.03</v>
      </c>
      <c r="W2" s="89"/>
      <c r="X2" s="86" t="n">
        <v>5</v>
      </c>
      <c r="Y2" s="85"/>
      <c r="Z2" s="85" t="s">
        <v>3904</v>
      </c>
    </row>
    <row r="3" customFormat="false" ht="12.75" hidden="true" customHeight="true" outlineLevel="0" collapsed="false">
      <c r="A3" s="85" t="n">
        <v>2003735</v>
      </c>
      <c r="B3" s="85" t="s">
        <v>3905</v>
      </c>
      <c r="C3" s="85"/>
      <c r="D3" s="85"/>
      <c r="E3" s="85" t="s">
        <v>645</v>
      </c>
      <c r="F3" s="85" t="s">
        <v>3906</v>
      </c>
      <c r="G3" s="85" t="n">
        <v>75015</v>
      </c>
      <c r="H3" s="85" t="s">
        <v>36</v>
      </c>
      <c r="I3" s="85" t="n">
        <v>145753335</v>
      </c>
      <c r="K3" s="85" t="n">
        <v>1</v>
      </c>
      <c r="L3" s="85" t="n">
        <v>1</v>
      </c>
      <c r="M3" s="86"/>
      <c r="N3" s="87"/>
      <c r="O3" s="87"/>
      <c r="P3" s="88" t="n">
        <v>2241.16</v>
      </c>
      <c r="Q3" s="89" t="n">
        <f aca="false">RANK(P3,P$2:P$404)</f>
        <v>2</v>
      </c>
      <c r="R3" s="88" t="n">
        <v>4893.61</v>
      </c>
      <c r="S3" s="89" t="n">
        <v>3</v>
      </c>
      <c r="T3" s="88" t="n">
        <v>1226.5</v>
      </c>
      <c r="U3" s="89" t="n">
        <f aca="false">RANK($T3,$T$2:$T$121)</f>
        <v>27</v>
      </c>
      <c r="V3" s="88" t="n">
        <v>5015.49</v>
      </c>
      <c r="W3" s="89" t="n">
        <v>5</v>
      </c>
      <c r="X3" s="86" t="n">
        <v>1</v>
      </c>
      <c r="Y3" s="85" t="s">
        <v>3907</v>
      </c>
      <c r="Z3" s="85"/>
    </row>
    <row r="4" customFormat="false" ht="12.75" hidden="true" customHeight="true" outlineLevel="0" collapsed="false">
      <c r="A4" s="85" t="n">
        <v>2192507</v>
      </c>
      <c r="B4" s="85" t="s">
        <v>994</v>
      </c>
      <c r="C4" s="85"/>
      <c r="D4" s="85"/>
      <c r="E4" s="85" t="s">
        <v>645</v>
      </c>
      <c r="F4" s="85" t="s">
        <v>995</v>
      </c>
      <c r="G4" s="85" t="n">
        <v>75015</v>
      </c>
      <c r="H4" s="85" t="s">
        <v>36</v>
      </c>
      <c r="I4" s="85" t="n">
        <v>145579751</v>
      </c>
      <c r="K4" s="85" t="n">
        <v>1</v>
      </c>
      <c r="L4" s="85"/>
      <c r="M4" s="86" t="n">
        <v>2</v>
      </c>
      <c r="N4" s="87" t="n">
        <v>44701</v>
      </c>
      <c r="O4" s="87"/>
      <c r="P4" s="88" t="n">
        <v>1984.7</v>
      </c>
      <c r="Q4" s="89" t="n">
        <f aca="false">RANK(P4,P$2:P$404)</f>
        <v>3</v>
      </c>
      <c r="R4" s="88" t="n">
        <v>2298.45</v>
      </c>
      <c r="S4" s="89" t="n">
        <v>45</v>
      </c>
      <c r="T4" s="88" t="n">
        <v>2943.6</v>
      </c>
      <c r="U4" s="89" t="n">
        <f aca="false">RANK($T4,$T$2:$T$121)</f>
        <v>1</v>
      </c>
      <c r="V4" s="88" t="n">
        <v>2734.51</v>
      </c>
      <c r="W4" s="89" t="n">
        <v>24</v>
      </c>
      <c r="X4" s="86" t="n">
        <v>5</v>
      </c>
      <c r="Y4" s="85" t="s">
        <v>3908</v>
      </c>
      <c r="Z4" s="85"/>
    </row>
    <row r="5" customFormat="false" ht="12.75" hidden="true" customHeight="true" outlineLevel="0" collapsed="false">
      <c r="A5" s="85" t="n">
        <v>2192690</v>
      </c>
      <c r="B5" s="85" t="s">
        <v>3909</v>
      </c>
      <c r="C5" s="85"/>
      <c r="D5" s="85"/>
      <c r="E5" s="85" t="s">
        <v>2132</v>
      </c>
      <c r="F5" s="85" t="s">
        <v>3910</v>
      </c>
      <c r="G5" s="85" t="n">
        <v>75116</v>
      </c>
      <c r="H5" s="85" t="s">
        <v>36</v>
      </c>
      <c r="I5" s="85" t="n">
        <v>145043233</v>
      </c>
      <c r="K5" s="85" t="n">
        <v>1</v>
      </c>
      <c r="L5" s="85" t="n">
        <v>1</v>
      </c>
      <c r="M5" s="86" t="n">
        <v>1</v>
      </c>
      <c r="N5" s="87" t="n">
        <v>44711</v>
      </c>
      <c r="O5" s="87"/>
      <c r="P5" s="88" t="n">
        <v>1979.13</v>
      </c>
      <c r="Q5" s="89" t="n">
        <f aca="false">RANK(P5,P$2:P$404)</f>
        <v>4</v>
      </c>
      <c r="R5" s="88" t="n">
        <v>3652.13</v>
      </c>
      <c r="S5" s="89" t="n">
        <v>14</v>
      </c>
      <c r="T5" s="88" t="n">
        <v>2040.46</v>
      </c>
      <c r="U5" s="89" t="n">
        <f aca="false">RANK($T5,$T$2:$T$121)</f>
        <v>4</v>
      </c>
      <c r="V5" s="88" t="n">
        <v>3319.85</v>
      </c>
      <c r="W5" s="89" t="n">
        <v>15</v>
      </c>
      <c r="X5" s="86" t="n">
        <v>2</v>
      </c>
      <c r="Y5" s="85"/>
      <c r="Z5" s="85" t="s">
        <v>3911</v>
      </c>
    </row>
    <row r="6" customFormat="false" ht="12.75" hidden="true" customHeight="true" outlineLevel="0" collapsed="false">
      <c r="A6" s="85" t="n">
        <v>2001115</v>
      </c>
      <c r="B6" s="85" t="s">
        <v>3912</v>
      </c>
      <c r="C6" s="85"/>
      <c r="D6" s="85"/>
      <c r="E6" s="85" t="s">
        <v>645</v>
      </c>
      <c r="F6" s="85" t="s">
        <v>3913</v>
      </c>
      <c r="G6" s="85" t="n">
        <v>75007</v>
      </c>
      <c r="H6" s="85" t="s">
        <v>36</v>
      </c>
      <c r="I6" s="85" t="n">
        <v>147345007</v>
      </c>
      <c r="K6" s="85" t="n">
        <v>1</v>
      </c>
      <c r="L6" s="85"/>
      <c r="M6" s="86"/>
      <c r="N6" s="87"/>
      <c r="O6" s="87"/>
      <c r="P6" s="88" t="n">
        <v>1973.55</v>
      </c>
      <c r="Q6" s="89" t="n">
        <f aca="false">RANK(P6,P$2:P$404)</f>
        <v>5</v>
      </c>
      <c r="R6" s="88" t="n">
        <v>1669.14</v>
      </c>
      <c r="S6" s="89" t="n">
        <v>90</v>
      </c>
      <c r="T6" s="88" t="n">
        <v>1527.55</v>
      </c>
      <c r="U6" s="89" t="n">
        <f aca="false">RANK($T6,$T$2:$T$121)</f>
        <v>16</v>
      </c>
      <c r="V6" s="88" t="n">
        <v>1589.36</v>
      </c>
      <c r="W6" s="89" t="n">
        <v>103</v>
      </c>
      <c r="X6" s="86" t="n">
        <v>5</v>
      </c>
      <c r="Y6" s="85" t="s">
        <v>3914</v>
      </c>
      <c r="Z6" s="85"/>
    </row>
    <row r="7" customFormat="false" ht="12.75" hidden="true" customHeight="true" outlineLevel="0" collapsed="false">
      <c r="A7" s="85" t="n">
        <v>2192989</v>
      </c>
      <c r="B7" s="85" t="s">
        <v>3915</v>
      </c>
      <c r="C7" s="85"/>
      <c r="D7" s="85"/>
      <c r="E7" s="85" t="s">
        <v>34</v>
      </c>
      <c r="F7" s="85" t="s">
        <v>3916</v>
      </c>
      <c r="G7" s="85" t="n">
        <v>75016</v>
      </c>
      <c r="H7" s="85" t="s">
        <v>36</v>
      </c>
      <c r="I7" s="85" t="n">
        <v>142882738</v>
      </c>
      <c r="K7" s="85" t="n">
        <v>1</v>
      </c>
      <c r="L7" s="85" t="n">
        <v>1</v>
      </c>
      <c r="M7" s="86" t="n">
        <v>2</v>
      </c>
      <c r="N7" s="87" t="n">
        <v>44721</v>
      </c>
      <c r="O7" s="87"/>
      <c r="P7" s="88" t="n">
        <v>1945.68</v>
      </c>
      <c r="Q7" s="89" t="n">
        <f aca="false">RANK(P7,P$2:P$404)</f>
        <v>6</v>
      </c>
      <c r="R7" s="88" t="n">
        <v>2831.5</v>
      </c>
      <c r="S7" s="89" t="n">
        <v>25</v>
      </c>
      <c r="T7" s="88" t="n">
        <v>1817.46</v>
      </c>
      <c r="U7" s="89" t="n">
        <f aca="false">RANK($T7,$T$2:$T$121)</f>
        <v>9</v>
      </c>
      <c r="V7" s="88" t="n">
        <v>2454.76</v>
      </c>
      <c r="W7" s="89" t="n">
        <v>37</v>
      </c>
      <c r="X7" s="86" t="n">
        <v>4</v>
      </c>
      <c r="Y7" s="85" t="s">
        <v>3914</v>
      </c>
      <c r="Z7" s="85"/>
    </row>
    <row r="8" customFormat="false" ht="12.75" hidden="true" customHeight="true" outlineLevel="0" collapsed="false">
      <c r="A8" s="85" t="n">
        <v>2193060</v>
      </c>
      <c r="B8" s="85" t="s">
        <v>3917</v>
      </c>
      <c r="C8" s="85"/>
      <c r="D8" s="85"/>
      <c r="E8" s="85" t="s">
        <v>2132</v>
      </c>
      <c r="F8" s="85" t="s">
        <v>3918</v>
      </c>
      <c r="G8" s="85" t="n">
        <v>75116</v>
      </c>
      <c r="H8" s="85" t="s">
        <v>36</v>
      </c>
      <c r="I8" s="85" t="n">
        <v>145047346</v>
      </c>
      <c r="K8" s="85" t="n">
        <v>1</v>
      </c>
      <c r="L8" s="85" t="n">
        <v>1</v>
      </c>
      <c r="M8" s="86"/>
      <c r="N8" s="87"/>
      <c r="O8" s="87"/>
      <c r="P8" s="88" t="n">
        <v>1901.08</v>
      </c>
      <c r="Q8" s="89" t="n">
        <f aca="false">RANK(P8,P$2:P$404)</f>
        <v>7</v>
      </c>
      <c r="R8" s="88" t="n">
        <v>2428.02</v>
      </c>
      <c r="S8" s="89" t="n">
        <v>41</v>
      </c>
      <c r="T8" s="88" t="n">
        <v>1092.7</v>
      </c>
      <c r="U8" s="89" t="n">
        <f aca="false">RANK($T8,$T$2:$T$121)</f>
        <v>39</v>
      </c>
      <c r="V8" s="88" t="n">
        <v>2555.5</v>
      </c>
      <c r="W8" s="89" t="n">
        <v>29</v>
      </c>
      <c r="X8" s="86" t="n">
        <v>3</v>
      </c>
      <c r="Y8" s="85" t="s">
        <v>3919</v>
      </c>
      <c r="Z8" s="85"/>
    </row>
    <row r="9" customFormat="false" ht="12.75" hidden="true" customHeight="true" outlineLevel="0" collapsed="false">
      <c r="A9" s="85" t="n">
        <v>2193102</v>
      </c>
      <c r="B9" s="85" t="s">
        <v>3920</v>
      </c>
      <c r="C9" s="85"/>
      <c r="D9" s="85"/>
      <c r="E9" s="85" t="s">
        <v>34</v>
      </c>
      <c r="F9" s="85" t="s">
        <v>3921</v>
      </c>
      <c r="G9" s="85" t="n">
        <v>75016</v>
      </c>
      <c r="H9" s="85" t="s">
        <v>36</v>
      </c>
      <c r="I9" s="85" t="n">
        <v>146512392</v>
      </c>
      <c r="K9" s="85" t="n">
        <v>1</v>
      </c>
      <c r="L9" s="85" t="n">
        <v>1</v>
      </c>
      <c r="M9" s="86" t="n">
        <v>2</v>
      </c>
      <c r="N9" s="87" t="n">
        <v>44721</v>
      </c>
      <c r="O9" s="87"/>
      <c r="P9" s="88" t="n">
        <v>1850.9</v>
      </c>
      <c r="Q9" s="89" t="n">
        <f aca="false">RANK(P9,P$2:P$404)</f>
        <v>8</v>
      </c>
      <c r="R9" s="88" t="n">
        <v>4057.55</v>
      </c>
      <c r="S9" s="89" t="n">
        <v>7</v>
      </c>
      <c r="T9" s="88" t="n">
        <v>2202.13</v>
      </c>
      <c r="U9" s="89" t="n">
        <f aca="false">RANK($T9,$T$2:$T$121)</f>
        <v>3</v>
      </c>
      <c r="V9" s="88" t="n">
        <v>3819.86</v>
      </c>
      <c r="W9" s="89" t="n">
        <v>10</v>
      </c>
      <c r="X9" s="86" t="n">
        <v>2</v>
      </c>
      <c r="Y9" s="85" t="s">
        <v>3922</v>
      </c>
      <c r="Z9" s="85" t="s">
        <v>3923</v>
      </c>
    </row>
    <row r="10" customFormat="false" ht="12.75" hidden="true" customHeight="true" outlineLevel="0" collapsed="false">
      <c r="A10" s="85" t="n">
        <v>2192952</v>
      </c>
      <c r="B10" s="85" t="s">
        <v>3924</v>
      </c>
      <c r="C10" s="85"/>
      <c r="D10" s="85"/>
      <c r="E10" s="85" t="s">
        <v>2132</v>
      </c>
      <c r="F10" s="85" t="s">
        <v>3925</v>
      </c>
      <c r="G10" s="85" t="n">
        <v>75016</v>
      </c>
      <c r="H10" s="85" t="s">
        <v>36</v>
      </c>
      <c r="I10" s="85" t="n">
        <v>142881381</v>
      </c>
      <c r="K10" s="85" t="n">
        <v>1</v>
      </c>
      <c r="L10" s="85"/>
      <c r="M10" s="86"/>
      <c r="N10" s="87"/>
      <c r="O10" s="87"/>
      <c r="P10" s="88" t="n">
        <v>1756.13</v>
      </c>
      <c r="Q10" s="89" t="n">
        <f aca="false">RANK(P10,P$2:P$404)</f>
        <v>9</v>
      </c>
      <c r="R10" s="88" t="n">
        <v>937.78</v>
      </c>
      <c r="S10" s="89"/>
      <c r="T10" s="88" t="n">
        <v>1538.7</v>
      </c>
      <c r="U10" s="89" t="n">
        <f aca="false">RANK($T10,$T$2:$T$121)</f>
        <v>14</v>
      </c>
      <c r="V10" s="88" t="n">
        <v>1257.41</v>
      </c>
      <c r="W10" s="89"/>
      <c r="X10" s="86" t="n">
        <v>7</v>
      </c>
      <c r="Y10" s="85" t="s">
        <v>3926</v>
      </c>
      <c r="Z10" s="85" t="s">
        <v>3927</v>
      </c>
    </row>
    <row r="11" customFormat="false" ht="12.75" hidden="true" customHeight="true" outlineLevel="0" collapsed="false">
      <c r="A11" s="85" t="n">
        <v>2192334</v>
      </c>
      <c r="B11" s="85" t="s">
        <v>3928</v>
      </c>
      <c r="C11" s="85"/>
      <c r="D11" s="85"/>
      <c r="E11" s="85" t="s">
        <v>645</v>
      </c>
      <c r="F11" s="85" t="s">
        <v>3929</v>
      </c>
      <c r="G11" s="85" t="n">
        <v>75015</v>
      </c>
      <c r="H11" s="85" t="s">
        <v>36</v>
      </c>
      <c r="I11" s="85" t="n">
        <v>147346204</v>
      </c>
      <c r="K11" s="85" t="n">
        <v>1</v>
      </c>
      <c r="L11" s="85" t="n">
        <v>1</v>
      </c>
      <c r="M11" s="86" t="n">
        <v>2</v>
      </c>
      <c r="N11" s="87" t="n">
        <v>44687</v>
      </c>
      <c r="O11" s="87"/>
      <c r="P11" s="88" t="n">
        <v>1661.35</v>
      </c>
      <c r="Q11" s="89" t="n">
        <f aca="false">RANK(P11,P$2:P$404)</f>
        <v>10</v>
      </c>
      <c r="R11" s="88" t="n">
        <v>2004.35</v>
      </c>
      <c r="S11" s="89" t="n">
        <v>67</v>
      </c>
      <c r="T11" s="88" t="n">
        <v>217.43</v>
      </c>
      <c r="U11" s="89"/>
      <c r="V11" s="88" t="n">
        <v>1708.74</v>
      </c>
      <c r="W11" s="89" t="n">
        <v>90</v>
      </c>
      <c r="X11" s="86" t="n">
        <v>7</v>
      </c>
      <c r="Y11" s="85"/>
      <c r="Z11" s="85" t="s">
        <v>3904</v>
      </c>
    </row>
    <row r="12" customFormat="false" ht="12.75" hidden="true" customHeight="true" outlineLevel="0" collapsed="false">
      <c r="A12" s="85" t="n">
        <v>2048220</v>
      </c>
      <c r="B12" s="85" t="s">
        <v>3930</v>
      </c>
      <c r="C12" s="85"/>
      <c r="D12" s="85"/>
      <c r="E12" s="85" t="s">
        <v>3621</v>
      </c>
      <c r="F12" s="85" t="s">
        <v>3931</v>
      </c>
      <c r="G12" s="85" t="n">
        <v>92200</v>
      </c>
      <c r="H12" s="85" t="s">
        <v>3932</v>
      </c>
      <c r="I12" s="85" t="n">
        <v>146247050</v>
      </c>
      <c r="K12" s="85" t="n">
        <v>1</v>
      </c>
      <c r="L12" s="85" t="n">
        <v>1</v>
      </c>
      <c r="M12" s="86"/>
      <c r="N12" s="87"/>
      <c r="O12" s="87"/>
      <c r="P12" s="88" t="n">
        <v>1639.05</v>
      </c>
      <c r="Q12" s="89" t="n">
        <f aca="false">RANK(P12,P$2:P$404)</f>
        <v>11</v>
      </c>
      <c r="R12" s="88" t="n">
        <v>2119.01</v>
      </c>
      <c r="S12" s="89" t="n">
        <v>56</v>
      </c>
      <c r="T12" s="88" t="n">
        <v>1226.5</v>
      </c>
      <c r="U12" s="89" t="n">
        <f aca="false">RANK($T12,$T$2:$T$121)</f>
        <v>27</v>
      </c>
      <c r="V12" s="88" t="n">
        <v>1692</v>
      </c>
      <c r="W12" s="89" t="n">
        <v>94</v>
      </c>
      <c r="X12" s="86" t="n">
        <v>4</v>
      </c>
      <c r="Y12" s="85" t="s">
        <v>3914</v>
      </c>
      <c r="Z12" s="85"/>
    </row>
    <row r="13" customFormat="false" ht="12.75" hidden="true" customHeight="true" outlineLevel="0" collapsed="false">
      <c r="A13" s="85" t="n">
        <v>2192727</v>
      </c>
      <c r="B13" s="85" t="s">
        <v>3933</v>
      </c>
      <c r="C13" s="85"/>
      <c r="D13" s="85"/>
      <c r="E13" s="85" t="s">
        <v>34</v>
      </c>
      <c r="F13" s="85" t="s">
        <v>3934</v>
      </c>
      <c r="G13" s="85" t="n">
        <v>75016</v>
      </c>
      <c r="H13" s="85" t="s">
        <v>36</v>
      </c>
      <c r="I13" s="85" t="n">
        <v>142883337</v>
      </c>
      <c r="K13" s="85" t="n">
        <v>1</v>
      </c>
      <c r="L13" s="85"/>
      <c r="M13" s="86"/>
      <c r="N13" s="87"/>
      <c r="O13" s="87"/>
      <c r="P13" s="88" t="n">
        <v>1639.05</v>
      </c>
      <c r="Q13" s="89" t="n">
        <f aca="false">RANK(P13,P$2:P$404)</f>
        <v>11</v>
      </c>
      <c r="R13" s="88" t="n">
        <v>1777.47</v>
      </c>
      <c r="S13" s="89" t="n">
        <v>77</v>
      </c>
      <c r="T13" s="88" t="n">
        <v>1627.9</v>
      </c>
      <c r="U13" s="89" t="n">
        <f aca="false">RANK($T13,$T$2:$T$121)</f>
        <v>12</v>
      </c>
      <c r="V13" s="88" t="n">
        <v>1280.41</v>
      </c>
      <c r="W13" s="89"/>
      <c r="X13" s="86" t="n">
        <v>7</v>
      </c>
      <c r="Y13" s="85" t="s">
        <v>3922</v>
      </c>
      <c r="Z13" s="85" t="s">
        <v>3927</v>
      </c>
    </row>
    <row r="14" customFormat="false" ht="12.75" hidden="true" customHeight="true" outlineLevel="0" collapsed="false">
      <c r="A14" s="85" t="n">
        <v>2192774</v>
      </c>
      <c r="B14" s="85" t="s">
        <v>3935</v>
      </c>
      <c r="C14" s="85"/>
      <c r="D14" s="85"/>
      <c r="E14" s="85" t="s">
        <v>34</v>
      </c>
      <c r="F14" s="85" t="s">
        <v>3936</v>
      </c>
      <c r="G14" s="85" t="n">
        <v>75016</v>
      </c>
      <c r="H14" s="85" t="s">
        <v>36</v>
      </c>
      <c r="I14" s="85" t="n">
        <v>146516408</v>
      </c>
      <c r="K14" s="85" t="n">
        <v>1</v>
      </c>
      <c r="L14" s="85"/>
      <c r="M14" s="86"/>
      <c r="N14" s="87"/>
      <c r="O14" s="87"/>
      <c r="P14" s="88" t="n">
        <v>1627.9</v>
      </c>
      <c r="Q14" s="89" t="n">
        <f aca="false">RANK(P14,P$2:P$404)</f>
        <v>13</v>
      </c>
      <c r="R14" s="88" t="n">
        <v>1373.3968</v>
      </c>
      <c r="S14" s="89" t="n">
        <v>115</v>
      </c>
      <c r="T14" s="88" t="n">
        <v>1945.68</v>
      </c>
      <c r="U14" s="89" t="n">
        <f aca="false">RANK($T14,$T$2:$T$121)</f>
        <v>6</v>
      </c>
      <c r="V14" s="88" t="n">
        <v>1367.5368</v>
      </c>
      <c r="W14" s="89"/>
      <c r="X14" s="86" t="n">
        <v>7</v>
      </c>
      <c r="Y14" s="85" t="s">
        <v>3937</v>
      </c>
      <c r="Z14" s="85" t="s">
        <v>3927</v>
      </c>
    </row>
    <row r="15" customFormat="false" ht="12.75" hidden="true" customHeight="true" outlineLevel="0" collapsed="false">
      <c r="A15" s="85" t="n">
        <v>2054061</v>
      </c>
      <c r="B15" s="85" t="s">
        <v>3938</v>
      </c>
      <c r="C15" s="85"/>
      <c r="D15" s="85"/>
      <c r="E15" s="85" t="s">
        <v>2400</v>
      </c>
      <c r="F15" s="85" t="s">
        <v>3939</v>
      </c>
      <c r="G15" s="85" t="n">
        <v>75017</v>
      </c>
      <c r="H15" s="85" t="s">
        <v>36</v>
      </c>
      <c r="I15" s="85" t="n">
        <v>143801340</v>
      </c>
      <c r="K15" s="85" t="n">
        <v>1</v>
      </c>
      <c r="L15" s="85" t="n">
        <v>1</v>
      </c>
      <c r="M15" s="86"/>
      <c r="N15" s="87"/>
      <c r="O15" s="87"/>
      <c r="P15" s="88" t="n">
        <v>1600.03</v>
      </c>
      <c r="Q15" s="89" t="n">
        <f aca="false">RANK(P15,P$2:P$404)</f>
        <v>14</v>
      </c>
      <c r="R15" s="88" t="n">
        <v>1488.56</v>
      </c>
      <c r="S15" s="89" t="n">
        <v>107</v>
      </c>
      <c r="T15" s="88" t="n">
        <v>1103.86</v>
      </c>
      <c r="U15" s="89" t="n">
        <f aca="false">RANK($T15,$T$2:$T$121)</f>
        <v>36</v>
      </c>
      <c r="V15" s="88" t="n">
        <v>1673.97</v>
      </c>
      <c r="W15" s="89" t="n">
        <v>98</v>
      </c>
      <c r="X15" s="86" t="n">
        <v>4</v>
      </c>
      <c r="Y15" s="85" t="s">
        <v>3914</v>
      </c>
      <c r="Z15" s="85" t="s">
        <v>3940</v>
      </c>
    </row>
    <row r="16" customFormat="false" ht="12.75" hidden="true" customHeight="true" outlineLevel="0" collapsed="false">
      <c r="A16" s="85" t="n">
        <v>2053670</v>
      </c>
      <c r="B16" s="85" t="s">
        <v>3941</v>
      </c>
      <c r="C16" s="85"/>
      <c r="D16" s="85"/>
      <c r="E16" s="85" t="s">
        <v>34</v>
      </c>
      <c r="F16" s="85" t="s">
        <v>3942</v>
      </c>
      <c r="G16" s="85" t="n">
        <v>75016</v>
      </c>
      <c r="H16" s="85" t="s">
        <v>36</v>
      </c>
      <c r="I16" s="85" t="n">
        <v>142880796</v>
      </c>
      <c r="K16" s="85" t="n">
        <v>1</v>
      </c>
      <c r="L16" s="85" t="n">
        <v>1</v>
      </c>
      <c r="M16" s="86" t="n">
        <v>2</v>
      </c>
      <c r="N16" s="87" t="n">
        <v>44679</v>
      </c>
      <c r="O16" s="87"/>
      <c r="P16" s="88" t="n">
        <v>1561</v>
      </c>
      <c r="Q16" s="89" t="n">
        <f aca="false">RANK(P16,P$2:P$404)</f>
        <v>15</v>
      </c>
      <c r="R16" s="88" t="n">
        <v>3749.71</v>
      </c>
      <c r="S16" s="89" t="n">
        <v>11</v>
      </c>
      <c r="T16" s="88" t="n">
        <v>1181.9</v>
      </c>
      <c r="U16" s="89" t="n">
        <f aca="false">RANK($T16,$T$2:$T$121)</f>
        <v>30</v>
      </c>
      <c r="V16" s="88" t="n">
        <v>3433.89</v>
      </c>
      <c r="W16" s="89" t="n">
        <v>13</v>
      </c>
      <c r="X16" s="86" t="n">
        <v>2</v>
      </c>
      <c r="Y16" s="85" t="s">
        <v>3908</v>
      </c>
      <c r="Z16" s="85"/>
    </row>
    <row r="17" customFormat="false" ht="12.75" hidden="true" customHeight="true" outlineLevel="0" collapsed="false">
      <c r="A17" s="85" t="n">
        <v>2192182</v>
      </c>
      <c r="B17" s="85" t="s">
        <v>3943</v>
      </c>
      <c r="C17" s="85"/>
      <c r="D17" s="85"/>
      <c r="E17" s="85" t="s">
        <v>645</v>
      </c>
      <c r="F17" s="85" t="s">
        <v>3944</v>
      </c>
      <c r="G17" s="85" t="n">
        <v>75015</v>
      </c>
      <c r="H17" s="85" t="s">
        <v>36</v>
      </c>
      <c r="I17" s="85" t="n">
        <v>145795319</v>
      </c>
      <c r="K17" s="85" t="n">
        <v>1</v>
      </c>
      <c r="L17" s="85" t="n">
        <v>1</v>
      </c>
      <c r="M17" s="86"/>
      <c r="N17" s="87"/>
      <c r="O17" s="87"/>
      <c r="P17" s="88" t="n">
        <v>1555.43</v>
      </c>
      <c r="Q17" s="89" t="n">
        <f aca="false">RANK(P17,P$2:P$404)</f>
        <v>16</v>
      </c>
      <c r="R17" s="88" t="n">
        <v>985.97</v>
      </c>
      <c r="S17" s="89"/>
      <c r="T17" s="88" t="n">
        <v>1059.26</v>
      </c>
      <c r="U17" s="89" t="n">
        <f aca="false">RANK($T17,$T$2:$T$121)</f>
        <v>43</v>
      </c>
      <c r="V17" s="88" t="n">
        <v>982.56</v>
      </c>
      <c r="W17" s="89"/>
      <c r="X17" s="86" t="n">
        <v>6</v>
      </c>
      <c r="Y17" s="85" t="s">
        <v>3914</v>
      </c>
      <c r="Z17" s="85"/>
    </row>
    <row r="18" customFormat="false" ht="12.75" hidden="true" customHeight="true" outlineLevel="0" collapsed="false">
      <c r="A18" s="85" t="n">
        <v>2053644</v>
      </c>
      <c r="B18" s="85" t="s">
        <v>3945</v>
      </c>
      <c r="C18" s="85"/>
      <c r="D18" s="85"/>
      <c r="E18" s="85" t="s">
        <v>34</v>
      </c>
      <c r="F18" s="85" t="s">
        <v>3946</v>
      </c>
      <c r="G18" s="85" t="n">
        <v>75016</v>
      </c>
      <c r="H18" s="85" t="s">
        <v>36</v>
      </c>
      <c r="I18" s="85" t="n">
        <v>142887416</v>
      </c>
      <c r="K18" s="85" t="n">
        <v>1</v>
      </c>
      <c r="L18" s="85" t="n">
        <v>1</v>
      </c>
      <c r="M18" s="86" t="n">
        <v>2</v>
      </c>
      <c r="N18" s="87" t="n">
        <v>44714</v>
      </c>
      <c r="O18" s="87"/>
      <c r="P18" s="88" t="n">
        <v>1549.85</v>
      </c>
      <c r="Q18" s="89" t="n">
        <f aca="false">RANK(P18,P$2:P$404)</f>
        <v>17</v>
      </c>
      <c r="R18" s="88" t="n">
        <v>4641.72</v>
      </c>
      <c r="S18" s="89" t="n">
        <v>4</v>
      </c>
      <c r="T18" s="88" t="n">
        <v>1945.68</v>
      </c>
      <c r="U18" s="89" t="n">
        <f aca="false">RANK($T18,$T$2:$T$121)</f>
        <v>6</v>
      </c>
      <c r="V18" s="88" t="n">
        <v>5054.19</v>
      </c>
      <c r="W18" s="89" t="n">
        <v>4</v>
      </c>
      <c r="X18" s="86" t="n">
        <v>3</v>
      </c>
      <c r="Y18" s="85" t="s">
        <v>3947</v>
      </c>
      <c r="Z18" s="85" t="s">
        <v>3948</v>
      </c>
    </row>
    <row r="19" customFormat="false" ht="12.75" hidden="true" customHeight="true" outlineLevel="0" collapsed="false">
      <c r="A19" s="85" t="n">
        <v>2228810</v>
      </c>
      <c r="B19" s="85" t="s">
        <v>3949</v>
      </c>
      <c r="C19" s="85"/>
      <c r="D19" s="85"/>
      <c r="E19" s="85" t="s">
        <v>3621</v>
      </c>
      <c r="F19" s="85" t="s">
        <v>3950</v>
      </c>
      <c r="G19" s="85" t="n">
        <v>92200</v>
      </c>
      <c r="H19" s="85" t="s">
        <v>3932</v>
      </c>
      <c r="I19" s="85" t="n">
        <v>146240324</v>
      </c>
      <c r="K19" s="85" t="n">
        <v>1</v>
      </c>
      <c r="L19" s="85" t="n">
        <v>1</v>
      </c>
      <c r="M19" s="86" t="n">
        <v>2</v>
      </c>
      <c r="N19" s="87" t="n">
        <v>44706</v>
      </c>
      <c r="O19" s="87"/>
      <c r="P19" s="88" t="n">
        <v>1549.85</v>
      </c>
      <c r="Q19" s="89" t="n">
        <f aca="false">RANK(P19,P$2:P$404)</f>
        <v>17</v>
      </c>
      <c r="R19" s="88" t="n">
        <v>3685.78</v>
      </c>
      <c r="S19" s="89" t="n">
        <v>12</v>
      </c>
      <c r="T19" s="88" t="n">
        <v>2235.58</v>
      </c>
      <c r="U19" s="89" t="n">
        <f aca="false">RANK($T19,$T$2:$T$121)</f>
        <v>2</v>
      </c>
      <c r="V19" s="88" t="n">
        <v>4052.57</v>
      </c>
      <c r="W19" s="89" t="n">
        <v>8</v>
      </c>
      <c r="X19" s="86" t="n">
        <v>2</v>
      </c>
      <c r="Y19" s="85" t="s">
        <v>3914</v>
      </c>
      <c r="Z19" s="85" t="s">
        <v>3951</v>
      </c>
    </row>
    <row r="20" customFormat="false" ht="12.75" hidden="true" customHeight="true" outlineLevel="0" collapsed="false">
      <c r="A20" s="85" t="n">
        <v>2014048</v>
      </c>
      <c r="B20" s="85" t="s">
        <v>3952</v>
      </c>
      <c r="C20" s="85"/>
      <c r="D20" s="85"/>
      <c r="E20" s="85" t="s">
        <v>3401</v>
      </c>
      <c r="F20" s="85" t="s">
        <v>3953</v>
      </c>
      <c r="G20" s="85" t="n">
        <v>92300</v>
      </c>
      <c r="H20" s="85" t="s">
        <v>3403</v>
      </c>
      <c r="I20" s="85" t="n">
        <v>147370326</v>
      </c>
      <c r="K20" s="87"/>
      <c r="L20" s="86"/>
      <c r="M20" s="90"/>
      <c r="N20" s="86"/>
      <c r="O20" s="85"/>
      <c r="P20" s="88" t="n">
        <v>1525.04</v>
      </c>
      <c r="Q20" s="89" t="n">
        <f aca="false">RANK(P20,P$2:P$404)</f>
        <v>19</v>
      </c>
      <c r="R20" s="88" t="n">
        <v>2111.36</v>
      </c>
      <c r="S20" s="89" t="n">
        <v>52</v>
      </c>
      <c r="T20" s="88" t="n">
        <v>1525.04</v>
      </c>
      <c r="U20" s="89" t="n">
        <f aca="false">RANK($T20,$T$2:$T$121)</f>
        <v>17</v>
      </c>
      <c r="V20" s="88" t="n">
        <v>2111.36</v>
      </c>
      <c r="W20" s="89" t="n">
        <v>52</v>
      </c>
      <c r="X20" s="91" t="n">
        <v>5</v>
      </c>
      <c r="Y20" s="92" t="s">
        <v>3954</v>
      </c>
      <c r="Z20" s="92" t="s">
        <v>3955</v>
      </c>
    </row>
    <row r="21" customFormat="false" ht="12.75" hidden="true" customHeight="true" outlineLevel="0" collapsed="false">
      <c r="A21" s="85" t="n">
        <v>2052106</v>
      </c>
      <c r="B21" s="85" t="s">
        <v>3956</v>
      </c>
      <c r="C21" s="85"/>
      <c r="D21" s="85"/>
      <c r="E21" s="85" t="s">
        <v>2672</v>
      </c>
      <c r="F21" s="85" t="s">
        <v>3957</v>
      </c>
      <c r="G21" s="85" t="n">
        <v>75008</v>
      </c>
      <c r="H21" s="85" t="s">
        <v>36</v>
      </c>
      <c r="I21" s="85" t="n">
        <v>143598230</v>
      </c>
      <c r="K21" s="85" t="n">
        <v>1</v>
      </c>
      <c r="L21" s="85" t="n">
        <v>1</v>
      </c>
      <c r="M21" s="86" t="n">
        <v>2</v>
      </c>
      <c r="N21" s="87" t="n">
        <v>44685</v>
      </c>
      <c r="O21" s="87"/>
      <c r="P21" s="88" t="n">
        <v>1482.95</v>
      </c>
      <c r="Q21" s="89" t="n">
        <f aca="false">RANK(P21,P$2:P$404)</f>
        <v>20</v>
      </c>
      <c r="R21" s="88" t="n">
        <v>1954.09</v>
      </c>
      <c r="S21" s="89" t="n">
        <v>71</v>
      </c>
      <c r="T21" s="88" t="n">
        <v>1137.31</v>
      </c>
      <c r="U21" s="89" t="n">
        <f aca="false">RANK($T21,$T$2:$T$121)</f>
        <v>32</v>
      </c>
      <c r="V21" s="88" t="n">
        <v>1863.13</v>
      </c>
      <c r="W21" s="89" t="n">
        <v>72</v>
      </c>
      <c r="X21" s="86" t="n">
        <v>2</v>
      </c>
      <c r="Y21" s="85" t="s">
        <v>3958</v>
      </c>
      <c r="Z21" s="85"/>
    </row>
    <row r="22" customFormat="false" ht="12.75" hidden="true" customHeight="true" outlineLevel="0" collapsed="false">
      <c r="A22" s="85" t="n">
        <v>2053534</v>
      </c>
      <c r="B22" s="85" t="s">
        <v>3959</v>
      </c>
      <c r="C22" s="85"/>
      <c r="D22" s="85"/>
      <c r="E22" s="85" t="s">
        <v>645</v>
      </c>
      <c r="F22" s="85" t="s">
        <v>3960</v>
      </c>
      <c r="G22" s="85" t="n">
        <v>75015</v>
      </c>
      <c r="H22" s="85" t="s">
        <v>36</v>
      </c>
      <c r="I22" s="85" t="n">
        <v>145584589</v>
      </c>
      <c r="K22" s="85" t="n">
        <v>1</v>
      </c>
      <c r="L22" s="85"/>
      <c r="M22" s="86"/>
      <c r="N22" s="87"/>
      <c r="O22" s="87"/>
      <c r="P22" s="88" t="n">
        <v>1466.23</v>
      </c>
      <c r="Q22" s="89" t="n">
        <f aca="false">RANK(P22,P$2:P$404)</f>
        <v>21</v>
      </c>
      <c r="R22" s="88" t="n">
        <v>1385.66</v>
      </c>
      <c r="S22" s="89" t="n">
        <v>114</v>
      </c>
      <c r="T22" s="88" t="n">
        <v>852.99</v>
      </c>
      <c r="U22" s="89" t="n">
        <f aca="false">RANK($T22,$T$2:$T$121)</f>
        <v>55</v>
      </c>
      <c r="V22" s="88" t="n">
        <v>1552.23</v>
      </c>
      <c r="W22" s="89" t="n">
        <v>109</v>
      </c>
      <c r="X22" s="86" t="n">
        <v>7</v>
      </c>
      <c r="Y22" s="85" t="s">
        <v>3961</v>
      </c>
      <c r="Z22" s="85" t="s">
        <v>3955</v>
      </c>
    </row>
    <row r="23" customFormat="false" ht="12.75" hidden="true" customHeight="true" outlineLevel="0" collapsed="false">
      <c r="A23" s="85" t="n">
        <v>2048304</v>
      </c>
      <c r="B23" s="85" t="s">
        <v>3962</v>
      </c>
      <c r="C23" s="85"/>
      <c r="D23" s="85"/>
      <c r="E23" s="85" t="s">
        <v>3621</v>
      </c>
      <c r="F23" s="85" t="s">
        <v>3963</v>
      </c>
      <c r="G23" s="85" t="n">
        <v>92200</v>
      </c>
      <c r="H23" s="85" t="s">
        <v>3932</v>
      </c>
      <c r="I23" s="85" t="n">
        <v>146247532</v>
      </c>
      <c r="K23" s="85" t="n">
        <v>1</v>
      </c>
      <c r="L23" s="85" t="n">
        <v>1</v>
      </c>
      <c r="M23" s="86"/>
      <c r="N23" s="87"/>
      <c r="O23" s="87"/>
      <c r="P23" s="88" t="n">
        <v>1404.91</v>
      </c>
      <c r="Q23" s="89" t="n">
        <f aca="false">RANK(P23,P$2:P$404)</f>
        <v>22</v>
      </c>
      <c r="R23" s="88" t="n">
        <v>1983.66</v>
      </c>
      <c r="S23" s="89" t="n">
        <v>68</v>
      </c>
      <c r="T23" s="88" t="n">
        <v>1349.17</v>
      </c>
      <c r="U23" s="89" t="n">
        <f aca="false">RANK($T23,$T$2:$T$121)</f>
        <v>23</v>
      </c>
      <c r="V23" s="88" t="n">
        <v>2059.7608</v>
      </c>
      <c r="W23" s="89" t="n">
        <v>58</v>
      </c>
      <c r="X23" s="86" t="n">
        <v>5</v>
      </c>
      <c r="Y23" s="85" t="s">
        <v>3964</v>
      </c>
      <c r="Z23" s="85" t="s">
        <v>3904</v>
      </c>
    </row>
    <row r="24" customFormat="false" ht="12.75" hidden="true" customHeight="true" outlineLevel="0" collapsed="false">
      <c r="A24" s="85" t="n">
        <v>2191828</v>
      </c>
      <c r="B24" s="85" t="s">
        <v>3965</v>
      </c>
      <c r="C24" s="85"/>
      <c r="D24" s="85"/>
      <c r="E24" s="85" t="s">
        <v>645</v>
      </c>
      <c r="F24" s="85" t="s">
        <v>3966</v>
      </c>
      <c r="G24" s="85" t="n">
        <v>75015</v>
      </c>
      <c r="H24" s="85" t="s">
        <v>36</v>
      </c>
      <c r="I24" s="85" t="n">
        <v>145574545</v>
      </c>
      <c r="K24" s="85" t="n">
        <v>1</v>
      </c>
      <c r="L24" s="85" t="n">
        <v>1</v>
      </c>
      <c r="M24" s="86" t="n">
        <v>2</v>
      </c>
      <c r="N24" s="87" t="n">
        <v>44652</v>
      </c>
      <c r="O24" s="87"/>
      <c r="P24" s="88" t="n">
        <v>1393.76</v>
      </c>
      <c r="Q24" s="89" t="n">
        <f aca="false">RANK(P24,P$2:P$404)</f>
        <v>23</v>
      </c>
      <c r="R24" s="88" t="n">
        <v>3663.66</v>
      </c>
      <c r="S24" s="89" t="n">
        <v>13</v>
      </c>
      <c r="T24" s="88" t="n">
        <v>652.28</v>
      </c>
      <c r="U24" s="89" t="n">
        <f aca="false">RANK($T24,$T$2:$T$121)</f>
        <v>72</v>
      </c>
      <c r="V24" s="88" t="n">
        <v>2944.39</v>
      </c>
      <c r="W24" s="89" t="n">
        <v>20</v>
      </c>
      <c r="X24" s="86" t="n">
        <v>3</v>
      </c>
      <c r="Y24" s="85" t="s">
        <v>3914</v>
      </c>
      <c r="Z24" s="85"/>
    </row>
    <row r="25" customFormat="false" ht="12.75" hidden="true" customHeight="true" outlineLevel="0" collapsed="false">
      <c r="A25" s="85" t="n">
        <v>2192910</v>
      </c>
      <c r="B25" s="85" t="s">
        <v>3967</v>
      </c>
      <c r="C25" s="85"/>
      <c r="D25" s="85"/>
      <c r="E25" s="85" t="s">
        <v>2928</v>
      </c>
      <c r="F25" s="85" t="s">
        <v>3968</v>
      </c>
      <c r="G25" s="85" t="n">
        <v>75116</v>
      </c>
      <c r="H25" s="85" t="s">
        <v>36</v>
      </c>
      <c r="I25" s="85" t="n">
        <v>147271472</v>
      </c>
      <c r="K25" s="85" t="n">
        <v>1</v>
      </c>
      <c r="L25" s="85" t="n">
        <v>1</v>
      </c>
      <c r="M25" s="86"/>
      <c r="N25" s="87"/>
      <c r="O25" s="87"/>
      <c r="P25" s="88" t="n">
        <v>1365.88</v>
      </c>
      <c r="Q25" s="89" t="n">
        <f aca="false">RANK(P25,P$2:P$404)</f>
        <v>24</v>
      </c>
      <c r="R25" s="88" t="n">
        <v>1768.7</v>
      </c>
      <c r="S25" s="89" t="n">
        <v>78</v>
      </c>
      <c r="T25" s="88" t="n">
        <v>1131.73</v>
      </c>
      <c r="U25" s="89" t="n">
        <f aca="false">RANK($T25,$T$2:$T$121)</f>
        <v>33</v>
      </c>
      <c r="V25" s="88" t="n">
        <v>1904.09</v>
      </c>
      <c r="W25" s="89" t="n">
        <v>67</v>
      </c>
      <c r="X25" s="86" t="n">
        <v>4</v>
      </c>
      <c r="Y25" s="85" t="s">
        <v>3969</v>
      </c>
      <c r="Z25" s="85"/>
    </row>
    <row r="26" customFormat="false" ht="12.75" hidden="true" customHeight="true" outlineLevel="0" collapsed="false">
      <c r="A26" s="85" t="n">
        <v>2193495</v>
      </c>
      <c r="B26" s="85" t="s">
        <v>3970</v>
      </c>
      <c r="C26" s="85"/>
      <c r="D26" s="85"/>
      <c r="E26" s="85" t="s">
        <v>2400</v>
      </c>
      <c r="F26" s="85" t="s">
        <v>3971</v>
      </c>
      <c r="G26" s="85" t="n">
        <v>75017</v>
      </c>
      <c r="H26" s="85" t="s">
        <v>36</v>
      </c>
      <c r="I26" s="85" t="n">
        <v>147632412</v>
      </c>
      <c r="K26" s="85" t="n">
        <v>1</v>
      </c>
      <c r="L26" s="85" t="n">
        <v>1</v>
      </c>
      <c r="M26" s="86"/>
      <c r="N26" s="87"/>
      <c r="O26" s="87"/>
      <c r="P26" s="88" t="n">
        <v>1237.65</v>
      </c>
      <c r="Q26" s="89" t="n">
        <f aca="false">RANK(P26,P$2:P$404)</f>
        <v>25</v>
      </c>
      <c r="R26" s="88" t="n">
        <v>2851.72</v>
      </c>
      <c r="S26" s="89" t="n">
        <v>24</v>
      </c>
      <c r="T26" s="88" t="n">
        <v>1460.65</v>
      </c>
      <c r="U26" s="89" t="n">
        <f aca="false">RANK($T26,$T$2:$T$121)</f>
        <v>19</v>
      </c>
      <c r="V26" s="88" t="n">
        <v>2485.05</v>
      </c>
      <c r="W26" s="89" t="n">
        <v>33</v>
      </c>
      <c r="X26" s="86" t="n">
        <v>3</v>
      </c>
      <c r="Y26" s="85" t="s">
        <v>3908</v>
      </c>
      <c r="Z26" s="85"/>
    </row>
    <row r="27" customFormat="false" ht="12.75" hidden="true" customHeight="true" outlineLevel="0" collapsed="false">
      <c r="A27" s="85" t="n">
        <v>2230238</v>
      </c>
      <c r="B27" s="85" t="s">
        <v>3972</v>
      </c>
      <c r="C27" s="85"/>
      <c r="D27" s="85"/>
      <c r="E27" s="85" t="s">
        <v>3621</v>
      </c>
      <c r="F27" s="85" t="s">
        <v>3973</v>
      </c>
      <c r="G27" s="85" t="n">
        <v>92200</v>
      </c>
      <c r="H27" s="85" t="s">
        <v>3932</v>
      </c>
      <c r="I27" s="85" t="n">
        <v>146240662</v>
      </c>
      <c r="K27" s="85" t="n">
        <v>1</v>
      </c>
      <c r="L27" s="85" t="n">
        <v>1</v>
      </c>
      <c r="M27" s="86"/>
      <c r="N27" s="87"/>
      <c r="O27" s="87"/>
      <c r="P27" s="88" t="n">
        <v>1193.05</v>
      </c>
      <c r="Q27" s="89" t="n">
        <f aca="false">RANK(P27,P$2:P$404)</f>
        <v>26</v>
      </c>
      <c r="R27" s="88" t="n">
        <v>1665.13</v>
      </c>
      <c r="S27" s="89" t="n">
        <v>91</v>
      </c>
      <c r="T27" s="88" t="n">
        <v>524.05</v>
      </c>
      <c r="U27" s="89" t="n">
        <f aca="false">RANK($T27,$T$2:$T$121)</f>
        <v>94</v>
      </c>
      <c r="V27" s="88" t="n">
        <v>1833.58</v>
      </c>
      <c r="W27" s="89" t="n">
        <v>74</v>
      </c>
      <c r="X27" s="86" t="n">
        <v>5</v>
      </c>
      <c r="Y27" s="85" t="s">
        <v>3969</v>
      </c>
      <c r="Z27" s="85"/>
    </row>
    <row r="28" customFormat="false" ht="12.75" hidden="true" customHeight="true" outlineLevel="0" collapsed="false">
      <c r="A28" s="85" t="n">
        <v>2260833</v>
      </c>
      <c r="B28" s="85" t="s">
        <v>3974</v>
      </c>
      <c r="C28" s="85"/>
      <c r="D28" s="85"/>
      <c r="E28" s="85" t="s">
        <v>2132</v>
      </c>
      <c r="F28" s="85" t="s">
        <v>3975</v>
      </c>
      <c r="G28" s="85" t="n">
        <v>75016</v>
      </c>
      <c r="H28" s="85" t="s">
        <v>36</v>
      </c>
      <c r="I28" s="85" t="n">
        <v>142882178</v>
      </c>
      <c r="K28" s="85" t="n">
        <v>1</v>
      </c>
      <c r="L28" s="85"/>
      <c r="M28" s="86"/>
      <c r="N28" s="87"/>
      <c r="O28" s="87"/>
      <c r="P28" s="88" t="n">
        <v>1187.48</v>
      </c>
      <c r="Q28" s="89" t="n">
        <f aca="false">RANK(P28,P$2:P$404)</f>
        <v>27</v>
      </c>
      <c r="R28" s="88" t="n">
        <v>1684.24</v>
      </c>
      <c r="S28" s="89" t="n">
        <v>89</v>
      </c>
      <c r="T28" s="88" t="n">
        <v>836.26</v>
      </c>
      <c r="U28" s="89" t="n">
        <f aca="false">RANK($T28,$T$2:$T$121)</f>
        <v>57</v>
      </c>
      <c r="V28" s="88" t="n">
        <v>1440.02</v>
      </c>
      <c r="W28" s="89" t="n">
        <v>116</v>
      </c>
      <c r="X28" s="86" t="n">
        <v>9</v>
      </c>
      <c r="Y28" s="85" t="s">
        <v>3922</v>
      </c>
      <c r="Z28" s="85" t="s">
        <v>3955</v>
      </c>
    </row>
    <row r="29" customFormat="false" ht="12.75" hidden="true" customHeight="true" outlineLevel="0" collapsed="false">
      <c r="A29" s="85" t="n">
        <v>2192947</v>
      </c>
      <c r="B29" s="85" t="s">
        <v>3976</v>
      </c>
      <c r="C29" s="85"/>
      <c r="D29" s="85"/>
      <c r="E29" s="85" t="s">
        <v>34</v>
      </c>
      <c r="F29" s="85" t="s">
        <v>3977</v>
      </c>
      <c r="G29" s="85" t="n">
        <v>75016</v>
      </c>
      <c r="H29" s="85" t="s">
        <v>36</v>
      </c>
      <c r="I29" s="85" t="n">
        <v>142880771</v>
      </c>
      <c r="K29" s="85" t="n">
        <v>1</v>
      </c>
      <c r="L29" s="85" t="n">
        <v>1</v>
      </c>
      <c r="M29" s="86"/>
      <c r="N29" s="87"/>
      <c r="O29" s="87"/>
      <c r="P29" s="88" t="n">
        <v>1185.25</v>
      </c>
      <c r="Q29" s="89" t="n">
        <f aca="false">RANK(P29,P$2:P$404)</f>
        <v>28</v>
      </c>
      <c r="R29" s="88" t="n">
        <v>1436.83</v>
      </c>
      <c r="S29" s="89" t="n">
        <v>111</v>
      </c>
      <c r="T29" s="88" t="n">
        <v>1612.3</v>
      </c>
      <c r="U29" s="89" t="n">
        <f aca="false">RANK($T29,$T$2:$T$121)</f>
        <v>13</v>
      </c>
      <c r="V29" s="88" t="n">
        <v>1717.33</v>
      </c>
      <c r="W29" s="89" t="n">
        <v>88</v>
      </c>
      <c r="X29" s="86" t="n">
        <v>5</v>
      </c>
      <c r="Y29" s="85" t="s">
        <v>3978</v>
      </c>
      <c r="Z29" s="85" t="s">
        <v>3955</v>
      </c>
    </row>
    <row r="30" customFormat="false" ht="12.75" hidden="true" customHeight="true" outlineLevel="0" collapsed="false">
      <c r="A30" s="85" t="n">
        <v>2192968</v>
      </c>
      <c r="B30" s="85" t="s">
        <v>3979</v>
      </c>
      <c r="C30" s="85"/>
      <c r="D30" s="85"/>
      <c r="E30" s="85" t="s">
        <v>2928</v>
      </c>
      <c r="F30" s="85" t="s">
        <v>3980</v>
      </c>
      <c r="G30" s="85" t="n">
        <v>75116</v>
      </c>
      <c r="H30" s="85" t="s">
        <v>36</v>
      </c>
      <c r="I30" s="85" t="n">
        <v>147278195</v>
      </c>
      <c r="K30" s="85" t="n">
        <v>1</v>
      </c>
      <c r="L30" s="85"/>
      <c r="M30" s="86"/>
      <c r="N30" s="87"/>
      <c r="O30" s="87"/>
      <c r="P30" s="88" t="n">
        <v>1176.33</v>
      </c>
      <c r="Q30" s="89" t="n">
        <f aca="false">RANK(P30,P$2:P$404)</f>
        <v>29</v>
      </c>
      <c r="R30" s="88" t="n">
        <v>1570.89</v>
      </c>
      <c r="S30" s="89" t="n">
        <v>97</v>
      </c>
      <c r="T30" s="88" t="n">
        <v>1276.69</v>
      </c>
      <c r="U30" s="89" t="n">
        <f aca="false">RANK($T30,$T$2:$T$121)</f>
        <v>25</v>
      </c>
      <c r="V30" s="88" t="n">
        <v>1383.33</v>
      </c>
      <c r="W30" s="89"/>
      <c r="X30" s="86" t="n">
        <v>5</v>
      </c>
      <c r="Y30" s="85"/>
      <c r="Z30" s="85" t="s">
        <v>3927</v>
      </c>
    </row>
    <row r="31" customFormat="false" ht="12.75" hidden="true" customHeight="true" outlineLevel="0" collapsed="false">
      <c r="A31" s="85" t="n">
        <v>2193689</v>
      </c>
      <c r="B31" s="85" t="s">
        <v>2610</v>
      </c>
      <c r="C31" s="85"/>
      <c r="D31" s="85"/>
      <c r="E31" s="85" t="s">
        <v>2400</v>
      </c>
      <c r="F31" s="85" t="s">
        <v>2611</v>
      </c>
      <c r="G31" s="85" t="n">
        <v>75017</v>
      </c>
      <c r="H31" s="85" t="s">
        <v>36</v>
      </c>
      <c r="I31" s="85" t="n">
        <v>147633439</v>
      </c>
      <c r="K31" s="85" t="n">
        <v>1</v>
      </c>
      <c r="L31" s="85" t="n">
        <v>1</v>
      </c>
      <c r="M31" s="86" t="n">
        <v>2</v>
      </c>
      <c r="N31" s="87" t="n">
        <v>44698</v>
      </c>
      <c r="O31" s="87"/>
      <c r="P31" s="88" t="n">
        <v>1142.88</v>
      </c>
      <c r="Q31" s="89" t="n">
        <f aca="false">RANK(P31,P$2:P$404)</f>
        <v>30</v>
      </c>
      <c r="R31" s="88" t="n">
        <v>4073.76</v>
      </c>
      <c r="S31" s="89" t="n">
        <v>6</v>
      </c>
      <c r="T31" s="88" t="n">
        <v>1154.04</v>
      </c>
      <c r="U31" s="89" t="n">
        <f aca="false">RANK($T31,$T$2:$T$121)</f>
        <v>31</v>
      </c>
      <c r="V31" s="88" t="n">
        <v>4765.64</v>
      </c>
      <c r="W31" s="89" t="n">
        <v>6</v>
      </c>
      <c r="X31" s="86" t="n">
        <v>4</v>
      </c>
      <c r="Y31" s="85" t="s">
        <v>3914</v>
      </c>
      <c r="Z31" s="85"/>
    </row>
    <row r="32" customFormat="false" ht="12.75" hidden="true" customHeight="true" outlineLevel="0" collapsed="false">
      <c r="A32" s="85" t="n">
        <v>2192596</v>
      </c>
      <c r="B32" s="85" t="s">
        <v>3981</v>
      </c>
      <c r="C32" s="85"/>
      <c r="D32" s="85"/>
      <c r="E32" s="85" t="s">
        <v>2132</v>
      </c>
      <c r="F32" s="85" t="s">
        <v>3982</v>
      </c>
      <c r="G32" s="85" t="n">
        <v>75016</v>
      </c>
      <c r="H32" s="85" t="s">
        <v>36</v>
      </c>
      <c r="I32" s="85" t="n">
        <v>142882034</v>
      </c>
      <c r="K32" s="85" t="n">
        <v>1</v>
      </c>
      <c r="L32" s="85" t="n">
        <v>1</v>
      </c>
      <c r="M32" s="86"/>
      <c r="N32" s="87"/>
      <c r="O32" s="87"/>
      <c r="P32" s="88" t="n">
        <v>1120.58</v>
      </c>
      <c r="Q32" s="89" t="n">
        <f aca="false">RANK(P32,P$2:P$404)</f>
        <v>31</v>
      </c>
      <c r="R32" s="88" t="n">
        <v>2614.76</v>
      </c>
      <c r="S32" s="89" t="n">
        <v>31</v>
      </c>
      <c r="T32" s="88" t="n">
        <v>1365.89</v>
      </c>
      <c r="U32" s="89" t="n">
        <f aca="false">RANK($T32,$T$2:$T$121)</f>
        <v>22</v>
      </c>
      <c r="V32" s="88" t="n">
        <v>2942.07</v>
      </c>
      <c r="W32" s="89" t="n">
        <v>21</v>
      </c>
      <c r="X32" s="86" t="n">
        <v>3</v>
      </c>
      <c r="Y32" s="85"/>
      <c r="Z32" s="85" t="s">
        <v>3955</v>
      </c>
    </row>
    <row r="33" customFormat="false" ht="12.75" hidden="true" customHeight="true" outlineLevel="0" collapsed="false">
      <c r="A33" s="85" t="n">
        <v>2054192</v>
      </c>
      <c r="B33" s="85" t="s">
        <v>3983</v>
      </c>
      <c r="C33" s="85"/>
      <c r="D33" s="85"/>
      <c r="E33" s="85" t="s">
        <v>2400</v>
      </c>
      <c r="F33" s="85" t="s">
        <v>3984</v>
      </c>
      <c r="G33" s="85" t="n">
        <v>75017</v>
      </c>
      <c r="H33" s="85" t="s">
        <v>36</v>
      </c>
      <c r="I33" s="85" t="n">
        <v>147634548</v>
      </c>
      <c r="K33" s="85" t="n">
        <v>1</v>
      </c>
      <c r="L33" s="85" t="n">
        <v>1</v>
      </c>
      <c r="M33" s="86" t="n">
        <v>2</v>
      </c>
      <c r="N33" s="87" t="n">
        <v>44714</v>
      </c>
      <c r="O33" s="87"/>
      <c r="P33" s="88" t="n">
        <v>1109.43</v>
      </c>
      <c r="Q33" s="89" t="n">
        <f aca="false">RANK(P33,P$2:P$404)</f>
        <v>32</v>
      </c>
      <c r="R33" s="88" t="n">
        <v>2205.83</v>
      </c>
      <c r="S33" s="89" t="n">
        <v>53</v>
      </c>
      <c r="T33" s="88" t="n">
        <v>1103.86</v>
      </c>
      <c r="U33" s="89" t="n">
        <f aca="false">RANK($T33,$T$2:$T$121)</f>
        <v>36</v>
      </c>
      <c r="V33" s="88" t="n">
        <v>2105.99</v>
      </c>
      <c r="W33" s="89" t="n">
        <v>53</v>
      </c>
      <c r="X33" s="86" t="n">
        <v>6</v>
      </c>
      <c r="Y33" s="85" t="s">
        <v>3922</v>
      </c>
      <c r="Z33" s="85" t="s">
        <v>3955</v>
      </c>
    </row>
    <row r="34" customFormat="false" ht="12.75" hidden="true" customHeight="true" outlineLevel="0" collapsed="false">
      <c r="A34" s="85" t="n">
        <v>2192114</v>
      </c>
      <c r="B34" s="85" t="s">
        <v>3985</v>
      </c>
      <c r="C34" s="85"/>
      <c r="D34" s="85"/>
      <c r="E34" s="85" t="s">
        <v>645</v>
      </c>
      <c r="F34" s="85" t="s">
        <v>3986</v>
      </c>
      <c r="G34" s="85" t="n">
        <v>75015</v>
      </c>
      <c r="H34" s="85" t="s">
        <v>36</v>
      </c>
      <c r="I34" s="85" t="n">
        <v>145547983</v>
      </c>
      <c r="K34" s="85" t="n">
        <v>1</v>
      </c>
      <c r="L34" s="85" t="n">
        <v>1</v>
      </c>
      <c r="M34" s="86" t="n">
        <v>2</v>
      </c>
      <c r="N34" s="87" t="n">
        <v>44683</v>
      </c>
      <c r="O34" s="87"/>
      <c r="P34" s="88" t="n">
        <v>1103.85</v>
      </c>
      <c r="Q34" s="89" t="n">
        <f aca="false">RANK(P34,P$2:P$404)</f>
        <v>33</v>
      </c>
      <c r="R34" s="88" t="n">
        <v>2632.45</v>
      </c>
      <c r="S34" s="89" t="n">
        <v>28</v>
      </c>
      <c r="T34" s="88" t="n">
        <v>434.85</v>
      </c>
      <c r="U34" s="89"/>
      <c r="V34" s="88" t="n">
        <v>2279.73</v>
      </c>
      <c r="W34" s="89" t="n">
        <v>44</v>
      </c>
      <c r="X34" s="86" t="n">
        <v>8</v>
      </c>
      <c r="Y34" s="85"/>
      <c r="Z34" s="85" t="s">
        <v>3927</v>
      </c>
    </row>
    <row r="35" customFormat="false" ht="12.75" hidden="true" customHeight="true" outlineLevel="0" collapsed="false">
      <c r="A35" s="85" t="n">
        <v>2053424</v>
      </c>
      <c r="B35" s="85" t="s">
        <v>3987</v>
      </c>
      <c r="C35" s="85"/>
      <c r="D35" s="85"/>
      <c r="E35" s="85" t="s">
        <v>1536</v>
      </c>
      <c r="F35" s="85" t="s">
        <v>3988</v>
      </c>
      <c r="G35" s="85" t="n">
        <v>75015</v>
      </c>
      <c r="H35" s="85" t="s">
        <v>36</v>
      </c>
      <c r="I35" s="85" t="n">
        <v>147836927</v>
      </c>
      <c r="K35" s="85" t="n">
        <v>1</v>
      </c>
      <c r="L35" s="85" t="n">
        <v>1</v>
      </c>
      <c r="M35" s="86" t="n">
        <v>2</v>
      </c>
      <c r="N35" s="87" t="n">
        <v>44692</v>
      </c>
      <c r="O35" s="87"/>
      <c r="P35" s="88" t="n">
        <v>1070.4</v>
      </c>
      <c r="Q35" s="89" t="n">
        <f aca="false">RANK(P35,P$2:P$404)</f>
        <v>34</v>
      </c>
      <c r="R35" s="88" t="n">
        <v>1057.41</v>
      </c>
      <c r="S35" s="89"/>
      <c r="T35" s="88" t="n">
        <v>1382.6</v>
      </c>
      <c r="U35" s="89" t="n">
        <f aca="false">RANK($T35,$T$2:$T$121)</f>
        <v>21</v>
      </c>
      <c r="V35" s="88" t="n">
        <v>789.18</v>
      </c>
      <c r="W35" s="89"/>
      <c r="X35" s="86" t="n">
        <v>7</v>
      </c>
      <c r="Y35" s="85" t="s">
        <v>3989</v>
      </c>
      <c r="Z35" s="85"/>
    </row>
    <row r="36" customFormat="false" ht="12.75" hidden="true" customHeight="true" outlineLevel="0" collapsed="false">
      <c r="A36" s="85" t="n">
        <v>2053466</v>
      </c>
      <c r="B36" s="85" t="s">
        <v>3990</v>
      </c>
      <c r="C36" s="85"/>
      <c r="D36" s="85"/>
      <c r="E36" s="85" t="s">
        <v>1536</v>
      </c>
      <c r="F36" s="85" t="s">
        <v>3991</v>
      </c>
      <c r="G36" s="85" t="n">
        <v>75015</v>
      </c>
      <c r="H36" s="85" t="s">
        <v>36</v>
      </c>
      <c r="I36" s="85" t="n">
        <v>148284585</v>
      </c>
      <c r="K36" s="85" t="n">
        <v>1</v>
      </c>
      <c r="L36" s="85" t="n">
        <v>1</v>
      </c>
      <c r="M36" s="86"/>
      <c r="N36" s="87"/>
      <c r="O36" s="87"/>
      <c r="P36" s="88" t="n">
        <v>1048.1</v>
      </c>
      <c r="Q36" s="89" t="n">
        <f aca="false">RANK(P36,P$2:P$404)</f>
        <v>35</v>
      </c>
      <c r="R36" s="88" t="n">
        <v>2479.93</v>
      </c>
      <c r="S36" s="89" t="n">
        <v>39</v>
      </c>
      <c r="T36" s="88" t="n">
        <v>334.5</v>
      </c>
      <c r="U36" s="89"/>
      <c r="V36" s="88" t="n">
        <v>2251.07</v>
      </c>
      <c r="W36" s="89" t="n">
        <v>47</v>
      </c>
      <c r="X36" s="86" t="n">
        <v>3</v>
      </c>
      <c r="Y36" s="85" t="s">
        <v>3937</v>
      </c>
      <c r="Z36" s="85" t="s">
        <v>3911</v>
      </c>
    </row>
    <row r="37" customFormat="false" ht="12.75" hidden="true" customHeight="true" outlineLevel="0" collapsed="false">
      <c r="A37" s="85" t="n">
        <v>2192711</v>
      </c>
      <c r="B37" s="93" t="s">
        <v>3992</v>
      </c>
      <c r="C37" s="93"/>
      <c r="D37" s="93"/>
      <c r="E37" s="85" t="s">
        <v>2132</v>
      </c>
      <c r="F37" s="85" t="s">
        <v>3993</v>
      </c>
      <c r="G37" s="85" t="n">
        <v>75116</v>
      </c>
      <c r="H37" s="85" t="s">
        <v>36</v>
      </c>
      <c r="I37" s="85" t="n">
        <v>147276814</v>
      </c>
      <c r="K37" s="85" t="n">
        <v>1</v>
      </c>
      <c r="L37" s="85" t="n">
        <v>1</v>
      </c>
      <c r="M37" s="86"/>
      <c r="N37" s="87"/>
      <c r="O37" s="87"/>
      <c r="P37" s="88" t="n">
        <v>1048.1</v>
      </c>
      <c r="Q37" s="89" t="n">
        <f aca="false">RANK(P37,P$2:P$404)</f>
        <v>35</v>
      </c>
      <c r="R37" s="88" t="n">
        <v>2239.59</v>
      </c>
      <c r="S37" s="89" t="n">
        <v>48</v>
      </c>
      <c r="T37" s="88" t="n">
        <v>1103.86</v>
      </c>
      <c r="U37" s="89" t="n">
        <f aca="false">RANK($T37,$T$2:$T$121)</f>
        <v>36</v>
      </c>
      <c r="V37" s="88" t="n">
        <v>1673.98</v>
      </c>
      <c r="W37" s="89" t="n">
        <v>97</v>
      </c>
      <c r="X37" s="86" t="n">
        <v>5</v>
      </c>
      <c r="Y37" s="85" t="s">
        <v>3914</v>
      </c>
      <c r="Z37" s="85"/>
    </row>
    <row r="38" customFormat="false" ht="12.75" hidden="true" customHeight="true" outlineLevel="0" collapsed="false">
      <c r="A38" s="85" t="n">
        <v>2192685</v>
      </c>
      <c r="B38" s="85" t="s">
        <v>3994</v>
      </c>
      <c r="C38" s="85"/>
      <c r="D38" s="85"/>
      <c r="E38" s="85" t="s">
        <v>34</v>
      </c>
      <c r="F38" s="85" t="s">
        <v>3995</v>
      </c>
      <c r="G38" s="85" t="n">
        <v>75016</v>
      </c>
      <c r="H38" s="85" t="s">
        <v>36</v>
      </c>
      <c r="I38" s="85" t="n">
        <v>145251850</v>
      </c>
      <c r="K38" s="85" t="n">
        <v>1</v>
      </c>
      <c r="L38" s="85" t="n">
        <v>1</v>
      </c>
      <c r="M38" s="86"/>
      <c r="N38" s="87"/>
      <c r="O38" s="87"/>
      <c r="P38" s="88" t="n">
        <v>1014.65</v>
      </c>
      <c r="Q38" s="89" t="n">
        <f aca="false">RANK(P38,P$2:P$404)</f>
        <v>37</v>
      </c>
      <c r="R38" s="88" t="n">
        <v>2090.13</v>
      </c>
      <c r="S38" s="89" t="n">
        <v>57</v>
      </c>
      <c r="T38" s="88" t="n">
        <v>1449.51</v>
      </c>
      <c r="U38" s="89" t="n">
        <f aca="false">RANK($T38,$T$2:$T$121)</f>
        <v>20</v>
      </c>
      <c r="V38" s="88" t="n">
        <v>1964.53</v>
      </c>
      <c r="W38" s="89" t="n">
        <v>63</v>
      </c>
      <c r="X38" s="86" t="n">
        <v>6</v>
      </c>
      <c r="Y38" s="85" t="s">
        <v>3914</v>
      </c>
      <c r="Z38" s="85"/>
    </row>
    <row r="39" customFormat="false" ht="12.75" hidden="true" customHeight="true" outlineLevel="0" collapsed="false">
      <c r="A39" s="85" t="n">
        <v>2053513</v>
      </c>
      <c r="B39" s="85" t="s">
        <v>3996</v>
      </c>
      <c r="C39" s="85"/>
      <c r="D39" s="85"/>
      <c r="E39" s="85" t="s">
        <v>1536</v>
      </c>
      <c r="F39" s="85" t="s">
        <v>1549</v>
      </c>
      <c r="G39" s="85" t="n">
        <v>75015</v>
      </c>
      <c r="H39" s="85" t="s">
        <v>36</v>
      </c>
      <c r="I39" s="85" t="n">
        <v>147340552</v>
      </c>
      <c r="K39" s="85" t="n">
        <v>1</v>
      </c>
      <c r="L39" s="85" t="n">
        <v>1</v>
      </c>
      <c r="M39" s="86"/>
      <c r="N39" s="87"/>
      <c r="O39" s="87"/>
      <c r="P39" s="88" t="n">
        <v>1003.5</v>
      </c>
      <c r="Q39" s="89" t="n">
        <f aca="false">RANK(P39,P$2:P$404)</f>
        <v>38</v>
      </c>
      <c r="R39" s="88" t="n">
        <v>3326.19</v>
      </c>
      <c r="S39" s="89" t="n">
        <v>17</v>
      </c>
      <c r="T39" s="88" t="n">
        <v>914.31</v>
      </c>
      <c r="U39" s="89" t="n">
        <f aca="false">RANK($T39,$T$2:$T$121)</f>
        <v>52</v>
      </c>
      <c r="V39" s="88" t="n">
        <v>2083.99</v>
      </c>
      <c r="W39" s="89" t="n">
        <v>55</v>
      </c>
      <c r="X39" s="86" t="n">
        <v>4</v>
      </c>
      <c r="Y39" s="85"/>
      <c r="Z39" s="85" t="s">
        <v>3911</v>
      </c>
    </row>
    <row r="40" customFormat="false" ht="12.75" hidden="true" customHeight="true" outlineLevel="0" collapsed="false">
      <c r="A40" s="85" t="n">
        <v>2193139</v>
      </c>
      <c r="B40" s="85" t="s">
        <v>3997</v>
      </c>
      <c r="C40" s="85"/>
      <c r="D40" s="85"/>
      <c r="E40" s="85" t="s">
        <v>2132</v>
      </c>
      <c r="F40" s="85" t="s">
        <v>3998</v>
      </c>
      <c r="G40" s="85" t="n">
        <v>75116</v>
      </c>
      <c r="H40" s="85" t="s">
        <v>36</v>
      </c>
      <c r="I40" s="85" t="n">
        <v>145252054</v>
      </c>
      <c r="K40" s="85" t="n">
        <v>1</v>
      </c>
      <c r="L40" s="85" t="n">
        <v>1</v>
      </c>
      <c r="M40" s="86" t="n">
        <v>2</v>
      </c>
      <c r="N40" s="87" t="n">
        <v>44735</v>
      </c>
      <c r="O40" s="87"/>
      <c r="P40" s="88" t="n">
        <v>1003.5</v>
      </c>
      <c r="Q40" s="89" t="n">
        <f aca="false">RANK(P40,P$2:P$404)</f>
        <v>38</v>
      </c>
      <c r="R40" s="88" t="n">
        <v>2631.42</v>
      </c>
      <c r="S40" s="89" t="n">
        <v>29</v>
      </c>
      <c r="T40" s="88" t="n">
        <v>669</v>
      </c>
      <c r="U40" s="89" t="n">
        <f aca="false">RANK($T40,$T$2:$T$121)</f>
        <v>69</v>
      </c>
      <c r="V40" s="88" t="n">
        <v>2337.15</v>
      </c>
      <c r="W40" s="89" t="n">
        <v>41</v>
      </c>
      <c r="X40" s="86" t="n">
        <v>2</v>
      </c>
      <c r="Y40" s="85"/>
      <c r="Z40" s="85" t="s">
        <v>3927</v>
      </c>
    </row>
    <row r="41" customFormat="false" ht="12.75" hidden="true" customHeight="true" outlineLevel="0" collapsed="false">
      <c r="A41" s="85" t="n">
        <v>2192439</v>
      </c>
      <c r="B41" s="85" t="s">
        <v>3999</v>
      </c>
      <c r="C41" s="85"/>
      <c r="D41" s="85"/>
      <c r="E41" s="85" t="s">
        <v>645</v>
      </c>
      <c r="F41" s="85" t="s">
        <v>4000</v>
      </c>
      <c r="G41" s="85" t="n">
        <v>75015</v>
      </c>
      <c r="H41" s="85" t="s">
        <v>36</v>
      </c>
      <c r="I41" s="85" t="n">
        <v>145791851</v>
      </c>
      <c r="K41" s="85" t="n">
        <v>1</v>
      </c>
      <c r="L41" s="85"/>
      <c r="M41" s="86" t="n">
        <v>2</v>
      </c>
      <c r="N41" s="87" t="n">
        <v>44721</v>
      </c>
      <c r="O41" s="87"/>
      <c r="P41" s="88" t="n">
        <v>1003.5</v>
      </c>
      <c r="Q41" s="89" t="n">
        <f aca="false">RANK(P41,P$2:P$404)</f>
        <v>38</v>
      </c>
      <c r="R41" s="88" t="n">
        <v>1710.16</v>
      </c>
      <c r="S41" s="89" t="n">
        <v>86</v>
      </c>
      <c r="T41" s="88" t="n">
        <v>1661.35</v>
      </c>
      <c r="U41" s="89" t="n">
        <f aca="false">RANK($T41,$T$2:$T$121)</f>
        <v>11</v>
      </c>
      <c r="V41" s="88" t="n">
        <v>1485.06</v>
      </c>
      <c r="W41" s="89" t="n">
        <v>113</v>
      </c>
      <c r="X41" s="86" t="n">
        <v>7</v>
      </c>
      <c r="Y41" s="85"/>
      <c r="Z41" s="85" t="s">
        <v>3955</v>
      </c>
    </row>
    <row r="42" customFormat="false" ht="12.75" hidden="true" customHeight="true" outlineLevel="0" collapsed="false">
      <c r="A42" s="85" t="n">
        <v>2230091</v>
      </c>
      <c r="B42" s="85" t="s">
        <v>4001</v>
      </c>
      <c r="C42" s="85"/>
      <c r="D42" s="85"/>
      <c r="E42" s="85" t="s">
        <v>3621</v>
      </c>
      <c r="F42" s="85" t="s">
        <v>4002</v>
      </c>
      <c r="G42" s="85" t="n">
        <v>92200</v>
      </c>
      <c r="H42" s="85" t="s">
        <v>3932</v>
      </c>
      <c r="I42" s="85" t="n">
        <v>146240242</v>
      </c>
      <c r="K42" s="85" t="n">
        <v>1</v>
      </c>
      <c r="L42" s="85"/>
      <c r="M42" s="86"/>
      <c r="N42" s="87"/>
      <c r="O42" s="87"/>
      <c r="P42" s="88" t="n">
        <v>1003.5</v>
      </c>
      <c r="Q42" s="89" t="n">
        <f aca="false">RANK(P42,P$2:P$404)</f>
        <v>38</v>
      </c>
      <c r="R42" s="88" t="n">
        <v>1552.85</v>
      </c>
      <c r="S42" s="89" t="n">
        <v>98</v>
      </c>
      <c r="T42" s="88" t="n">
        <v>624.4</v>
      </c>
      <c r="U42" s="89" t="n">
        <f aca="false">RANK($T42,$T$2:$T$121)</f>
        <v>76</v>
      </c>
      <c r="V42" s="88" t="n">
        <v>1588.08</v>
      </c>
      <c r="W42" s="89" t="n">
        <v>104</v>
      </c>
      <c r="X42" s="86" t="n">
        <v>6</v>
      </c>
      <c r="Y42" s="85" t="s">
        <v>3964</v>
      </c>
      <c r="Z42" s="85" t="s">
        <v>3904</v>
      </c>
    </row>
    <row r="43" customFormat="false" ht="12.75" hidden="true" customHeight="true" outlineLevel="0" collapsed="false">
      <c r="A43" s="85" t="n">
        <v>2192732</v>
      </c>
      <c r="B43" s="85" t="s">
        <v>4003</v>
      </c>
      <c r="C43" s="85"/>
      <c r="D43" s="85"/>
      <c r="E43" s="85" t="s">
        <v>2928</v>
      </c>
      <c r="F43" s="85" t="s">
        <v>4004</v>
      </c>
      <c r="G43" s="85" t="n">
        <v>75116</v>
      </c>
      <c r="H43" s="85" t="s">
        <v>36</v>
      </c>
      <c r="I43" s="85" t="n">
        <v>147275477</v>
      </c>
      <c r="K43" s="85" t="n">
        <v>1</v>
      </c>
      <c r="L43" s="85" t="n">
        <v>1</v>
      </c>
      <c r="M43" s="86"/>
      <c r="N43" s="87"/>
      <c r="O43" s="87"/>
      <c r="P43" s="88" t="n">
        <v>1003.5</v>
      </c>
      <c r="Q43" s="89" t="n">
        <f aca="false">RANK(P43,P$2:P$404)</f>
        <v>38</v>
      </c>
      <c r="R43" s="88" t="n">
        <v>1551.17</v>
      </c>
      <c r="S43" s="89" t="n">
        <v>99</v>
      </c>
      <c r="T43" s="88" t="n">
        <v>886.43</v>
      </c>
      <c r="U43" s="89" t="n">
        <f aca="false">RANK($T43,$T$2:$T$121)</f>
        <v>53</v>
      </c>
      <c r="V43" s="88" t="n">
        <v>1089.57</v>
      </c>
      <c r="W43" s="89"/>
      <c r="X43" s="86" t="n">
        <v>4</v>
      </c>
      <c r="Y43" s="85" t="s">
        <v>3937</v>
      </c>
      <c r="Z43" s="85" t="s">
        <v>3911</v>
      </c>
    </row>
    <row r="44" customFormat="false" ht="12.75" hidden="true" customHeight="true" outlineLevel="0" collapsed="false">
      <c r="A44" s="85" t="n">
        <v>2053576</v>
      </c>
      <c r="B44" s="85" t="s">
        <v>4005</v>
      </c>
      <c r="C44" s="85"/>
      <c r="D44" s="85"/>
      <c r="E44" s="85" t="s">
        <v>1536</v>
      </c>
      <c r="F44" s="85" t="s">
        <v>4006</v>
      </c>
      <c r="G44" s="85" t="n">
        <v>75015</v>
      </c>
      <c r="H44" s="85" t="s">
        <v>36</v>
      </c>
      <c r="I44" s="85" t="n">
        <v>145671286</v>
      </c>
      <c r="K44" s="85" t="n">
        <v>1</v>
      </c>
      <c r="L44" s="85" t="n">
        <v>1</v>
      </c>
      <c r="M44" s="86"/>
      <c r="N44" s="87"/>
      <c r="O44" s="87"/>
      <c r="P44" s="88" t="n">
        <v>1003.5</v>
      </c>
      <c r="Q44" s="89" t="n">
        <f aca="false">RANK(P44,P$2:P$404)</f>
        <v>38</v>
      </c>
      <c r="R44" s="88" t="n">
        <v>1486.18</v>
      </c>
      <c r="S44" s="89" t="n">
        <v>109</v>
      </c>
      <c r="T44" s="88" t="n">
        <v>1126.15</v>
      </c>
      <c r="U44" s="89" t="n">
        <f aca="false">RANK($T44,$T$2:$T$121)</f>
        <v>35</v>
      </c>
      <c r="V44" s="88" t="n">
        <v>1689.46</v>
      </c>
      <c r="W44" s="89" t="n">
        <v>95</v>
      </c>
      <c r="X44" s="86" t="n">
        <v>8</v>
      </c>
      <c r="Y44" s="85" t="s">
        <v>3954</v>
      </c>
      <c r="Z44" s="85" t="s">
        <v>3904</v>
      </c>
    </row>
    <row r="45" customFormat="false" ht="12.75" hidden="true" customHeight="true" outlineLevel="0" collapsed="false">
      <c r="A45" s="85" t="n">
        <v>2053560</v>
      </c>
      <c r="B45" s="85" t="s">
        <v>4007</v>
      </c>
      <c r="C45" s="85"/>
      <c r="D45" s="85"/>
      <c r="E45" s="85" t="s">
        <v>645</v>
      </c>
      <c r="F45" s="85" t="s">
        <v>4008</v>
      </c>
      <c r="G45" s="85" t="n">
        <v>75015</v>
      </c>
      <c r="H45" s="85" t="s">
        <v>36</v>
      </c>
      <c r="I45" s="85" t="n">
        <v>145780151</v>
      </c>
      <c r="K45" s="85" t="n">
        <v>1</v>
      </c>
      <c r="L45" s="85" t="n">
        <v>1</v>
      </c>
      <c r="M45" s="86" t="n">
        <v>2</v>
      </c>
      <c r="N45" s="87" t="n">
        <v>44700</v>
      </c>
      <c r="O45" s="87"/>
      <c r="P45" s="88" t="n">
        <v>986.78</v>
      </c>
      <c r="Q45" s="89" t="n">
        <f aca="false">RANK(P45,P$2:P$404)</f>
        <v>44</v>
      </c>
      <c r="R45" s="88" t="n">
        <v>1764.62</v>
      </c>
      <c r="S45" s="89" t="n">
        <v>79</v>
      </c>
      <c r="T45" s="88" t="n">
        <v>1036.96</v>
      </c>
      <c r="U45" s="89" t="n">
        <f aca="false">RANK($T45,$T$2:$T$121)</f>
        <v>45</v>
      </c>
      <c r="V45" s="88" t="n">
        <v>2268.23</v>
      </c>
      <c r="W45" s="89" t="n">
        <v>46</v>
      </c>
      <c r="X45" s="86" t="n">
        <v>7</v>
      </c>
      <c r="Y45" s="85"/>
      <c r="Z45" s="85" t="s">
        <v>3923</v>
      </c>
    </row>
    <row r="46" customFormat="false" ht="12.75" hidden="true" customHeight="true" outlineLevel="0" collapsed="false">
      <c r="A46" s="85" t="n">
        <v>2052022</v>
      </c>
      <c r="B46" s="85" t="s">
        <v>4009</v>
      </c>
      <c r="C46" s="85"/>
      <c r="D46" s="85"/>
      <c r="E46" s="85" t="s">
        <v>1124</v>
      </c>
      <c r="F46" s="85" t="s">
        <v>4010</v>
      </c>
      <c r="G46" s="85" t="n">
        <v>75007</v>
      </c>
      <c r="H46" s="85" t="s">
        <v>36</v>
      </c>
      <c r="I46" s="85" t="n">
        <v>147054580</v>
      </c>
      <c r="K46" s="85" t="n">
        <v>1</v>
      </c>
      <c r="L46" s="85"/>
      <c r="M46" s="86" t="n">
        <v>2</v>
      </c>
      <c r="N46" s="87" t="n">
        <v>44678</v>
      </c>
      <c r="O46" s="87"/>
      <c r="P46" s="88" t="n">
        <v>984.96</v>
      </c>
      <c r="Q46" s="89" t="n">
        <f aca="false">RANK(P46,P$2:P$404)</f>
        <v>45</v>
      </c>
      <c r="R46" s="88" t="n">
        <v>1287.78</v>
      </c>
      <c r="S46" s="89"/>
      <c r="T46" s="88" t="n">
        <v>1723.68</v>
      </c>
      <c r="U46" s="89" t="n">
        <f aca="false">RANK($T46,$T$2:$T$121)</f>
        <v>10</v>
      </c>
      <c r="V46" s="88" t="n">
        <v>1694.88</v>
      </c>
      <c r="W46" s="89" t="n">
        <v>93</v>
      </c>
      <c r="X46" s="86" t="n">
        <v>4</v>
      </c>
      <c r="Y46" s="85" t="s">
        <v>3954</v>
      </c>
      <c r="Z46" s="85"/>
    </row>
    <row r="47" customFormat="false" ht="12.75" hidden="true" customHeight="true" outlineLevel="0" collapsed="false">
      <c r="A47" s="85" t="n">
        <v>2192109</v>
      </c>
      <c r="B47" s="85" t="s">
        <v>4011</v>
      </c>
      <c r="C47" s="85"/>
      <c r="D47" s="85"/>
      <c r="E47" s="85" t="s">
        <v>645</v>
      </c>
      <c r="F47" s="85" t="s">
        <v>4012</v>
      </c>
      <c r="G47" s="85" t="n">
        <v>75015</v>
      </c>
      <c r="H47" s="85" t="s">
        <v>36</v>
      </c>
      <c r="I47" s="85" t="n">
        <v>145781571</v>
      </c>
      <c r="K47" s="85" t="n">
        <v>1</v>
      </c>
      <c r="L47" s="85" t="n">
        <v>1</v>
      </c>
      <c r="M47" s="86" t="n">
        <v>2</v>
      </c>
      <c r="N47" s="87" t="n">
        <v>44705</v>
      </c>
      <c r="O47" s="87"/>
      <c r="P47" s="88" t="n">
        <v>981.2</v>
      </c>
      <c r="Q47" s="89" t="n">
        <f aca="false">RANK(P47,P$2:P$404)</f>
        <v>46</v>
      </c>
      <c r="R47" s="88" t="n">
        <v>1349.06</v>
      </c>
      <c r="S47" s="89" t="n">
        <v>119</v>
      </c>
      <c r="T47" s="88" t="n">
        <v>1036.96</v>
      </c>
      <c r="U47" s="89" t="n">
        <f aca="false">RANK($T47,$T$2:$T$121)</f>
        <v>45</v>
      </c>
      <c r="V47" s="88" t="n">
        <v>1475.47</v>
      </c>
      <c r="W47" s="89" t="n">
        <v>114</v>
      </c>
      <c r="X47" s="86" t="n">
        <v>6</v>
      </c>
      <c r="Y47" s="85"/>
      <c r="Z47" s="85" t="s">
        <v>3955</v>
      </c>
    </row>
    <row r="48" customFormat="false" ht="12.75" hidden="true" customHeight="true" outlineLevel="0" collapsed="false">
      <c r="A48" s="85" t="n">
        <v>2251572</v>
      </c>
      <c r="B48" s="85" t="s">
        <v>4013</v>
      </c>
      <c r="C48" s="85"/>
      <c r="D48" s="85"/>
      <c r="E48" s="85" t="s">
        <v>3401</v>
      </c>
      <c r="F48" s="85" t="s">
        <v>3614</v>
      </c>
      <c r="G48" s="85" t="n">
        <v>92300</v>
      </c>
      <c r="H48" s="85" t="s">
        <v>3403</v>
      </c>
      <c r="I48" s="85" t="n">
        <v>147587581</v>
      </c>
      <c r="K48" s="85" t="n">
        <v>1</v>
      </c>
      <c r="L48" s="85" t="n">
        <v>1</v>
      </c>
      <c r="M48" s="86" t="n">
        <v>2</v>
      </c>
      <c r="N48" s="87" t="n">
        <v>44678</v>
      </c>
      <c r="O48" s="87"/>
      <c r="P48" s="88" t="n">
        <v>975.63</v>
      </c>
      <c r="Q48" s="89" t="n">
        <f aca="false">RANK(P48,P$2:P$404)</f>
        <v>47</v>
      </c>
      <c r="R48" s="88" t="n">
        <v>5188.59</v>
      </c>
      <c r="S48" s="89" t="n">
        <v>2</v>
      </c>
      <c r="T48" s="88" t="n">
        <v>1533.13</v>
      </c>
      <c r="U48" s="89" t="n">
        <f aca="false">RANK($T48,$T$2:$T$121)</f>
        <v>15</v>
      </c>
      <c r="V48" s="88" t="n">
        <v>6073.03</v>
      </c>
      <c r="W48" s="89" t="n">
        <v>1</v>
      </c>
      <c r="X48" s="86" t="n">
        <v>2</v>
      </c>
      <c r="Y48" s="85" t="s">
        <v>3961</v>
      </c>
      <c r="Z48" s="85" t="s">
        <v>4014</v>
      </c>
    </row>
    <row r="49" customFormat="false" ht="12.75" hidden="true" customHeight="true" outlineLevel="0" collapsed="false">
      <c r="A49" s="85" t="n">
        <v>2188375</v>
      </c>
      <c r="B49" s="85" t="s">
        <v>4015</v>
      </c>
      <c r="C49" s="85"/>
      <c r="D49" s="85"/>
      <c r="E49" s="85" t="s">
        <v>1124</v>
      </c>
      <c r="F49" s="85" t="s">
        <v>4016</v>
      </c>
      <c r="G49" s="85" t="n">
        <v>75007</v>
      </c>
      <c r="H49" s="85" t="s">
        <v>36</v>
      </c>
      <c r="I49" s="85" t="n">
        <v>147058395</v>
      </c>
      <c r="K49" s="85" t="n">
        <v>1</v>
      </c>
      <c r="L49" s="85" t="n">
        <v>1</v>
      </c>
      <c r="M49" s="86" t="n">
        <v>2</v>
      </c>
      <c r="N49" s="87" t="n">
        <v>44678</v>
      </c>
      <c r="O49" s="87"/>
      <c r="P49" s="88" t="n">
        <v>970.05</v>
      </c>
      <c r="Q49" s="89" t="n">
        <f aca="false">RANK(P49,P$2:P$404)</f>
        <v>48</v>
      </c>
      <c r="R49" s="88" t="n">
        <v>916.78</v>
      </c>
      <c r="S49" s="89"/>
      <c r="T49" s="88" t="n">
        <v>434.85</v>
      </c>
      <c r="U49" s="89"/>
      <c r="V49" s="88" t="n">
        <v>831.22</v>
      </c>
      <c r="W49" s="89"/>
      <c r="X49" s="86" t="n">
        <v>2</v>
      </c>
      <c r="Y49" s="85" t="s">
        <v>4017</v>
      </c>
      <c r="Z49" s="85" t="s">
        <v>3911</v>
      </c>
    </row>
    <row r="50" customFormat="false" ht="12.75" hidden="true" customHeight="true" outlineLevel="0" collapsed="false">
      <c r="A50" s="85" t="n">
        <v>2048367</v>
      </c>
      <c r="B50" s="85" t="s">
        <v>4018</v>
      </c>
      <c r="C50" s="85"/>
      <c r="D50" s="85"/>
      <c r="E50" s="85" t="s">
        <v>3621</v>
      </c>
      <c r="F50" s="85" t="s">
        <v>4019</v>
      </c>
      <c r="G50" s="85" t="n">
        <v>92200</v>
      </c>
      <c r="H50" s="85" t="s">
        <v>3932</v>
      </c>
      <c r="I50" s="85" t="n">
        <v>146240334</v>
      </c>
      <c r="K50" s="85" t="n">
        <v>1</v>
      </c>
      <c r="L50" s="85" t="n">
        <v>1</v>
      </c>
      <c r="M50" s="86"/>
      <c r="N50" s="87"/>
      <c r="O50" s="87"/>
      <c r="P50" s="88" t="n">
        <v>958.9</v>
      </c>
      <c r="Q50" s="89" t="n">
        <f aca="false">RANK(P50,P$2:P$404)</f>
        <v>49</v>
      </c>
      <c r="R50" s="88" t="n">
        <v>1198.92</v>
      </c>
      <c r="S50" s="89"/>
      <c r="T50" s="88" t="n">
        <v>1226.5</v>
      </c>
      <c r="U50" s="89" t="n">
        <f aca="false">RANK($T50,$T$2:$T$121)</f>
        <v>27</v>
      </c>
      <c r="V50" s="88" t="n">
        <v>1773.55</v>
      </c>
      <c r="W50" s="89" t="n">
        <v>81</v>
      </c>
      <c r="X50" s="86" t="n">
        <v>6</v>
      </c>
      <c r="Y50" s="85"/>
      <c r="Z50" s="85" t="s">
        <v>3927</v>
      </c>
    </row>
    <row r="51" customFormat="false" ht="12.75" hidden="true" customHeight="true" outlineLevel="0" collapsed="false">
      <c r="A51" s="85" t="n">
        <v>2192381</v>
      </c>
      <c r="B51" s="85" t="s">
        <v>4020</v>
      </c>
      <c r="C51" s="85"/>
      <c r="D51" s="85"/>
      <c r="E51" s="85" t="s">
        <v>3238</v>
      </c>
      <c r="F51" s="85" t="s">
        <v>4021</v>
      </c>
      <c r="G51" s="85" t="n">
        <v>75015</v>
      </c>
      <c r="H51" s="85" t="s">
        <v>36</v>
      </c>
      <c r="I51" s="85" t="n">
        <v>145324757</v>
      </c>
      <c r="K51" s="85" t="n">
        <v>1</v>
      </c>
      <c r="L51" s="85" t="n">
        <v>1</v>
      </c>
      <c r="M51" s="86" t="n">
        <v>2</v>
      </c>
      <c r="N51" s="87" t="n">
        <v>44670</v>
      </c>
      <c r="O51" s="87"/>
      <c r="P51" s="88" t="n">
        <v>953.33</v>
      </c>
      <c r="Q51" s="89" t="n">
        <f aca="false">RANK(P51,P$2:P$404)</f>
        <v>50</v>
      </c>
      <c r="R51" s="88" t="n">
        <v>956.44</v>
      </c>
      <c r="S51" s="89"/>
      <c r="T51" s="88" t="n">
        <v>936.62</v>
      </c>
      <c r="U51" s="89" t="n">
        <f aca="false">RANK($T51,$T$2:$T$121)</f>
        <v>51</v>
      </c>
      <c r="V51" s="88" t="n">
        <v>1169.69</v>
      </c>
      <c r="W51" s="89"/>
      <c r="X51" s="86" t="n">
        <v>6</v>
      </c>
      <c r="Y51" s="85" t="s">
        <v>3914</v>
      </c>
      <c r="Z51" s="85"/>
    </row>
    <row r="52" customFormat="false" ht="12.75" hidden="true" customHeight="true" outlineLevel="0" collapsed="false">
      <c r="A52" s="85" t="n">
        <v>2192580</v>
      </c>
      <c r="B52" s="85" t="s">
        <v>4022</v>
      </c>
      <c r="C52" s="85"/>
      <c r="D52" s="85"/>
      <c r="E52" s="85" t="s">
        <v>2132</v>
      </c>
      <c r="F52" s="85" t="s">
        <v>4023</v>
      </c>
      <c r="G52" s="85" t="n">
        <v>75016</v>
      </c>
      <c r="H52" s="85" t="s">
        <v>36</v>
      </c>
      <c r="I52" s="85" t="n">
        <v>142886336</v>
      </c>
      <c r="K52" s="85"/>
      <c r="L52" s="85"/>
      <c r="M52" s="86"/>
      <c r="N52" s="87"/>
      <c r="O52" s="87"/>
      <c r="P52" s="88" t="n">
        <v>951.81</v>
      </c>
      <c r="Q52" s="89" t="n">
        <f aca="false">RANK(P52,P$2:P$404)</f>
        <v>51</v>
      </c>
      <c r="R52" s="88" t="n">
        <v>1144.76</v>
      </c>
      <c r="S52" s="89"/>
      <c r="T52" s="88" t="n">
        <v>525.78</v>
      </c>
      <c r="U52" s="89" t="n">
        <f aca="false">RANK($T52,$T$2:$T$121)</f>
        <v>93</v>
      </c>
      <c r="V52" s="88" t="n">
        <v>1267.54</v>
      </c>
      <c r="W52" s="89"/>
      <c r="X52" s="86" t="n">
        <v>6</v>
      </c>
      <c r="Y52" s="85" t="s">
        <v>4024</v>
      </c>
      <c r="Z52" s="85"/>
    </row>
    <row r="53" customFormat="false" ht="12.75" hidden="true" customHeight="true" outlineLevel="0" collapsed="false">
      <c r="A53" s="85" t="n">
        <v>2052090</v>
      </c>
      <c r="B53" s="85" t="s">
        <v>2473</v>
      </c>
      <c r="C53" s="85"/>
      <c r="D53" s="85"/>
      <c r="E53" s="85" t="s">
        <v>2400</v>
      </c>
      <c r="F53" s="85" t="s">
        <v>2474</v>
      </c>
      <c r="G53" s="85" t="n">
        <v>75017</v>
      </c>
      <c r="H53" s="85" t="s">
        <v>36</v>
      </c>
      <c r="I53" s="85" t="n">
        <v>147636067</v>
      </c>
      <c r="K53" s="85" t="n">
        <v>1</v>
      </c>
      <c r="L53" s="85" t="n">
        <v>1</v>
      </c>
      <c r="M53" s="86" t="n">
        <v>1</v>
      </c>
      <c r="N53" s="87" t="n">
        <v>44585</v>
      </c>
      <c r="O53" s="87"/>
      <c r="P53" s="88" t="n">
        <v>931.03</v>
      </c>
      <c r="Q53" s="89" t="n">
        <f aca="false">RANK(P53,P$2:P$404)</f>
        <v>52</v>
      </c>
      <c r="R53" s="88" t="n">
        <v>3125.59</v>
      </c>
      <c r="S53" s="89" t="n">
        <v>19</v>
      </c>
      <c r="T53" s="88" t="n">
        <v>813.96</v>
      </c>
      <c r="U53" s="89" t="n">
        <f aca="false">RANK($T53,$T$2:$T$121)</f>
        <v>61</v>
      </c>
      <c r="V53" s="88" t="n">
        <v>2457.82</v>
      </c>
      <c r="W53" s="89" t="n">
        <v>36</v>
      </c>
      <c r="X53" s="86" t="n">
        <v>4</v>
      </c>
      <c r="Y53" s="85" t="s">
        <v>3908</v>
      </c>
      <c r="Z53" s="85"/>
    </row>
    <row r="54" customFormat="false" ht="12.75" hidden="true" customHeight="true" outlineLevel="0" collapsed="false">
      <c r="A54" s="85" t="n">
        <v>2053801</v>
      </c>
      <c r="B54" s="85" t="s">
        <v>4025</v>
      </c>
      <c r="C54" s="85"/>
      <c r="D54" s="85"/>
      <c r="E54" s="85" t="s">
        <v>34</v>
      </c>
      <c r="F54" s="85" t="s">
        <v>4026</v>
      </c>
      <c r="G54" s="85" t="n">
        <v>75016</v>
      </c>
      <c r="H54" s="85" t="s">
        <v>36</v>
      </c>
      <c r="I54" s="85" t="n">
        <v>146514974</v>
      </c>
      <c r="K54" s="85" t="n">
        <v>1</v>
      </c>
      <c r="L54" s="85"/>
      <c r="M54" s="86" t="n">
        <v>1</v>
      </c>
      <c r="N54" s="87" t="n">
        <v>44614</v>
      </c>
      <c r="O54" s="87"/>
      <c r="P54" s="88" t="n">
        <v>931.03</v>
      </c>
      <c r="Q54" s="89" t="n">
        <f aca="false">RANK(P54,P$2:P$404)</f>
        <v>52</v>
      </c>
      <c r="R54" s="88" t="n">
        <v>899.91</v>
      </c>
      <c r="S54" s="89"/>
      <c r="T54" s="88" t="n">
        <v>986.79</v>
      </c>
      <c r="U54" s="89" t="n">
        <f aca="false">RANK($T54,$T$2:$T$121)</f>
        <v>49</v>
      </c>
      <c r="V54" s="88" t="n">
        <v>696.38</v>
      </c>
      <c r="W54" s="89"/>
      <c r="X54" s="86" t="n">
        <v>10</v>
      </c>
      <c r="Y54" s="85" t="s">
        <v>3922</v>
      </c>
      <c r="Z54" s="85" t="s">
        <v>3927</v>
      </c>
    </row>
    <row r="55" customFormat="false" ht="12.75" hidden="true" customHeight="true" outlineLevel="0" collapsed="false">
      <c r="A55" s="85" t="n">
        <v>2191938</v>
      </c>
      <c r="B55" s="85" t="s">
        <v>4027</v>
      </c>
      <c r="C55" s="85"/>
      <c r="D55" s="85"/>
      <c r="E55" s="85" t="s">
        <v>1536</v>
      </c>
      <c r="F55" s="85" t="s">
        <v>4028</v>
      </c>
      <c r="G55" s="85" t="n">
        <v>75015</v>
      </c>
      <c r="H55" s="85" t="s">
        <v>36</v>
      </c>
      <c r="I55" s="85" t="n">
        <v>145329542</v>
      </c>
      <c r="K55" s="85" t="n">
        <v>1</v>
      </c>
      <c r="L55" s="85"/>
      <c r="M55" s="86"/>
      <c r="N55" s="87"/>
      <c r="O55" s="87"/>
      <c r="P55" s="88" t="n">
        <v>919.88</v>
      </c>
      <c r="Q55" s="89" t="n">
        <f aca="false">RANK(P55,P$2:P$404)</f>
        <v>54</v>
      </c>
      <c r="R55" s="88" t="n">
        <v>1542.98</v>
      </c>
      <c r="S55" s="89" t="n">
        <v>100</v>
      </c>
      <c r="T55" s="88" t="n">
        <v>730.33</v>
      </c>
      <c r="U55" s="89" t="n">
        <f aca="false">RANK($T55,$T$2:$T$121)</f>
        <v>67</v>
      </c>
      <c r="V55" s="88" t="n">
        <v>1172.95</v>
      </c>
      <c r="W55" s="89"/>
      <c r="X55" s="86" t="n">
        <v>7</v>
      </c>
      <c r="Y55" s="85" t="s">
        <v>3922</v>
      </c>
      <c r="Z55" s="85"/>
    </row>
    <row r="56" customFormat="false" ht="12.75" hidden="true" customHeight="true" outlineLevel="0" collapsed="false">
      <c r="A56" s="85" t="n">
        <v>2053859</v>
      </c>
      <c r="B56" s="85" t="s">
        <v>4029</v>
      </c>
      <c r="C56" s="85"/>
      <c r="D56" s="85"/>
      <c r="E56" s="85" t="s">
        <v>2672</v>
      </c>
      <c r="F56" s="85" t="s">
        <v>4030</v>
      </c>
      <c r="G56" s="85" t="n">
        <v>75017</v>
      </c>
      <c r="H56" s="85" t="s">
        <v>36</v>
      </c>
      <c r="I56" s="85" t="n">
        <v>145742441</v>
      </c>
      <c r="K56" s="85" t="n">
        <v>1</v>
      </c>
      <c r="L56" s="85" t="n">
        <v>1</v>
      </c>
      <c r="M56" s="86"/>
      <c r="N56" s="87"/>
      <c r="O56" s="87"/>
      <c r="P56" s="88" t="n">
        <v>915.24</v>
      </c>
      <c r="Q56" s="89" t="n">
        <f aca="false">RANK(P56,P$2:P$404)</f>
        <v>55</v>
      </c>
      <c r="R56" s="88" t="n">
        <v>2723.22</v>
      </c>
      <c r="S56" s="89" t="n">
        <v>26</v>
      </c>
      <c r="T56" s="88" t="n">
        <v>1255.79</v>
      </c>
      <c r="U56" s="89" t="n">
        <f aca="false">RANK($T56,$T$2:$T$121)</f>
        <v>26</v>
      </c>
      <c r="V56" s="88" t="n">
        <v>4759.08</v>
      </c>
      <c r="W56" s="89" t="n">
        <v>7</v>
      </c>
      <c r="X56" s="86" t="n">
        <v>6</v>
      </c>
      <c r="Y56" s="85" t="s">
        <v>3954</v>
      </c>
      <c r="Z56" s="85"/>
    </row>
    <row r="57" customFormat="false" ht="12.75" hidden="true" customHeight="true" outlineLevel="0" collapsed="false">
      <c r="A57" s="85" t="n">
        <v>2228779</v>
      </c>
      <c r="B57" s="85" t="s">
        <v>4031</v>
      </c>
      <c r="C57" s="85"/>
      <c r="D57" s="85"/>
      <c r="E57" s="85" t="s">
        <v>3621</v>
      </c>
      <c r="F57" s="85" t="s">
        <v>4032</v>
      </c>
      <c r="G57" s="85" t="n">
        <v>92200</v>
      </c>
      <c r="H57" s="85" t="s">
        <v>3932</v>
      </c>
      <c r="I57" s="85" t="n">
        <v>146246124</v>
      </c>
      <c r="K57" s="85" t="n">
        <v>1</v>
      </c>
      <c r="L57" s="85"/>
      <c r="M57" s="86"/>
      <c r="N57" s="87"/>
      <c r="O57" s="87"/>
      <c r="P57" s="88" t="n">
        <v>914.3</v>
      </c>
      <c r="Q57" s="89" t="n">
        <f aca="false">RANK(P57,P$2:P$404)</f>
        <v>56</v>
      </c>
      <c r="R57" s="88" t="n">
        <v>2577.19</v>
      </c>
      <c r="S57" s="89" t="n">
        <v>34</v>
      </c>
      <c r="T57" s="88" t="n">
        <v>1282.25</v>
      </c>
      <c r="U57" s="89" t="n">
        <f aca="false">RANK($T57,$T$2:$T$121)</f>
        <v>24</v>
      </c>
      <c r="V57" s="88" t="n">
        <v>2026.19</v>
      </c>
      <c r="W57" s="89" t="n">
        <v>62</v>
      </c>
      <c r="X57" s="86" t="n">
        <v>6</v>
      </c>
      <c r="Y57" s="85" t="s">
        <v>3926</v>
      </c>
      <c r="Z57" s="85" t="s">
        <v>3927</v>
      </c>
    </row>
    <row r="58" customFormat="false" ht="12.75" hidden="true" customHeight="true" outlineLevel="0" collapsed="false">
      <c r="A58" s="85" t="n">
        <v>2053780</v>
      </c>
      <c r="B58" s="85" t="s">
        <v>4033</v>
      </c>
      <c r="C58" s="85"/>
      <c r="D58" s="85"/>
      <c r="E58" s="85" t="s">
        <v>2132</v>
      </c>
      <c r="F58" s="85" t="s">
        <v>4034</v>
      </c>
      <c r="G58" s="85" t="n">
        <v>75016</v>
      </c>
      <c r="H58" s="85" t="s">
        <v>36</v>
      </c>
      <c r="I58" s="85" t="n">
        <v>142882168</v>
      </c>
      <c r="K58" s="85" t="n">
        <v>1</v>
      </c>
      <c r="L58" s="85"/>
      <c r="M58" s="86" t="n">
        <v>2</v>
      </c>
      <c r="N58" s="87" t="n">
        <v>44693</v>
      </c>
      <c r="O58" s="87"/>
      <c r="P58" s="88" t="n">
        <v>914.3</v>
      </c>
      <c r="Q58" s="89" t="n">
        <f aca="false">RANK(P58,P$2:P$404)</f>
        <v>56</v>
      </c>
      <c r="R58" s="88" t="n">
        <v>2342.91</v>
      </c>
      <c r="S58" s="89" t="n">
        <v>44</v>
      </c>
      <c r="T58" s="88" t="n">
        <v>1087.13</v>
      </c>
      <c r="U58" s="89" t="n">
        <f aca="false">RANK($T58,$T$2:$T$121)</f>
        <v>42</v>
      </c>
      <c r="V58" s="88" t="n">
        <v>2312.58</v>
      </c>
      <c r="W58" s="89" t="n">
        <v>42</v>
      </c>
      <c r="X58" s="86" t="n">
        <v>4</v>
      </c>
      <c r="Y58" s="85" t="s">
        <v>3919</v>
      </c>
      <c r="Z58" s="85"/>
    </row>
    <row r="59" customFormat="false" ht="12.75" hidden="true" customHeight="true" outlineLevel="0" collapsed="false">
      <c r="A59" s="85" t="n">
        <v>2053602</v>
      </c>
      <c r="B59" s="85" t="s">
        <v>4035</v>
      </c>
      <c r="C59" s="85"/>
      <c r="D59" s="85"/>
      <c r="E59" s="85" t="s">
        <v>3238</v>
      </c>
      <c r="F59" s="85" t="s">
        <v>4036</v>
      </c>
      <c r="G59" s="85" t="n">
        <v>75015</v>
      </c>
      <c r="H59" s="85" t="s">
        <v>36</v>
      </c>
      <c r="I59" s="85" t="n">
        <v>148286792</v>
      </c>
      <c r="K59" s="85" t="n">
        <v>1</v>
      </c>
      <c r="L59" s="85" t="n">
        <v>1</v>
      </c>
      <c r="M59" s="86"/>
      <c r="N59" s="87"/>
      <c r="O59" s="87"/>
      <c r="P59" s="88" t="n">
        <v>886.43</v>
      </c>
      <c r="Q59" s="89" t="n">
        <f aca="false">RANK(P59,P$2:P$404)</f>
        <v>58</v>
      </c>
      <c r="R59" s="88" t="n">
        <v>1613.91</v>
      </c>
      <c r="S59" s="89" t="n">
        <v>94</v>
      </c>
      <c r="T59" s="88" t="n">
        <v>769.36</v>
      </c>
      <c r="U59" s="89" t="n">
        <f aca="false">RANK($T59,$T$2:$T$121)</f>
        <v>63</v>
      </c>
      <c r="V59" s="88" t="n">
        <v>1333.95</v>
      </c>
      <c r="W59" s="89"/>
      <c r="X59" s="86" t="n">
        <v>5</v>
      </c>
      <c r="Y59" s="85" t="s">
        <v>3908</v>
      </c>
      <c r="Z59" s="85"/>
    </row>
    <row r="60" customFormat="false" ht="12.75" hidden="true" customHeight="true" outlineLevel="0" collapsed="false">
      <c r="A60" s="85" t="n">
        <v>2249118</v>
      </c>
      <c r="B60" s="85" t="s">
        <v>4037</v>
      </c>
      <c r="C60" s="85"/>
      <c r="D60" s="85"/>
      <c r="E60" s="85" t="s">
        <v>1124</v>
      </c>
      <c r="F60" s="85" t="s">
        <v>4038</v>
      </c>
      <c r="G60" s="85" t="n">
        <v>75007</v>
      </c>
      <c r="H60" s="85" t="s">
        <v>36</v>
      </c>
      <c r="I60" s="85" t="n">
        <v>142612762</v>
      </c>
      <c r="K60" s="85" t="n">
        <v>1</v>
      </c>
      <c r="L60" s="85"/>
      <c r="M60" s="86"/>
      <c r="N60" s="87"/>
      <c r="O60" s="87"/>
      <c r="P60" s="88" t="n">
        <v>869.71</v>
      </c>
      <c r="Q60" s="89" t="n">
        <f aca="false">RANK(P60,P$2:P$404)</f>
        <v>59</v>
      </c>
      <c r="R60" s="88" t="n">
        <v>838.66</v>
      </c>
      <c r="S60" s="89"/>
      <c r="T60" s="88" t="n">
        <v>1042.54</v>
      </c>
      <c r="U60" s="89" t="n">
        <f aca="false">RANK($T60,$T$2:$T$121)</f>
        <v>44</v>
      </c>
      <c r="V60" s="88" t="n">
        <v>843.72</v>
      </c>
      <c r="W60" s="89"/>
      <c r="X60" s="86" t="n">
        <v>6</v>
      </c>
      <c r="Y60" s="85"/>
      <c r="Z60" s="85" t="s">
        <v>3955</v>
      </c>
    </row>
    <row r="61" customFormat="false" ht="12.75" hidden="true" customHeight="true" outlineLevel="0" collapsed="false">
      <c r="A61" s="85" t="n">
        <v>2227953</v>
      </c>
      <c r="B61" s="85" t="s">
        <v>4039</v>
      </c>
      <c r="C61" s="85"/>
      <c r="D61" s="85"/>
      <c r="E61" s="85" t="s">
        <v>3401</v>
      </c>
      <c r="F61" s="85" t="s">
        <v>4040</v>
      </c>
      <c r="G61" s="85" t="n">
        <v>92300</v>
      </c>
      <c r="H61" s="85" t="s">
        <v>3403</v>
      </c>
      <c r="I61" s="85" t="n">
        <v>147370405</v>
      </c>
      <c r="K61" s="85" t="n">
        <v>1</v>
      </c>
      <c r="L61" s="85"/>
      <c r="M61" s="86"/>
      <c r="N61" s="87"/>
      <c r="O61" s="87"/>
      <c r="P61" s="88" t="n">
        <v>869.7</v>
      </c>
      <c r="Q61" s="89" t="n">
        <f aca="false">RANK(P61,P$2:P$404)</f>
        <v>60</v>
      </c>
      <c r="R61" s="88" t="n">
        <v>2876.38</v>
      </c>
      <c r="S61" s="89" t="n">
        <v>23</v>
      </c>
      <c r="T61" s="88" t="n">
        <v>535.2</v>
      </c>
      <c r="U61" s="89" t="n">
        <f aca="false">RANK($T61,$T$2:$T$121)</f>
        <v>90</v>
      </c>
      <c r="V61" s="88" t="n">
        <v>2342.46</v>
      </c>
      <c r="W61" s="89" t="n">
        <v>40</v>
      </c>
      <c r="X61" s="86" t="n">
        <v>5</v>
      </c>
      <c r="Y61" s="85"/>
      <c r="Z61" s="85" t="s">
        <v>3927</v>
      </c>
    </row>
    <row r="62" customFormat="false" ht="12.75" hidden="true" customHeight="true" outlineLevel="0" collapsed="false">
      <c r="A62" s="85" t="n">
        <v>2054119</v>
      </c>
      <c r="B62" s="85" t="s">
        <v>4041</v>
      </c>
      <c r="C62" s="85"/>
      <c r="D62" s="85"/>
      <c r="E62" s="85" t="s">
        <v>2400</v>
      </c>
      <c r="F62" s="85" t="s">
        <v>4042</v>
      </c>
      <c r="G62" s="85" t="n">
        <v>75017</v>
      </c>
      <c r="H62" s="85" t="s">
        <v>36</v>
      </c>
      <c r="I62" s="85" t="n">
        <v>147633651</v>
      </c>
      <c r="K62" s="85" t="n">
        <v>1</v>
      </c>
      <c r="L62" s="85" t="n">
        <v>1</v>
      </c>
      <c r="M62" s="86" t="n">
        <v>2</v>
      </c>
      <c r="N62" s="87" t="n">
        <v>44722</v>
      </c>
      <c r="O62" s="87"/>
      <c r="P62" s="88" t="n">
        <v>869.7</v>
      </c>
      <c r="Q62" s="89" t="n">
        <f aca="false">RANK(P62,P$2:P$404)</f>
        <v>60</v>
      </c>
      <c r="R62" s="88" t="n">
        <v>1754.72</v>
      </c>
      <c r="S62" s="89" t="n">
        <v>80</v>
      </c>
      <c r="T62" s="88" t="n">
        <v>1092.7</v>
      </c>
      <c r="U62" s="89" t="n">
        <f aca="false">RANK($T62,$T$2:$T$121)</f>
        <v>39</v>
      </c>
      <c r="V62" s="88" t="n">
        <v>1918.01</v>
      </c>
      <c r="W62" s="89" t="n">
        <v>65</v>
      </c>
      <c r="X62" s="86" t="n">
        <v>4</v>
      </c>
      <c r="Y62" s="85" t="s">
        <v>3919</v>
      </c>
      <c r="Z62" s="85"/>
    </row>
    <row r="63" customFormat="false" ht="12.75" hidden="true" customHeight="true" outlineLevel="0" collapsed="false">
      <c r="A63" s="85" t="n">
        <v>2053932</v>
      </c>
      <c r="B63" s="85" t="s">
        <v>4043</v>
      </c>
      <c r="C63" s="85"/>
      <c r="D63" s="85"/>
      <c r="E63" s="85" t="s">
        <v>2672</v>
      </c>
      <c r="F63" s="85" t="s">
        <v>4044</v>
      </c>
      <c r="G63" s="85" t="n">
        <v>75017</v>
      </c>
      <c r="H63" s="85" t="s">
        <v>36</v>
      </c>
      <c r="I63" s="85" t="n">
        <v>143801826</v>
      </c>
      <c r="K63" s="85" t="n">
        <v>1</v>
      </c>
      <c r="L63" s="85" t="n">
        <v>1</v>
      </c>
      <c r="M63" s="86"/>
      <c r="N63" s="87"/>
      <c r="O63" s="87"/>
      <c r="P63" s="88" t="n">
        <v>869.7</v>
      </c>
      <c r="Q63" s="89" t="n">
        <f aca="false">RANK(P63,P$2:P$404)</f>
        <v>60</v>
      </c>
      <c r="R63" s="88" t="n">
        <v>1289.07</v>
      </c>
      <c r="S63" s="89"/>
      <c r="T63" s="88" t="n">
        <v>1092.7</v>
      </c>
      <c r="U63" s="89" t="n">
        <f aca="false">RANK($T63,$T$2:$T$121)</f>
        <v>39</v>
      </c>
      <c r="V63" s="88" t="n">
        <v>2047.07</v>
      </c>
      <c r="W63" s="89" t="n">
        <v>60</v>
      </c>
      <c r="X63" s="86" t="n">
        <v>4</v>
      </c>
      <c r="Y63" s="85" t="s">
        <v>4045</v>
      </c>
      <c r="Z63" s="85" t="s">
        <v>3904</v>
      </c>
    </row>
    <row r="64" customFormat="false" ht="12.75" hidden="true" customHeight="true" outlineLevel="0" collapsed="false">
      <c r="A64" s="85" t="n">
        <v>2054009</v>
      </c>
      <c r="B64" s="93" t="s">
        <v>4046</v>
      </c>
      <c r="C64" s="93"/>
      <c r="D64" s="93"/>
      <c r="E64" s="85" t="s">
        <v>2400</v>
      </c>
      <c r="F64" s="85" t="s">
        <v>4047</v>
      </c>
      <c r="G64" s="85" t="n">
        <v>75017</v>
      </c>
      <c r="H64" s="85" t="s">
        <v>36</v>
      </c>
      <c r="I64" s="85" t="n">
        <v>147633016</v>
      </c>
      <c r="K64" s="85" t="n">
        <v>1</v>
      </c>
      <c r="L64" s="85" t="n">
        <v>1</v>
      </c>
      <c r="M64" s="86" t="n">
        <v>2</v>
      </c>
      <c r="N64" s="87" t="n">
        <v>44704</v>
      </c>
      <c r="O64" s="87"/>
      <c r="P64" s="88" t="n">
        <v>858.55</v>
      </c>
      <c r="Q64" s="89" t="n">
        <f aca="false">RANK(P64,P$2:P$404)</f>
        <v>63</v>
      </c>
      <c r="R64" s="88" t="n">
        <v>2176.16</v>
      </c>
      <c r="S64" s="89" t="n">
        <v>55</v>
      </c>
      <c r="T64" s="88" t="n">
        <v>741.48</v>
      </c>
      <c r="U64" s="89" t="n">
        <f aca="false">RANK($T64,$T$2:$T$121)</f>
        <v>64</v>
      </c>
      <c r="V64" s="88" t="n">
        <v>1749.23</v>
      </c>
      <c r="W64" s="89" t="n">
        <v>85</v>
      </c>
      <c r="X64" s="86" t="n">
        <v>5</v>
      </c>
      <c r="Y64" s="85" t="s">
        <v>3969</v>
      </c>
      <c r="Z64" s="85"/>
    </row>
    <row r="65" customFormat="false" ht="12.75" hidden="true" customHeight="true" outlineLevel="0" collapsed="false">
      <c r="A65" s="85" t="n">
        <v>2048278</v>
      </c>
      <c r="B65" s="85" t="s">
        <v>4048</v>
      </c>
      <c r="C65" s="85"/>
      <c r="D65" s="85"/>
      <c r="E65" s="85" t="s">
        <v>3401</v>
      </c>
      <c r="F65" s="85" t="s">
        <v>3535</v>
      </c>
      <c r="G65" s="85" t="n">
        <v>92300</v>
      </c>
      <c r="H65" s="85" t="s">
        <v>3403</v>
      </c>
      <c r="I65" s="85" t="n">
        <v>147374316</v>
      </c>
      <c r="K65" s="85" t="n">
        <v>1</v>
      </c>
      <c r="L65" s="85" t="n">
        <v>1</v>
      </c>
      <c r="M65" s="86"/>
      <c r="N65" s="87"/>
      <c r="O65" s="87"/>
      <c r="P65" s="88" t="n">
        <v>858.55</v>
      </c>
      <c r="Q65" s="89" t="n">
        <f aca="false">RANK(P65,P$2:P$404)</f>
        <v>63</v>
      </c>
      <c r="R65" s="88" t="n">
        <v>1508.6</v>
      </c>
      <c r="S65" s="89" t="n">
        <v>104</v>
      </c>
      <c r="T65" s="88" t="n">
        <v>468.3</v>
      </c>
      <c r="U65" s="89" t="n">
        <f aca="false">RANK($T65,$T$2:$T$121)</f>
        <v>101</v>
      </c>
      <c r="V65" s="88" t="n">
        <v>1775.73</v>
      </c>
      <c r="W65" s="89" t="n">
        <v>80</v>
      </c>
      <c r="X65" s="86" t="n">
        <v>5</v>
      </c>
      <c r="Y65" s="85" t="s">
        <v>3908</v>
      </c>
      <c r="Z65" s="85"/>
    </row>
    <row r="66" customFormat="false" ht="12.75" hidden="true" customHeight="true" outlineLevel="0" collapsed="false">
      <c r="A66" s="85" t="n">
        <v>2192931</v>
      </c>
      <c r="B66" s="85" t="s">
        <v>4049</v>
      </c>
      <c r="C66" s="85"/>
      <c r="D66" s="85"/>
      <c r="E66" s="85" t="s">
        <v>34</v>
      </c>
      <c r="F66" s="85" t="s">
        <v>4050</v>
      </c>
      <c r="G66" s="85" t="n">
        <v>75016</v>
      </c>
      <c r="H66" s="85" t="s">
        <v>36</v>
      </c>
      <c r="I66" s="85" t="n">
        <v>142887951</v>
      </c>
      <c r="K66" s="85" t="n">
        <v>1</v>
      </c>
      <c r="L66" s="85" t="n">
        <v>1</v>
      </c>
      <c r="M66" s="86" t="n">
        <v>2</v>
      </c>
      <c r="N66" s="87" t="n">
        <v>44684</v>
      </c>
      <c r="O66" s="87"/>
      <c r="P66" s="88" t="n">
        <v>852.98</v>
      </c>
      <c r="Q66" s="89" t="n">
        <f aca="false">RANK(P66,P$2:P$404)</f>
        <v>65</v>
      </c>
      <c r="R66" s="88" t="n">
        <v>1351.91</v>
      </c>
      <c r="S66" s="89" t="n">
        <v>118</v>
      </c>
      <c r="T66" s="88" t="n">
        <v>1131.73</v>
      </c>
      <c r="U66" s="89" t="n">
        <f aca="false">RANK($T66,$T$2:$T$121)</f>
        <v>33</v>
      </c>
      <c r="V66" s="88" t="n">
        <v>1821.21</v>
      </c>
      <c r="W66" s="89" t="n">
        <v>77</v>
      </c>
      <c r="X66" s="86" t="n">
        <v>7</v>
      </c>
      <c r="Y66" s="85" t="s">
        <v>3926</v>
      </c>
      <c r="Z66" s="85" t="s">
        <v>3904</v>
      </c>
    </row>
    <row r="67" customFormat="false" ht="12.75" hidden="true" customHeight="true" outlineLevel="0" collapsed="false">
      <c r="A67" s="85" t="n">
        <v>2192706</v>
      </c>
      <c r="B67" s="85" t="s">
        <v>4051</v>
      </c>
      <c r="C67" s="85"/>
      <c r="D67" s="85"/>
      <c r="E67" s="85" t="s">
        <v>2928</v>
      </c>
      <c r="F67" s="85" t="s">
        <v>4052</v>
      </c>
      <c r="G67" s="85" t="n">
        <v>75116</v>
      </c>
      <c r="H67" s="85" t="s">
        <v>36</v>
      </c>
      <c r="I67" s="85" t="n">
        <v>145054288</v>
      </c>
      <c r="K67" s="85" t="n">
        <v>1</v>
      </c>
      <c r="L67" s="85" t="n">
        <v>1</v>
      </c>
      <c r="M67" s="86" t="n">
        <v>2</v>
      </c>
      <c r="N67" s="87" t="n">
        <v>44671</v>
      </c>
      <c r="O67" s="87"/>
      <c r="P67" s="88" t="n">
        <v>847.4</v>
      </c>
      <c r="Q67" s="89" t="n">
        <f aca="false">RANK(P67,P$2:P$404)</f>
        <v>66</v>
      </c>
      <c r="R67" s="88" t="n">
        <v>2462.96</v>
      </c>
      <c r="S67" s="89" t="n">
        <v>40</v>
      </c>
      <c r="T67" s="88" t="n">
        <v>1984.7</v>
      </c>
      <c r="U67" s="89" t="n">
        <f aca="false">RANK($T67,$T$2:$T$121)</f>
        <v>5</v>
      </c>
      <c r="V67" s="88" t="n">
        <v>3016.66</v>
      </c>
      <c r="W67" s="89" t="n">
        <v>19</v>
      </c>
      <c r="X67" s="86" t="n">
        <v>2</v>
      </c>
      <c r="Y67" s="85" t="s">
        <v>3958</v>
      </c>
      <c r="Z67" s="85"/>
    </row>
    <row r="68" customFormat="false" ht="12.75" hidden="true" customHeight="true" outlineLevel="0" collapsed="false">
      <c r="A68" s="85" t="n">
        <v>2188045</v>
      </c>
      <c r="B68" s="85" t="s">
        <v>4053</v>
      </c>
      <c r="C68" s="85"/>
      <c r="D68" s="85"/>
      <c r="E68" s="85" t="s">
        <v>1124</v>
      </c>
      <c r="F68" s="85" t="s">
        <v>4054</v>
      </c>
      <c r="G68" s="85" t="n">
        <v>75006</v>
      </c>
      <c r="H68" s="85" t="s">
        <v>36</v>
      </c>
      <c r="I68" s="85" t="n">
        <v>147343664</v>
      </c>
      <c r="K68" s="85" t="n">
        <v>1</v>
      </c>
      <c r="L68" s="85" t="n">
        <v>1</v>
      </c>
      <c r="M68" s="86" t="n">
        <v>2</v>
      </c>
      <c r="N68" s="87" t="n">
        <v>44721</v>
      </c>
      <c r="O68" s="87"/>
      <c r="P68" s="88" t="n">
        <v>847.4</v>
      </c>
      <c r="Q68" s="89" t="n">
        <f aca="false">RANK(P68,P$2:P$404)</f>
        <v>66</v>
      </c>
      <c r="R68" s="88" t="n">
        <v>1306.83</v>
      </c>
      <c r="S68" s="89"/>
      <c r="T68" s="88" t="n">
        <v>479.45</v>
      </c>
      <c r="U68" s="89" t="n">
        <f aca="false">RANK($T68,$T$2:$T$121)</f>
        <v>99</v>
      </c>
      <c r="V68" s="88" t="n">
        <v>1149.66</v>
      </c>
      <c r="W68" s="89"/>
      <c r="X68" s="86" t="n">
        <v>4</v>
      </c>
      <c r="Y68" s="85" t="s">
        <v>4045</v>
      </c>
      <c r="Z68" s="85" t="s">
        <v>3904</v>
      </c>
    </row>
    <row r="69" customFormat="false" ht="12.75" hidden="false" customHeight="true" outlineLevel="0" collapsed="false">
      <c r="A69" s="85" t="n">
        <v>2192622</v>
      </c>
      <c r="B69" s="85" t="s">
        <v>4055</v>
      </c>
      <c r="C69" s="85"/>
      <c r="D69" s="85"/>
      <c r="E69" s="85" t="s">
        <v>2928</v>
      </c>
      <c r="F69" s="85" t="s">
        <v>4056</v>
      </c>
      <c r="G69" s="85" t="n">
        <v>75116</v>
      </c>
      <c r="H69" s="85" t="s">
        <v>36</v>
      </c>
      <c r="I69" s="85" t="n">
        <v>145538220</v>
      </c>
      <c r="K69" s="85" t="n">
        <v>1</v>
      </c>
      <c r="L69" s="85" t="n">
        <v>1</v>
      </c>
      <c r="M69" s="86" t="n">
        <v>1</v>
      </c>
      <c r="N69" s="87" t="n">
        <v>44575</v>
      </c>
      <c r="O69" s="87"/>
      <c r="P69" s="88" t="n">
        <v>847.4</v>
      </c>
      <c r="Q69" s="89" t="n">
        <f aca="false">RANK(P69,P$2:P$404)</f>
        <v>66</v>
      </c>
      <c r="R69" s="88" t="n">
        <v>727.5</v>
      </c>
      <c r="S69" s="89"/>
      <c r="T69" s="88" t="n">
        <v>741.48</v>
      </c>
      <c r="U69" s="89" t="n">
        <f aca="false">RANK($T69,$T$2:$T$121)</f>
        <v>64</v>
      </c>
      <c r="V69" s="88" t="n">
        <v>922.74</v>
      </c>
      <c r="W69" s="89"/>
      <c r="X69" s="86" t="n">
        <v>6</v>
      </c>
      <c r="Y69" s="85"/>
      <c r="Z69" s="85"/>
    </row>
    <row r="70" customFormat="false" ht="12.75" hidden="true" customHeight="true" outlineLevel="0" collapsed="false">
      <c r="A70" s="85" t="n">
        <v>2192198</v>
      </c>
      <c r="B70" s="85" t="s">
        <v>4057</v>
      </c>
      <c r="C70" s="85"/>
      <c r="D70" s="85"/>
      <c r="E70" s="85" t="s">
        <v>3238</v>
      </c>
      <c r="F70" s="85" t="s">
        <v>4058</v>
      </c>
      <c r="G70" s="85" t="n">
        <v>75015</v>
      </c>
      <c r="H70" s="85" t="s">
        <v>36</v>
      </c>
      <c r="I70" s="85" t="n">
        <v>148286260</v>
      </c>
      <c r="K70" s="85"/>
      <c r="L70" s="85"/>
      <c r="M70" s="86"/>
      <c r="N70" s="87"/>
      <c r="O70" s="87"/>
      <c r="P70" s="88" t="n">
        <v>842.94</v>
      </c>
      <c r="Q70" s="89" t="n">
        <f aca="false">RANK(P70,P$2:P$404)</f>
        <v>69</v>
      </c>
      <c r="R70" s="88" t="n">
        <v>1507.81</v>
      </c>
      <c r="S70" s="89" t="n">
        <v>105</v>
      </c>
      <c r="T70" s="88" t="n">
        <v>1487.41</v>
      </c>
      <c r="U70" s="89" t="n">
        <f aca="false">RANK($T70,$T$2:$T$121)</f>
        <v>18</v>
      </c>
      <c r="V70" s="88" t="n">
        <v>1704.88</v>
      </c>
      <c r="W70" s="89" t="n">
        <v>91</v>
      </c>
      <c r="X70" s="86" t="n">
        <v>10</v>
      </c>
      <c r="Y70" s="85" t="s">
        <v>3922</v>
      </c>
      <c r="Z70" s="85"/>
    </row>
    <row r="71" customFormat="false" ht="12.75" hidden="true" customHeight="true" outlineLevel="0" collapsed="false">
      <c r="A71" s="85" t="n">
        <v>2230201</v>
      </c>
      <c r="B71" s="85" t="s">
        <v>4059</v>
      </c>
      <c r="C71" s="85"/>
      <c r="D71" s="85"/>
      <c r="E71" s="85" t="s">
        <v>3401</v>
      </c>
      <c r="F71" s="85" t="s">
        <v>4060</v>
      </c>
      <c r="G71" s="85" t="n">
        <v>92300</v>
      </c>
      <c r="H71" s="85" t="s">
        <v>3403</v>
      </c>
      <c r="I71" s="85" t="n">
        <v>147480607</v>
      </c>
      <c r="K71" s="85" t="n">
        <v>1</v>
      </c>
      <c r="L71" s="85" t="n">
        <v>1</v>
      </c>
      <c r="M71" s="86"/>
      <c r="N71" s="87"/>
      <c r="O71" s="87"/>
      <c r="P71" s="88" t="n">
        <v>836.25</v>
      </c>
      <c r="Q71" s="89" t="n">
        <f aca="false">RANK(P71,P$2:P$404)</f>
        <v>70</v>
      </c>
      <c r="R71" s="88" t="n">
        <v>2569.76</v>
      </c>
      <c r="S71" s="89" t="n">
        <v>35</v>
      </c>
      <c r="T71" s="88" t="n">
        <v>669</v>
      </c>
      <c r="U71" s="89" t="n">
        <f aca="false">RANK($T71,$T$2:$T$121)</f>
        <v>69</v>
      </c>
      <c r="V71" s="88" t="n">
        <v>2463.19</v>
      </c>
      <c r="W71" s="89" t="n">
        <v>35</v>
      </c>
      <c r="X71" s="86" t="n">
        <v>4</v>
      </c>
      <c r="Y71" s="85" t="s">
        <v>3914</v>
      </c>
      <c r="Z71" s="85"/>
    </row>
    <row r="72" customFormat="false" ht="12.75" hidden="true" customHeight="true" outlineLevel="0" collapsed="false">
      <c r="A72" s="85" t="n">
        <v>2188951</v>
      </c>
      <c r="B72" s="85" t="s">
        <v>4061</v>
      </c>
      <c r="C72" s="85"/>
      <c r="D72" s="85"/>
      <c r="E72" s="85" t="s">
        <v>357</v>
      </c>
      <c r="F72" s="85" t="s">
        <v>4062</v>
      </c>
      <c r="G72" s="85" t="n">
        <v>75008</v>
      </c>
      <c r="H72" s="85" t="s">
        <v>36</v>
      </c>
      <c r="I72" s="85" t="n">
        <v>145221874</v>
      </c>
      <c r="K72" s="85" t="n">
        <v>1</v>
      </c>
      <c r="L72" s="85"/>
      <c r="M72" s="86"/>
      <c r="N72" s="87"/>
      <c r="O72" s="87"/>
      <c r="P72" s="88" t="n">
        <v>825.11</v>
      </c>
      <c r="Q72" s="89" t="n">
        <f aca="false">RANK(P72,P$2:P$404)</f>
        <v>71</v>
      </c>
      <c r="R72" s="88" t="n">
        <v>891.08</v>
      </c>
      <c r="S72" s="89"/>
      <c r="T72" s="88" t="n">
        <v>529.63</v>
      </c>
      <c r="U72" s="89" t="n">
        <f aca="false">RANK($T72,$T$2:$T$121)</f>
        <v>92</v>
      </c>
      <c r="V72" s="88" t="n">
        <v>847.17</v>
      </c>
      <c r="W72" s="89"/>
      <c r="X72" s="86" t="n">
        <v>4</v>
      </c>
      <c r="Y72" s="85" t="s">
        <v>4063</v>
      </c>
      <c r="Z72" s="85"/>
    </row>
    <row r="73" customFormat="false" ht="12.75" hidden="true" customHeight="true" outlineLevel="0" collapsed="false">
      <c r="A73" s="85" t="n">
        <v>2053969</v>
      </c>
      <c r="B73" s="85" t="s">
        <v>4064</v>
      </c>
      <c r="C73" s="85"/>
      <c r="D73" s="85"/>
      <c r="E73" s="85" t="s">
        <v>2400</v>
      </c>
      <c r="F73" s="85" t="s">
        <v>4065</v>
      </c>
      <c r="G73" s="85" t="n">
        <v>75017</v>
      </c>
      <c r="H73" s="85" t="s">
        <v>36</v>
      </c>
      <c r="I73" s="85" t="n">
        <v>147635680</v>
      </c>
      <c r="K73" s="85" t="n">
        <v>1</v>
      </c>
      <c r="L73" s="85" t="n">
        <v>1</v>
      </c>
      <c r="M73" s="86"/>
      <c r="N73" s="87"/>
      <c r="O73" s="87"/>
      <c r="P73" s="88" t="n">
        <v>825.1</v>
      </c>
      <c r="Q73" s="89" t="n">
        <f aca="false">RANK(P73,P$2:P$404)</f>
        <v>72</v>
      </c>
      <c r="R73" s="88" t="n">
        <v>3461.35</v>
      </c>
      <c r="S73" s="89" t="n">
        <v>15</v>
      </c>
      <c r="T73" s="88" t="n">
        <v>864.13</v>
      </c>
      <c r="U73" s="89" t="n">
        <f aca="false">RANK($T73,$T$2:$T$121)</f>
        <v>54</v>
      </c>
      <c r="V73" s="88" t="n">
        <v>3667.33</v>
      </c>
      <c r="W73" s="89" t="n">
        <v>11</v>
      </c>
      <c r="X73" s="86" t="n">
        <v>3</v>
      </c>
      <c r="Y73" s="85" t="s">
        <v>3969</v>
      </c>
      <c r="Z73" s="85"/>
    </row>
    <row r="74" customFormat="false" ht="12.75" hidden="true" customHeight="true" outlineLevel="0" collapsed="false">
      <c r="A74" s="85" t="n">
        <v>2005604</v>
      </c>
      <c r="B74" s="85" t="s">
        <v>4066</v>
      </c>
      <c r="C74" s="85"/>
      <c r="D74" s="85"/>
      <c r="E74" s="85" t="s">
        <v>2132</v>
      </c>
      <c r="F74" s="85" t="s">
        <v>4067</v>
      </c>
      <c r="G74" s="85" t="n">
        <v>75116</v>
      </c>
      <c r="H74" s="85" t="s">
        <v>36</v>
      </c>
      <c r="I74" s="85" t="n">
        <v>145041489</v>
      </c>
      <c r="K74" s="85" t="n">
        <v>1</v>
      </c>
      <c r="L74" s="85" t="n">
        <v>1</v>
      </c>
      <c r="M74" s="86"/>
      <c r="N74" s="87"/>
      <c r="O74" s="87"/>
      <c r="P74" s="88" t="n">
        <v>791.65</v>
      </c>
      <c r="Q74" s="89" t="n">
        <f aca="false">RANK(P74,P$2:P$404)</f>
        <v>73</v>
      </c>
      <c r="R74" s="88" t="n">
        <v>2890.19</v>
      </c>
      <c r="S74" s="89" t="n">
        <v>21</v>
      </c>
      <c r="T74" s="88" t="n">
        <v>273.18</v>
      </c>
      <c r="U74" s="89"/>
      <c r="V74" s="88" t="n">
        <v>2531.46</v>
      </c>
      <c r="W74" s="89" t="n">
        <v>30</v>
      </c>
      <c r="X74" s="86" t="n">
        <v>4</v>
      </c>
      <c r="Y74" s="85" t="s">
        <v>3926</v>
      </c>
      <c r="Z74" s="85" t="s">
        <v>3955</v>
      </c>
    </row>
    <row r="75" customFormat="false" ht="12.75" hidden="true" customHeight="true" outlineLevel="0" collapsed="false">
      <c r="A75" s="85" t="n">
        <v>2261025</v>
      </c>
      <c r="B75" s="85" t="s">
        <v>4068</v>
      </c>
      <c r="C75" s="85"/>
      <c r="D75" s="85"/>
      <c r="E75" s="85" t="s">
        <v>645</v>
      </c>
      <c r="F75" s="85" t="s">
        <v>4069</v>
      </c>
      <c r="G75" s="85" t="n">
        <v>75015</v>
      </c>
      <c r="H75" s="85" t="s">
        <v>36</v>
      </c>
      <c r="I75" s="85" t="n">
        <v>140600940</v>
      </c>
      <c r="K75" s="85"/>
      <c r="L75" s="85"/>
      <c r="M75" s="86"/>
      <c r="N75" s="87"/>
      <c r="O75" s="87"/>
      <c r="P75" s="88" t="n">
        <v>774.93</v>
      </c>
      <c r="Q75" s="89" t="n">
        <f aca="false">RANK(P75,P$2:P$404)</f>
        <v>74</v>
      </c>
      <c r="R75" s="88" t="n">
        <v>443.27</v>
      </c>
      <c r="S75" s="89"/>
      <c r="T75" s="88" t="n">
        <v>334.5</v>
      </c>
      <c r="U75" s="89"/>
      <c r="V75" s="88" t="n">
        <v>278.13</v>
      </c>
      <c r="W75" s="89"/>
      <c r="X75" s="86" t="n">
        <v>9</v>
      </c>
      <c r="Y75" s="85" t="s">
        <v>3922</v>
      </c>
      <c r="Z75" s="85"/>
    </row>
    <row r="76" customFormat="false" ht="12.75" hidden="true" customHeight="true" outlineLevel="0" collapsed="false">
      <c r="A76" s="85" t="n">
        <v>2193144</v>
      </c>
      <c r="B76" s="85" t="s">
        <v>4070</v>
      </c>
      <c r="C76" s="85"/>
      <c r="D76" s="85"/>
      <c r="E76" s="85" t="s">
        <v>2928</v>
      </c>
      <c r="F76" s="85" t="s">
        <v>4071</v>
      </c>
      <c r="G76" s="85" t="n">
        <v>75116</v>
      </c>
      <c r="H76" s="85" t="s">
        <v>36</v>
      </c>
      <c r="I76" s="85" t="n">
        <v>147279509</v>
      </c>
      <c r="K76" s="85" t="n">
        <v>1</v>
      </c>
      <c r="L76" s="85" t="n">
        <v>1</v>
      </c>
      <c r="M76" s="86" t="n">
        <v>2</v>
      </c>
      <c r="N76" s="87" t="n">
        <v>44672</v>
      </c>
      <c r="O76" s="87"/>
      <c r="P76" s="88" t="n">
        <v>758.21</v>
      </c>
      <c r="Q76" s="89" t="n">
        <f aca="false">RANK(P76,P$2:P$404)</f>
        <v>75</v>
      </c>
      <c r="R76" s="88" t="n">
        <v>1410.59</v>
      </c>
      <c r="S76" s="89" t="n">
        <v>112</v>
      </c>
      <c r="T76" s="88" t="n">
        <v>713.62</v>
      </c>
      <c r="U76" s="89" t="n">
        <f aca="false">RANK($T76,$T$2:$T$121)</f>
        <v>68</v>
      </c>
      <c r="V76" s="88" t="n">
        <v>1096</v>
      </c>
      <c r="W76" s="89"/>
      <c r="X76" s="86" t="n">
        <v>5</v>
      </c>
      <c r="Y76" s="85"/>
      <c r="Z76" s="85"/>
    </row>
    <row r="77" customFormat="false" ht="12.75" hidden="true" customHeight="true" outlineLevel="0" collapsed="false">
      <c r="A77" s="85" t="n">
        <v>2228758</v>
      </c>
      <c r="B77" s="85" t="s">
        <v>4072</v>
      </c>
      <c r="C77" s="85"/>
      <c r="D77" s="85"/>
      <c r="E77" s="85" t="s">
        <v>3621</v>
      </c>
      <c r="F77" s="85" t="s">
        <v>4073</v>
      </c>
      <c r="G77" s="85" t="n">
        <v>92200</v>
      </c>
      <c r="H77" s="85" t="s">
        <v>3932</v>
      </c>
      <c r="I77" s="85" t="n">
        <v>146246448</v>
      </c>
      <c r="K77" s="85" t="n">
        <v>1</v>
      </c>
      <c r="L77" s="85" t="n">
        <v>1</v>
      </c>
      <c r="M77" s="86"/>
      <c r="N77" s="87"/>
      <c r="O77" s="87"/>
      <c r="P77" s="88" t="n">
        <v>758.2</v>
      </c>
      <c r="Q77" s="89" t="n">
        <f aca="false">RANK(P77,P$2:P$404)</f>
        <v>76</v>
      </c>
      <c r="R77" s="88" t="n">
        <v>2511.13</v>
      </c>
      <c r="S77" s="89" t="n">
        <v>38</v>
      </c>
      <c r="T77" s="88" t="n">
        <v>423.7</v>
      </c>
      <c r="U77" s="89"/>
      <c r="V77" s="88" t="n">
        <v>2113.57</v>
      </c>
      <c r="W77" s="89" t="n">
        <v>50</v>
      </c>
      <c r="X77" s="86" t="n">
        <v>6</v>
      </c>
      <c r="Y77" s="85"/>
      <c r="Z77" s="85" t="s">
        <v>3927</v>
      </c>
    </row>
    <row r="78" customFormat="false" ht="12.75" hidden="true" customHeight="true" outlineLevel="0" collapsed="false">
      <c r="A78" s="85" t="n">
        <v>2192376</v>
      </c>
      <c r="B78" s="85" t="s">
        <v>4074</v>
      </c>
      <c r="C78" s="85"/>
      <c r="D78" s="85"/>
      <c r="E78" s="85" t="s">
        <v>1124</v>
      </c>
      <c r="F78" s="85" t="s">
        <v>4075</v>
      </c>
      <c r="G78" s="85" t="n">
        <v>75015</v>
      </c>
      <c r="H78" s="85" t="s">
        <v>36</v>
      </c>
      <c r="I78" s="85" t="n">
        <v>147341485</v>
      </c>
      <c r="K78" s="85" t="n">
        <v>1</v>
      </c>
      <c r="L78" s="85"/>
      <c r="M78" s="86"/>
      <c r="N78" s="87"/>
      <c r="O78" s="87"/>
      <c r="P78" s="88" t="n">
        <v>758.2</v>
      </c>
      <c r="Q78" s="89" t="n">
        <f aca="false">RANK(P78,P$2:P$404)</f>
        <v>76</v>
      </c>
      <c r="R78" s="88" t="n">
        <v>2259.17</v>
      </c>
      <c r="S78" s="89" t="n">
        <v>47</v>
      </c>
      <c r="T78" s="88" t="n">
        <v>618.83</v>
      </c>
      <c r="U78" s="89" t="n">
        <f aca="false">RANK($T78,$T$2:$T$121)</f>
        <v>80</v>
      </c>
      <c r="V78" s="88" t="n">
        <v>1864.29</v>
      </c>
      <c r="W78" s="89" t="n">
        <v>71</v>
      </c>
      <c r="X78" s="86" t="n">
        <v>5</v>
      </c>
      <c r="Y78" s="85"/>
      <c r="Z78" s="85" t="s">
        <v>3955</v>
      </c>
    </row>
    <row r="79" customFormat="false" ht="12.75" hidden="true" customHeight="true" outlineLevel="0" collapsed="false">
      <c r="A79" s="85" t="n">
        <v>2192219</v>
      </c>
      <c r="B79" s="85" t="s">
        <v>4076</v>
      </c>
      <c r="C79" s="85"/>
      <c r="D79" s="85"/>
      <c r="E79" s="85" t="s">
        <v>1536</v>
      </c>
      <c r="F79" s="85" t="s">
        <v>4077</v>
      </c>
      <c r="G79" s="85" t="n">
        <v>75015</v>
      </c>
      <c r="H79" s="85" t="s">
        <v>36</v>
      </c>
      <c r="I79" s="85" t="n">
        <v>143209789</v>
      </c>
      <c r="K79" s="85" t="n">
        <v>1</v>
      </c>
      <c r="L79" s="85" t="n">
        <v>1</v>
      </c>
      <c r="M79" s="86" t="n">
        <v>2</v>
      </c>
      <c r="N79" s="87" t="n">
        <v>44687</v>
      </c>
      <c r="O79" s="87"/>
      <c r="P79" s="88" t="n">
        <v>758.2</v>
      </c>
      <c r="Q79" s="89" t="n">
        <f aca="false">RANK(P79,P$2:P$404)</f>
        <v>76</v>
      </c>
      <c r="R79" s="88" t="n">
        <v>1718.86</v>
      </c>
      <c r="S79" s="89" t="n">
        <v>85</v>
      </c>
      <c r="T79" s="88" t="n">
        <v>367.95</v>
      </c>
      <c r="U79" s="89"/>
      <c r="V79" s="88" t="n">
        <v>1781.69</v>
      </c>
      <c r="W79" s="89" t="n">
        <v>79</v>
      </c>
      <c r="X79" s="86" t="n">
        <v>8</v>
      </c>
      <c r="Y79" s="85"/>
      <c r="Z79" s="85" t="s">
        <v>3955</v>
      </c>
    </row>
    <row r="80" customFormat="false" ht="12.75" hidden="true" customHeight="true" outlineLevel="0" collapsed="false">
      <c r="A80" s="85" t="n">
        <v>2193673</v>
      </c>
      <c r="B80" s="85" t="s">
        <v>4078</v>
      </c>
      <c r="C80" s="85"/>
      <c r="D80" s="85"/>
      <c r="E80" s="85" t="s">
        <v>2672</v>
      </c>
      <c r="F80" s="85" t="s">
        <v>4079</v>
      </c>
      <c r="G80" s="85" t="n">
        <v>75017</v>
      </c>
      <c r="H80" s="85" t="s">
        <v>36</v>
      </c>
      <c r="I80" s="85" t="n">
        <v>145741731</v>
      </c>
      <c r="K80" s="85" t="n">
        <v>1</v>
      </c>
      <c r="L80" s="85" t="n">
        <v>1</v>
      </c>
      <c r="M80" s="86"/>
      <c r="N80" s="87"/>
      <c r="O80" s="87"/>
      <c r="P80" s="88" t="n">
        <v>747.05</v>
      </c>
      <c r="Q80" s="89" t="n">
        <f aca="false">RANK(P80,P$2:P$404)</f>
        <v>79</v>
      </c>
      <c r="R80" s="88" t="n">
        <v>5432.44</v>
      </c>
      <c r="S80" s="89" t="n">
        <v>1</v>
      </c>
      <c r="T80" s="88" t="n">
        <v>992.36</v>
      </c>
      <c r="U80" s="89" t="n">
        <f aca="false">RANK($T80,$T$2:$T$121)</f>
        <v>48</v>
      </c>
      <c r="V80" s="88" t="n">
        <v>5658.76</v>
      </c>
      <c r="W80" s="89" t="n">
        <v>2</v>
      </c>
      <c r="X80" s="86" t="n">
        <v>3</v>
      </c>
      <c r="Y80" s="85" t="s">
        <v>4080</v>
      </c>
      <c r="Z80" s="85" t="s">
        <v>3927</v>
      </c>
    </row>
    <row r="81" customFormat="false" ht="12.75" hidden="true" customHeight="true" outlineLevel="0" collapsed="false">
      <c r="A81" s="85" t="n">
        <v>2054166</v>
      </c>
      <c r="B81" s="85" t="s">
        <v>4081</v>
      </c>
      <c r="C81" s="85"/>
      <c r="D81" s="85"/>
      <c r="E81" s="85" t="s">
        <v>2672</v>
      </c>
      <c r="F81" s="85" t="s">
        <v>4082</v>
      </c>
      <c r="G81" s="85" t="n">
        <v>75017</v>
      </c>
      <c r="H81" s="85" t="s">
        <v>36</v>
      </c>
      <c r="I81" s="85" t="n">
        <v>145743110</v>
      </c>
      <c r="K81" s="85" t="n">
        <v>1</v>
      </c>
      <c r="L81" s="85" t="n">
        <v>1</v>
      </c>
      <c r="M81" s="86" t="n">
        <v>2</v>
      </c>
      <c r="N81" s="87" t="n">
        <v>44698</v>
      </c>
      <c r="O81" s="87"/>
      <c r="P81" s="88" t="n">
        <v>741.48</v>
      </c>
      <c r="Q81" s="89" t="n">
        <f aca="false">RANK(P81,P$2:P$404)</f>
        <v>80</v>
      </c>
      <c r="R81" s="88" t="n">
        <v>1969.26</v>
      </c>
      <c r="S81" s="89" t="n">
        <v>69</v>
      </c>
      <c r="T81" s="88" t="n">
        <v>635.56</v>
      </c>
      <c r="U81" s="89" t="n">
        <f aca="false">RANK($T81,$T$2:$T$121)</f>
        <v>73</v>
      </c>
      <c r="V81" s="88" t="n">
        <v>1756.51</v>
      </c>
      <c r="W81" s="89" t="n">
        <v>83</v>
      </c>
      <c r="X81" s="86" t="n">
        <v>3</v>
      </c>
      <c r="Y81" s="85" t="s">
        <v>3914</v>
      </c>
      <c r="Z81" s="85"/>
    </row>
    <row r="82" customFormat="false" ht="12.75" hidden="true" customHeight="true" outlineLevel="0" collapsed="false">
      <c r="A82" s="85" t="n">
        <v>2188930</v>
      </c>
      <c r="B82" s="85" t="s">
        <v>3972</v>
      </c>
      <c r="C82" s="85"/>
      <c r="D82" s="85"/>
      <c r="E82" s="85" t="s">
        <v>2672</v>
      </c>
      <c r="F82" s="85" t="s">
        <v>4083</v>
      </c>
      <c r="G82" s="85" t="n">
        <v>75008</v>
      </c>
      <c r="H82" s="85" t="s">
        <v>36</v>
      </c>
      <c r="I82" s="85" t="n">
        <v>143591746</v>
      </c>
      <c r="K82" s="85" t="n">
        <v>1</v>
      </c>
      <c r="L82" s="85" t="n">
        <v>1</v>
      </c>
      <c r="M82" s="86"/>
      <c r="N82" s="87"/>
      <c r="O82" s="87"/>
      <c r="P82" s="88" t="n">
        <v>713.6</v>
      </c>
      <c r="Q82" s="89" t="n">
        <f aca="false">RANK(P82,P$2:P$404)</f>
        <v>81</v>
      </c>
      <c r="R82" s="88" t="n">
        <v>2082.25</v>
      </c>
      <c r="S82" s="89" t="n">
        <v>58</v>
      </c>
      <c r="T82" s="88" t="n">
        <v>334.5</v>
      </c>
      <c r="U82" s="89"/>
      <c r="V82" s="88" t="n">
        <v>2050.14</v>
      </c>
      <c r="W82" s="89" t="n">
        <v>59</v>
      </c>
      <c r="X82" s="86" t="n">
        <v>3</v>
      </c>
      <c r="Y82" s="85" t="s">
        <v>4084</v>
      </c>
      <c r="Z82" s="85"/>
    </row>
    <row r="83" customFormat="false" ht="12.75" hidden="true" customHeight="true" outlineLevel="0" collapsed="false">
      <c r="A83" s="85" t="n">
        <v>2192748</v>
      </c>
      <c r="B83" s="85" t="s">
        <v>4085</v>
      </c>
      <c r="C83" s="85"/>
      <c r="D83" s="85"/>
      <c r="E83" s="85" t="s">
        <v>2928</v>
      </c>
      <c r="F83" s="85" t="s">
        <v>4086</v>
      </c>
      <c r="G83" s="85" t="n">
        <v>75116</v>
      </c>
      <c r="H83" s="85" t="s">
        <v>36</v>
      </c>
      <c r="I83" s="85" t="n">
        <v>147200381</v>
      </c>
      <c r="K83" s="85" t="n">
        <v>1</v>
      </c>
      <c r="L83" s="85"/>
      <c r="M83" s="86"/>
      <c r="N83" s="87"/>
      <c r="O83" s="87"/>
      <c r="P83" s="88" t="n">
        <v>713.6</v>
      </c>
      <c r="Q83" s="89" t="n">
        <f aca="false">RANK(P83,P$2:P$404)</f>
        <v>81</v>
      </c>
      <c r="R83" s="88" t="n">
        <v>1697.85</v>
      </c>
      <c r="S83" s="89" t="n">
        <v>88</v>
      </c>
      <c r="T83" s="88" t="n">
        <v>524.05</v>
      </c>
      <c r="U83" s="89" t="n">
        <f aca="false">RANK($T83,$T$2:$T$121)</f>
        <v>94</v>
      </c>
      <c r="V83" s="88" t="n">
        <v>1856.91</v>
      </c>
      <c r="W83" s="89" t="n">
        <v>73</v>
      </c>
      <c r="X83" s="86" t="n">
        <v>4</v>
      </c>
      <c r="Y83" s="85" t="s">
        <v>3926</v>
      </c>
      <c r="Z83" s="85" t="s">
        <v>3904</v>
      </c>
    </row>
    <row r="84" customFormat="false" ht="12.75" hidden="true" customHeight="true" outlineLevel="0" collapsed="false">
      <c r="A84" s="85" t="n">
        <v>2195581</v>
      </c>
      <c r="B84" s="85" t="s">
        <v>4087</v>
      </c>
      <c r="C84" s="85"/>
      <c r="D84" s="85"/>
      <c r="E84" s="85" t="s">
        <v>2132</v>
      </c>
      <c r="F84" s="85" t="s">
        <v>4088</v>
      </c>
      <c r="G84" s="85" t="n">
        <v>75116</v>
      </c>
      <c r="H84" s="85" t="s">
        <v>36</v>
      </c>
      <c r="I84" s="85" t="n">
        <v>147273676</v>
      </c>
      <c r="K84" s="85" t="n">
        <v>1</v>
      </c>
      <c r="L84" s="85"/>
      <c r="M84" s="86"/>
      <c r="N84" s="87"/>
      <c r="O84" s="87"/>
      <c r="P84" s="88" t="n">
        <v>713.6</v>
      </c>
      <c r="Q84" s="89" t="n">
        <f aca="false">RANK(P84,P$2:P$404)</f>
        <v>81</v>
      </c>
      <c r="R84" s="88" t="n">
        <v>1277.8</v>
      </c>
      <c r="S84" s="89"/>
      <c r="T84" s="88" t="n">
        <v>551.93</v>
      </c>
      <c r="U84" s="89" t="n">
        <f aca="false">RANK($T84,$T$2:$T$121)</f>
        <v>88</v>
      </c>
      <c r="V84" s="88" t="n">
        <v>1192.88</v>
      </c>
      <c r="W84" s="89"/>
      <c r="X84" s="86" t="n">
        <v>7</v>
      </c>
      <c r="Y84" s="85" t="s">
        <v>3914</v>
      </c>
      <c r="Z84" s="85"/>
    </row>
    <row r="85" customFormat="false" ht="12.75" hidden="true" customHeight="true" outlineLevel="0" collapsed="false">
      <c r="A85" s="85" t="n">
        <v>2193364</v>
      </c>
      <c r="B85" s="85" t="s">
        <v>4089</v>
      </c>
      <c r="C85" s="85"/>
      <c r="D85" s="85"/>
      <c r="E85" s="85" t="s">
        <v>2400</v>
      </c>
      <c r="F85" s="85" t="s">
        <v>4090</v>
      </c>
      <c r="G85" s="85" t="n">
        <v>75017</v>
      </c>
      <c r="H85" s="85" t="s">
        <v>36</v>
      </c>
      <c r="I85" s="85" t="n">
        <v>171706309</v>
      </c>
      <c r="K85" s="85"/>
      <c r="L85" s="85"/>
      <c r="M85" s="86"/>
      <c r="N85" s="87"/>
      <c r="O85" s="87"/>
      <c r="P85" s="88" t="n">
        <v>702.45</v>
      </c>
      <c r="Q85" s="89" t="n">
        <f aca="false">RANK(P85,P$2:P$404)</f>
        <v>84</v>
      </c>
      <c r="R85" s="88" t="n">
        <v>285</v>
      </c>
      <c r="S85" s="89"/>
      <c r="T85" s="88" t="n">
        <v>602.1</v>
      </c>
      <c r="U85" s="89" t="n">
        <f aca="false">RANK($T85,$T$2:$T$121)</f>
        <v>82</v>
      </c>
      <c r="V85" s="88" t="n">
        <v>331.9</v>
      </c>
      <c r="W85" s="89"/>
      <c r="X85" s="86" t="n">
        <v>10</v>
      </c>
      <c r="Y85" s="85" t="s">
        <v>3964</v>
      </c>
      <c r="Z85" s="85"/>
    </row>
    <row r="86" customFormat="false" ht="12.75" hidden="true" customHeight="true" outlineLevel="0" collapsed="false">
      <c r="A86" s="85" t="n">
        <v>2228784</v>
      </c>
      <c r="B86" s="85" t="s">
        <v>4091</v>
      </c>
      <c r="C86" s="85"/>
      <c r="D86" s="85"/>
      <c r="E86" s="85" t="s">
        <v>3621</v>
      </c>
      <c r="F86" s="85" t="s">
        <v>4092</v>
      </c>
      <c r="G86" s="85" t="n">
        <v>92200</v>
      </c>
      <c r="H86" s="85" t="s">
        <v>3932</v>
      </c>
      <c r="I86" s="85" t="n">
        <v>146241099</v>
      </c>
      <c r="K86" s="85" t="n">
        <v>1</v>
      </c>
      <c r="L86" s="85" t="n">
        <v>1</v>
      </c>
      <c r="M86" s="86" t="n">
        <v>2</v>
      </c>
      <c r="N86" s="87" t="n">
        <v>44665</v>
      </c>
      <c r="O86" s="87"/>
      <c r="P86" s="88" t="n">
        <v>689.07</v>
      </c>
      <c r="Q86" s="89" t="n">
        <f aca="false">RANK(P86,P$2:P$404)</f>
        <v>85</v>
      </c>
      <c r="R86" s="88" t="n">
        <v>1754.41</v>
      </c>
      <c r="S86" s="89" t="n">
        <v>81</v>
      </c>
      <c r="T86" s="88" t="n">
        <v>624.4</v>
      </c>
      <c r="U86" s="89" t="n">
        <f aca="false">RANK($T86,$T$2:$T$121)</f>
        <v>76</v>
      </c>
      <c r="V86" s="88" t="n">
        <v>2433.45</v>
      </c>
      <c r="W86" s="89" t="n">
        <v>38</v>
      </c>
      <c r="X86" s="86" t="n">
        <v>4</v>
      </c>
      <c r="Y86" s="85" t="s">
        <v>3926</v>
      </c>
      <c r="Z86" s="85" t="s">
        <v>3923</v>
      </c>
    </row>
    <row r="87" customFormat="false" ht="12.75" hidden="true" customHeight="true" outlineLevel="0" collapsed="false">
      <c r="A87" s="85" t="n">
        <v>2192837</v>
      </c>
      <c r="B87" s="85" t="s">
        <v>4093</v>
      </c>
      <c r="C87" s="85"/>
      <c r="D87" s="85"/>
      <c r="E87" s="85" t="s">
        <v>2928</v>
      </c>
      <c r="F87" s="85" t="s">
        <v>4094</v>
      </c>
      <c r="G87" s="85" t="n">
        <v>75116</v>
      </c>
      <c r="H87" s="85" t="s">
        <v>36</v>
      </c>
      <c r="I87" s="85" t="n">
        <v>145001020</v>
      </c>
      <c r="K87" s="85" t="n">
        <v>1</v>
      </c>
      <c r="L87" s="85"/>
      <c r="M87" s="86"/>
      <c r="N87" s="87"/>
      <c r="O87" s="87"/>
      <c r="P87" s="88" t="n">
        <v>689.07</v>
      </c>
      <c r="Q87" s="89" t="n">
        <f aca="false">RANK(P87,P$2:P$404)</f>
        <v>85</v>
      </c>
      <c r="R87" s="88" t="n">
        <v>1219.58</v>
      </c>
      <c r="S87" s="89"/>
      <c r="T87" s="88" t="n">
        <v>479.45</v>
      </c>
      <c r="U87" s="89" t="n">
        <f aca="false">RANK($T87,$T$2:$T$121)</f>
        <v>99</v>
      </c>
      <c r="V87" s="88" t="n">
        <v>688.85</v>
      </c>
      <c r="W87" s="89"/>
      <c r="X87" s="86" t="n">
        <v>6</v>
      </c>
      <c r="Y87" s="85" t="s">
        <v>4095</v>
      </c>
      <c r="Z87" s="85" t="s">
        <v>3927</v>
      </c>
    </row>
    <row r="88" customFormat="false" ht="12.75" hidden="false" customHeight="true" outlineLevel="0" collapsed="false">
      <c r="A88" s="85" t="n">
        <v>2195398</v>
      </c>
      <c r="B88" s="85" t="s">
        <v>4096</v>
      </c>
      <c r="C88" s="85"/>
      <c r="D88" s="85"/>
      <c r="E88" s="85" t="s">
        <v>2928</v>
      </c>
      <c r="F88" s="85" t="s">
        <v>4097</v>
      </c>
      <c r="G88" s="85" t="n">
        <v>75116</v>
      </c>
      <c r="H88" s="85" t="s">
        <v>36</v>
      </c>
      <c r="I88" s="85" t="n">
        <v>145007196</v>
      </c>
      <c r="K88" s="85" t="n">
        <v>1</v>
      </c>
      <c r="L88" s="85" t="n">
        <v>1</v>
      </c>
      <c r="M88" s="86"/>
      <c r="N88" s="87"/>
      <c r="O88" s="87"/>
      <c r="P88" s="88" t="n">
        <v>680.15</v>
      </c>
      <c r="Q88" s="89" t="n">
        <f aca="false">RANK(P88,P$2:P$404)</f>
        <v>87</v>
      </c>
      <c r="R88" s="88" t="n">
        <v>2231.72</v>
      </c>
      <c r="S88" s="89" t="n">
        <v>49</v>
      </c>
      <c r="T88" s="88" t="n">
        <v>1036.95</v>
      </c>
      <c r="U88" s="89" t="n">
        <f aca="false">RANK($T88,$T$2:$T$121)</f>
        <v>47</v>
      </c>
      <c r="V88" s="88" t="n">
        <v>2704.36</v>
      </c>
      <c r="W88" s="89" t="n">
        <v>25</v>
      </c>
      <c r="X88" s="86" t="n">
        <v>2</v>
      </c>
      <c r="Y88" s="85" t="s">
        <v>3914</v>
      </c>
      <c r="Z88" s="85"/>
    </row>
    <row r="89" customFormat="false" ht="12.75" hidden="true" customHeight="true" outlineLevel="0" collapsed="false">
      <c r="A89" s="85" t="n">
        <v>2192308</v>
      </c>
      <c r="B89" s="85" t="s">
        <v>4098</v>
      </c>
      <c r="C89" s="85"/>
      <c r="D89" s="85"/>
      <c r="E89" s="85" t="s">
        <v>645</v>
      </c>
      <c r="F89" s="85" t="s">
        <v>4099</v>
      </c>
      <c r="G89" s="85" t="n">
        <v>75015</v>
      </c>
      <c r="H89" s="85" t="s">
        <v>36</v>
      </c>
      <c r="I89" s="85" t="n">
        <v>145797501</v>
      </c>
      <c r="K89" s="85" t="n">
        <v>1</v>
      </c>
      <c r="L89" s="85"/>
      <c r="M89" s="86" t="n">
        <v>2</v>
      </c>
      <c r="N89" s="87" t="n">
        <v>44699</v>
      </c>
      <c r="O89" s="87"/>
      <c r="P89" s="88" t="n">
        <v>669</v>
      </c>
      <c r="Q89" s="89" t="n">
        <f aca="false">RANK(P89,P$2:P$404)</f>
        <v>88</v>
      </c>
      <c r="R89" s="88" t="n">
        <v>2589.17</v>
      </c>
      <c r="S89" s="89" t="n">
        <v>33</v>
      </c>
      <c r="T89" s="88" t="n">
        <v>501.75</v>
      </c>
      <c r="U89" s="89" t="n">
        <f aca="false">RANK($T89,$T$2:$T$121)</f>
        <v>97</v>
      </c>
      <c r="V89" s="88" t="n">
        <v>2098.25</v>
      </c>
      <c r="W89" s="89" t="n">
        <v>54</v>
      </c>
      <c r="X89" s="86" t="n">
        <v>4</v>
      </c>
      <c r="Y89" s="85" t="s">
        <v>3914</v>
      </c>
      <c r="Z89" s="85" t="s">
        <v>3951</v>
      </c>
    </row>
    <row r="90" customFormat="false" ht="12.75" hidden="true" customHeight="true" outlineLevel="0" collapsed="false">
      <c r="A90" s="85" t="n">
        <v>2228831</v>
      </c>
      <c r="B90" s="85" t="s">
        <v>4100</v>
      </c>
      <c r="C90" s="85"/>
      <c r="D90" s="85"/>
      <c r="E90" s="85" t="s">
        <v>3621</v>
      </c>
      <c r="F90" s="85" t="s">
        <v>4101</v>
      </c>
      <c r="G90" s="85" t="n">
        <v>92200</v>
      </c>
      <c r="H90" s="85" t="s">
        <v>3932</v>
      </c>
      <c r="I90" s="85" t="n">
        <v>146240583</v>
      </c>
      <c r="K90" s="85" t="n">
        <v>1</v>
      </c>
      <c r="L90" s="85"/>
      <c r="M90" s="86"/>
      <c r="N90" s="87"/>
      <c r="O90" s="87"/>
      <c r="P90" s="88" t="n">
        <v>669</v>
      </c>
      <c r="Q90" s="89" t="n">
        <f aca="false">RANK(P90,P$2:P$404)</f>
        <v>88</v>
      </c>
      <c r="R90" s="88" t="n">
        <v>1804.76</v>
      </c>
      <c r="S90" s="89" t="n">
        <v>76</v>
      </c>
      <c r="T90" s="88" t="n">
        <v>624.4</v>
      </c>
      <c r="U90" s="89" t="n">
        <f aca="false">RANK($T90,$T$2:$T$121)</f>
        <v>76</v>
      </c>
      <c r="V90" s="88" t="n">
        <v>1349.35</v>
      </c>
      <c r="W90" s="89"/>
      <c r="X90" s="86" t="n">
        <v>5</v>
      </c>
      <c r="Y90" s="85" t="s">
        <v>3919</v>
      </c>
      <c r="Z90" s="85"/>
    </row>
    <row r="91" customFormat="false" ht="12.75" hidden="true" customHeight="true" outlineLevel="0" collapsed="false">
      <c r="A91" s="85" t="n">
        <v>2191807</v>
      </c>
      <c r="B91" s="85" t="s">
        <v>4102</v>
      </c>
      <c r="C91" s="85"/>
      <c r="D91" s="85"/>
      <c r="E91" s="85" t="s">
        <v>3238</v>
      </c>
      <c r="F91" s="85" t="s">
        <v>4103</v>
      </c>
      <c r="G91" s="85" t="n">
        <v>75015</v>
      </c>
      <c r="H91" s="85" t="s">
        <v>36</v>
      </c>
      <c r="I91" s="85" t="n">
        <v>148283128</v>
      </c>
      <c r="K91" s="85" t="n">
        <v>1</v>
      </c>
      <c r="L91" s="85"/>
      <c r="M91" s="86"/>
      <c r="N91" s="87"/>
      <c r="O91" s="87"/>
      <c r="P91" s="88" t="n">
        <v>669</v>
      </c>
      <c r="Q91" s="89" t="n">
        <f aca="false">RANK(P91,P$2:P$404)</f>
        <v>88</v>
      </c>
      <c r="R91" s="88" t="n">
        <v>1043.88</v>
      </c>
      <c r="S91" s="89"/>
      <c r="T91" s="88" t="n">
        <v>0</v>
      </c>
      <c r="U91" s="89"/>
      <c r="V91" s="88" t="n">
        <v>1498.8</v>
      </c>
      <c r="W91" s="89" t="n">
        <v>112</v>
      </c>
      <c r="X91" s="86" t="n">
        <v>6</v>
      </c>
      <c r="Y91" s="85" t="s">
        <v>4104</v>
      </c>
      <c r="Z91" s="85"/>
    </row>
    <row r="92" customFormat="false" ht="12.75" hidden="true" customHeight="true" outlineLevel="0" collapsed="false">
      <c r="A92" s="85" t="n">
        <v>2192067</v>
      </c>
      <c r="B92" s="85" t="s">
        <v>4105</v>
      </c>
      <c r="C92" s="85"/>
      <c r="D92" s="85"/>
      <c r="E92" s="85" t="s">
        <v>3238</v>
      </c>
      <c r="F92" s="85" t="s">
        <v>4106</v>
      </c>
      <c r="G92" s="85" t="n">
        <v>75015</v>
      </c>
      <c r="H92" s="85" t="s">
        <v>36</v>
      </c>
      <c r="I92" s="85" t="n">
        <v>148282110</v>
      </c>
      <c r="K92" s="85" t="n">
        <v>1</v>
      </c>
      <c r="L92" s="85" t="n">
        <v>1</v>
      </c>
      <c r="M92" s="86"/>
      <c r="N92" s="87"/>
      <c r="O92" s="87"/>
      <c r="P92" s="88" t="n">
        <v>662.82</v>
      </c>
      <c r="Q92" s="89" t="n">
        <f aca="false">RANK(P92,P$2:P$404)</f>
        <v>91</v>
      </c>
      <c r="R92" s="88" t="n">
        <v>1740.02</v>
      </c>
      <c r="S92" s="89" t="n">
        <v>82</v>
      </c>
      <c r="T92" s="88" t="n">
        <v>430.92</v>
      </c>
      <c r="U92" s="89"/>
      <c r="V92" s="88" t="n">
        <v>1669.34</v>
      </c>
      <c r="W92" s="89" t="n">
        <v>99</v>
      </c>
      <c r="X92" s="86" t="n">
        <v>8</v>
      </c>
      <c r="Y92" s="85" t="s">
        <v>3937</v>
      </c>
      <c r="Z92" s="85" t="s">
        <v>3911</v>
      </c>
    </row>
    <row r="93" customFormat="false" ht="12.75" hidden="true" customHeight="true" outlineLevel="0" collapsed="false">
      <c r="A93" s="85" t="n">
        <v>2192879</v>
      </c>
      <c r="B93" s="85" t="s">
        <v>4107</v>
      </c>
      <c r="C93" s="85"/>
      <c r="D93" s="85"/>
      <c r="E93" s="85" t="s">
        <v>2928</v>
      </c>
      <c r="F93" s="85" t="s">
        <v>4108</v>
      </c>
      <c r="G93" s="85" t="n">
        <v>75116</v>
      </c>
      <c r="H93" s="85" t="s">
        <v>36</v>
      </c>
      <c r="I93" s="85" t="n">
        <v>147205737</v>
      </c>
      <c r="K93" s="85" t="n">
        <v>1</v>
      </c>
      <c r="L93" s="85" t="n">
        <v>1</v>
      </c>
      <c r="M93" s="86"/>
      <c r="N93" s="87"/>
      <c r="O93" s="87"/>
      <c r="P93" s="88" t="n">
        <v>652.28</v>
      </c>
      <c r="Q93" s="89" t="n">
        <f aca="false">RANK(P93,P$2:P$404)</f>
        <v>92</v>
      </c>
      <c r="R93" s="88" t="n">
        <v>1168.98</v>
      </c>
      <c r="S93" s="89"/>
      <c r="T93" s="88" t="n">
        <v>356.81</v>
      </c>
      <c r="U93" s="89"/>
      <c r="V93" s="88" t="n">
        <v>1438.12</v>
      </c>
      <c r="W93" s="89" t="n">
        <v>117</v>
      </c>
      <c r="X93" s="86" t="n">
        <v>5</v>
      </c>
      <c r="Y93" s="85" t="s">
        <v>3969</v>
      </c>
      <c r="Z93" s="85" t="s">
        <v>3940</v>
      </c>
    </row>
    <row r="94" customFormat="false" ht="12.75" hidden="true" customHeight="true" outlineLevel="0" collapsed="false">
      <c r="A94" s="85" t="n">
        <v>2193081</v>
      </c>
      <c r="B94" s="85" t="s">
        <v>4109</v>
      </c>
      <c r="C94" s="85"/>
      <c r="D94" s="85"/>
      <c r="E94" s="85" t="s">
        <v>2928</v>
      </c>
      <c r="F94" s="85" t="s">
        <v>4110</v>
      </c>
      <c r="G94" s="85" t="n">
        <v>75116</v>
      </c>
      <c r="H94" s="85" t="s">
        <v>36</v>
      </c>
      <c r="I94" s="85" t="n">
        <v>147279751</v>
      </c>
      <c r="K94" s="85" t="n">
        <v>1</v>
      </c>
      <c r="L94" s="85"/>
      <c r="M94" s="86"/>
      <c r="N94" s="87"/>
      <c r="O94" s="87"/>
      <c r="P94" s="88" t="n">
        <v>652.28</v>
      </c>
      <c r="Q94" s="89" t="n">
        <f aca="false">RANK(P94,P$2:P$404)</f>
        <v>92</v>
      </c>
      <c r="R94" s="88" t="n">
        <v>1157.37</v>
      </c>
      <c r="S94" s="89"/>
      <c r="T94" s="88" t="n">
        <v>741.48</v>
      </c>
      <c r="U94" s="89" t="n">
        <f aca="false">RANK($T94,$T$2:$T$121)</f>
        <v>64</v>
      </c>
      <c r="V94" s="88" t="n">
        <v>1076.88</v>
      </c>
      <c r="W94" s="89"/>
      <c r="X94" s="86" t="n">
        <v>5</v>
      </c>
      <c r="Y94" s="85" t="s">
        <v>3914</v>
      </c>
      <c r="Z94" s="85"/>
    </row>
    <row r="95" customFormat="false" ht="12.75" hidden="true" customHeight="true" outlineLevel="0" collapsed="false">
      <c r="A95" s="85" t="n">
        <v>2053817</v>
      </c>
      <c r="B95" s="85" t="s">
        <v>4111</v>
      </c>
      <c r="C95" s="85"/>
      <c r="D95" s="85"/>
      <c r="E95" s="85" t="s">
        <v>34</v>
      </c>
      <c r="F95" s="85" t="s">
        <v>4112</v>
      </c>
      <c r="G95" s="85" t="n">
        <v>75016</v>
      </c>
      <c r="H95" s="85" t="s">
        <v>36</v>
      </c>
      <c r="I95" s="85" t="n">
        <v>142883761</v>
      </c>
      <c r="K95" s="85" t="n">
        <v>1</v>
      </c>
      <c r="L95" s="85"/>
      <c r="M95" s="86"/>
      <c r="N95" s="87"/>
      <c r="O95" s="87"/>
      <c r="P95" s="88" t="n">
        <v>652.28</v>
      </c>
      <c r="Q95" s="89" t="n">
        <f aca="false">RANK(P95,P$2:P$404)</f>
        <v>92</v>
      </c>
      <c r="R95" s="88" t="n">
        <v>739.97</v>
      </c>
      <c r="S95" s="89"/>
      <c r="T95" s="88" t="n">
        <v>574.23</v>
      </c>
      <c r="U95" s="89" t="n">
        <f aca="false">RANK($T95,$T$2:$T$121)</f>
        <v>84</v>
      </c>
      <c r="V95" s="88" t="n">
        <v>688.31</v>
      </c>
      <c r="W95" s="89"/>
      <c r="X95" s="86" t="n">
        <v>9</v>
      </c>
      <c r="Y95" s="85" t="s">
        <v>4045</v>
      </c>
      <c r="Z95" s="85" t="s">
        <v>3927</v>
      </c>
    </row>
    <row r="96" customFormat="false" ht="12.75" hidden="true" customHeight="true" outlineLevel="0" collapsed="false">
      <c r="A96" s="85" t="n">
        <v>2052017</v>
      </c>
      <c r="B96" s="85" t="s">
        <v>4113</v>
      </c>
      <c r="C96" s="85"/>
      <c r="D96" s="85"/>
      <c r="E96" s="85" t="s">
        <v>1124</v>
      </c>
      <c r="F96" s="85" t="s">
        <v>4114</v>
      </c>
      <c r="G96" s="85" t="n">
        <v>75007</v>
      </c>
      <c r="H96" s="85" t="s">
        <v>36</v>
      </c>
      <c r="I96" s="85" t="n">
        <v>145517052</v>
      </c>
      <c r="K96" s="85" t="n">
        <v>1</v>
      </c>
      <c r="L96" s="85"/>
      <c r="M96" s="86" t="n">
        <v>2</v>
      </c>
      <c r="N96" s="87" t="n">
        <v>44698</v>
      </c>
      <c r="O96" s="87"/>
      <c r="P96" s="88" t="n">
        <v>652.28</v>
      </c>
      <c r="Q96" s="89" t="n">
        <f aca="false">RANK(P96,P$2:P$404)</f>
        <v>92</v>
      </c>
      <c r="R96" s="88" t="n">
        <v>657.17</v>
      </c>
      <c r="S96" s="89"/>
      <c r="T96" s="88" t="n">
        <v>819.53</v>
      </c>
      <c r="U96" s="89" t="n">
        <f aca="false">RANK($T96,$T$2:$T$121)</f>
        <v>58</v>
      </c>
      <c r="V96" s="88" t="n">
        <v>872.21</v>
      </c>
      <c r="W96" s="89"/>
      <c r="X96" s="86" t="n">
        <v>7</v>
      </c>
      <c r="Y96" s="85" t="s">
        <v>3908</v>
      </c>
      <c r="Z96" s="85"/>
    </row>
    <row r="97" customFormat="false" ht="12.75" hidden="true" customHeight="true" outlineLevel="0" collapsed="false">
      <c r="A97" s="85" t="n">
        <v>2053728</v>
      </c>
      <c r="B97" s="85" t="s">
        <v>4115</v>
      </c>
      <c r="C97" s="85"/>
      <c r="D97" s="85"/>
      <c r="E97" s="85" t="s">
        <v>2132</v>
      </c>
      <c r="F97" s="85" t="s">
        <v>4116</v>
      </c>
      <c r="G97" s="85" t="n">
        <v>75016</v>
      </c>
      <c r="H97" s="85" t="s">
        <v>36</v>
      </c>
      <c r="I97" s="85" t="n">
        <v>142882169</v>
      </c>
      <c r="K97" s="85" t="n">
        <v>1</v>
      </c>
      <c r="L97" s="85" t="n">
        <v>1</v>
      </c>
      <c r="M97" s="86" t="n">
        <v>2</v>
      </c>
      <c r="N97" s="87" t="n">
        <v>44693</v>
      </c>
      <c r="O97" s="87"/>
      <c r="P97" s="88" t="n">
        <v>646.7</v>
      </c>
      <c r="Q97" s="89" t="n">
        <f aca="false">RANK(P97,P$2:P$404)</f>
        <v>96</v>
      </c>
      <c r="R97" s="88" t="n">
        <v>2044.12</v>
      </c>
      <c r="S97" s="89" t="n">
        <v>63</v>
      </c>
      <c r="T97" s="88" t="n">
        <v>819.53</v>
      </c>
      <c r="U97" s="89" t="n">
        <f aca="false">RANK($T97,$T$2:$T$121)</f>
        <v>58</v>
      </c>
      <c r="V97" s="88" t="n">
        <v>1709.82</v>
      </c>
      <c r="W97" s="89" t="n">
        <v>89</v>
      </c>
      <c r="X97" s="86" t="n">
        <v>5</v>
      </c>
      <c r="Y97" s="85" t="s">
        <v>3914</v>
      </c>
      <c r="Z97" s="85"/>
    </row>
    <row r="98" customFormat="false" ht="12.75" hidden="true" customHeight="true" outlineLevel="0" collapsed="false">
      <c r="A98" s="85" t="n">
        <v>2188862</v>
      </c>
      <c r="B98" s="85" t="s">
        <v>4117</v>
      </c>
      <c r="C98" s="85"/>
      <c r="D98" s="85"/>
      <c r="E98" s="85" t="s">
        <v>357</v>
      </c>
      <c r="F98" s="85" t="s">
        <v>4118</v>
      </c>
      <c r="G98" s="85" t="n">
        <v>75008</v>
      </c>
      <c r="H98" s="85" t="s">
        <v>36</v>
      </c>
      <c r="I98" s="85" t="n">
        <v>142653975</v>
      </c>
      <c r="K98" s="85" t="n">
        <v>1</v>
      </c>
      <c r="L98" s="85"/>
      <c r="M98" s="86"/>
      <c r="N98" s="87"/>
      <c r="O98" s="87"/>
      <c r="P98" s="88" t="n">
        <v>641.13</v>
      </c>
      <c r="Q98" s="89" t="n">
        <f aca="false">RANK(P98,P$2:P$404)</f>
        <v>97</v>
      </c>
      <c r="R98" s="88" t="n">
        <v>783.79</v>
      </c>
      <c r="S98" s="89"/>
      <c r="T98" s="88" t="n">
        <v>618.83</v>
      </c>
      <c r="U98" s="89" t="n">
        <f aca="false">RANK($T98,$T$2:$T$121)</f>
        <v>80</v>
      </c>
      <c r="V98" s="88" t="n">
        <v>958.84</v>
      </c>
      <c r="W98" s="89"/>
      <c r="X98" s="86" t="n">
        <v>4</v>
      </c>
      <c r="Y98" s="85" t="s">
        <v>4104</v>
      </c>
      <c r="Z98" s="85" t="s">
        <v>3927</v>
      </c>
    </row>
    <row r="99" customFormat="false" ht="12.75" hidden="true" customHeight="true" outlineLevel="0" collapsed="false">
      <c r="A99" s="85" t="n">
        <v>2188621</v>
      </c>
      <c r="B99" s="85" t="s">
        <v>4119</v>
      </c>
      <c r="C99" s="85"/>
      <c r="D99" s="85"/>
      <c r="E99" s="85" t="s">
        <v>1124</v>
      </c>
      <c r="F99" s="85" t="s">
        <v>4120</v>
      </c>
      <c r="G99" s="85" t="n">
        <v>75007</v>
      </c>
      <c r="H99" s="85" t="s">
        <v>36</v>
      </c>
      <c r="I99" s="85" t="n">
        <v>145516367</v>
      </c>
      <c r="K99" s="85" t="n">
        <v>1</v>
      </c>
      <c r="L99" s="85" t="n">
        <v>1</v>
      </c>
      <c r="M99" s="86" t="n">
        <v>2</v>
      </c>
      <c r="N99" s="87" t="n">
        <v>44700</v>
      </c>
      <c r="O99" s="87"/>
      <c r="P99" s="88" t="n">
        <v>628.59</v>
      </c>
      <c r="Q99" s="89" t="n">
        <f aca="false">RANK(P99,P$2:P$404)</f>
        <v>98</v>
      </c>
      <c r="R99" s="88" t="n">
        <v>1209.98</v>
      </c>
      <c r="S99" s="89"/>
      <c r="T99" s="88" t="n">
        <v>795.85</v>
      </c>
      <c r="U99" s="89" t="n">
        <f aca="false">RANK($T99,$T$2:$T$121)</f>
        <v>62</v>
      </c>
      <c r="V99" s="88" t="n">
        <v>1383.71</v>
      </c>
      <c r="W99" s="89" t="n">
        <v>120</v>
      </c>
      <c r="X99" s="86" t="n">
        <v>3</v>
      </c>
      <c r="Y99" s="85" t="s">
        <v>4024</v>
      </c>
      <c r="Z99" s="85" t="s">
        <v>3923</v>
      </c>
    </row>
    <row r="100" customFormat="false" ht="12.75" hidden="true" customHeight="true" outlineLevel="0" collapsed="false">
      <c r="A100" s="85" t="n">
        <v>2052258</v>
      </c>
      <c r="B100" s="85" t="s">
        <v>4121</v>
      </c>
      <c r="C100" s="85"/>
      <c r="D100" s="85"/>
      <c r="E100" s="85" t="s">
        <v>357</v>
      </c>
      <c r="F100" s="85" t="s">
        <v>378</v>
      </c>
      <c r="G100" s="85" t="n">
        <v>75008</v>
      </c>
      <c r="H100" s="85" t="s">
        <v>36</v>
      </c>
      <c r="I100" s="85" t="n">
        <v>147233925</v>
      </c>
      <c r="K100" s="85" t="n">
        <v>1</v>
      </c>
      <c r="L100" s="85"/>
      <c r="M100" s="86"/>
      <c r="N100" s="87"/>
      <c r="O100" s="87"/>
      <c r="P100" s="88" t="n">
        <v>624.4</v>
      </c>
      <c r="Q100" s="89" t="n">
        <f aca="false">RANK(P100,P$2:P$404)</f>
        <v>99</v>
      </c>
      <c r="R100" s="88" t="n">
        <v>1875.47</v>
      </c>
      <c r="S100" s="89" t="n">
        <v>75</v>
      </c>
      <c r="T100" s="88" t="n">
        <v>624.4</v>
      </c>
      <c r="U100" s="89" t="n">
        <f aca="false">RANK($T100,$T$2:$T$121)</f>
        <v>76</v>
      </c>
      <c r="V100" s="88" t="n">
        <v>1892.45</v>
      </c>
      <c r="W100" s="89" t="n">
        <v>69</v>
      </c>
      <c r="X100" s="86" t="n">
        <v>3</v>
      </c>
      <c r="Y100" s="85"/>
      <c r="Z100" s="85" t="s">
        <v>3927</v>
      </c>
    </row>
    <row r="101" customFormat="false" ht="12.75" hidden="true" customHeight="true" outlineLevel="0" collapsed="false">
      <c r="A101" s="85" t="n">
        <v>2192313</v>
      </c>
      <c r="B101" s="85" t="s">
        <v>4122</v>
      </c>
      <c r="C101" s="85"/>
      <c r="D101" s="85"/>
      <c r="E101" s="85" t="s">
        <v>3238</v>
      </c>
      <c r="F101" s="85" t="s">
        <v>4123</v>
      </c>
      <c r="G101" s="85" t="n">
        <v>75015</v>
      </c>
      <c r="H101" s="85" t="s">
        <v>36</v>
      </c>
      <c r="I101" s="85" t="n">
        <v>148285082</v>
      </c>
      <c r="K101" s="85" t="n">
        <v>1</v>
      </c>
      <c r="L101" s="85"/>
      <c r="M101" s="86"/>
      <c r="N101" s="87"/>
      <c r="O101" s="87"/>
      <c r="P101" s="88" t="n">
        <v>607.68</v>
      </c>
      <c r="Q101" s="89" t="n">
        <f aca="false">RANK(P101,P$2:P$404)</f>
        <v>100</v>
      </c>
      <c r="R101" s="88" t="n">
        <v>1291.27</v>
      </c>
      <c r="S101" s="89"/>
      <c r="T101" s="88" t="n">
        <v>852.99</v>
      </c>
      <c r="U101" s="89" t="n">
        <f aca="false">RANK($T101,$T$2:$T$121)</f>
        <v>55</v>
      </c>
      <c r="V101" s="88" t="n">
        <v>1025.99</v>
      </c>
      <c r="W101" s="89"/>
      <c r="X101" s="86" t="n">
        <v>8</v>
      </c>
      <c r="Y101" s="85" t="s">
        <v>4104</v>
      </c>
      <c r="Z101" s="85" t="s">
        <v>3927</v>
      </c>
    </row>
    <row r="102" customFormat="false" ht="12.75" hidden="true" customHeight="true" outlineLevel="0" collapsed="false">
      <c r="A102" s="85" t="n">
        <v>2192486</v>
      </c>
      <c r="B102" s="85" t="s">
        <v>4124</v>
      </c>
      <c r="C102" s="85"/>
      <c r="D102" s="85"/>
      <c r="E102" s="85" t="s">
        <v>645</v>
      </c>
      <c r="F102" s="85" t="s">
        <v>4125</v>
      </c>
      <c r="G102" s="85" t="n">
        <v>75015</v>
      </c>
      <c r="H102" s="85" t="s">
        <v>36</v>
      </c>
      <c r="I102" s="85" t="n">
        <v>145788033</v>
      </c>
      <c r="K102" s="85" t="n">
        <v>1</v>
      </c>
      <c r="L102" s="85"/>
      <c r="M102" s="86"/>
      <c r="N102" s="87"/>
      <c r="O102" s="87"/>
      <c r="P102" s="88" t="n">
        <v>599.87</v>
      </c>
      <c r="Q102" s="89" t="n">
        <f aca="false">RANK(P102,P$2:P$404)</f>
        <v>101</v>
      </c>
      <c r="R102" s="88" t="n">
        <v>1183.89</v>
      </c>
      <c r="S102" s="89"/>
      <c r="T102" s="88" t="n">
        <v>209.62</v>
      </c>
      <c r="U102" s="89"/>
      <c r="V102" s="88" t="n">
        <v>888</v>
      </c>
      <c r="W102" s="89"/>
      <c r="X102" s="86" t="n">
        <v>9</v>
      </c>
      <c r="Y102" s="85" t="s">
        <v>4045</v>
      </c>
      <c r="Z102" s="85" t="s">
        <v>3927</v>
      </c>
    </row>
    <row r="103" customFormat="false" ht="12.75" hidden="true" customHeight="true" outlineLevel="0" collapsed="false">
      <c r="A103" s="85" t="n">
        <v>2188726</v>
      </c>
      <c r="B103" s="85" t="s">
        <v>4126</v>
      </c>
      <c r="C103" s="85"/>
      <c r="D103" s="85"/>
      <c r="E103" s="85" t="s">
        <v>357</v>
      </c>
      <c r="F103" s="85" t="s">
        <v>4127</v>
      </c>
      <c r="G103" s="85" t="n">
        <v>75008</v>
      </c>
      <c r="H103" s="85" t="s">
        <v>36</v>
      </c>
      <c r="I103" s="85" t="n">
        <v>145221672</v>
      </c>
      <c r="K103" s="85" t="n">
        <v>1</v>
      </c>
      <c r="L103" s="85"/>
      <c r="M103" s="86"/>
      <c r="N103" s="87"/>
      <c r="O103" s="87"/>
      <c r="P103" s="88" t="n">
        <v>596.53</v>
      </c>
      <c r="Q103" s="89" t="n">
        <f aca="false">RANK(P103,P$2:P$404)</f>
        <v>102</v>
      </c>
      <c r="R103" s="88" t="n">
        <v>1091.21</v>
      </c>
      <c r="S103" s="89"/>
      <c r="T103" s="88" t="n">
        <v>815.08</v>
      </c>
      <c r="U103" s="89" t="n">
        <f aca="false">RANK($T103,$T$2:$T$121)</f>
        <v>60</v>
      </c>
      <c r="V103" s="88" t="n">
        <v>1146.81</v>
      </c>
      <c r="W103" s="89"/>
      <c r="X103" s="86" t="n">
        <v>5</v>
      </c>
      <c r="Y103" s="85" t="s">
        <v>4128</v>
      </c>
      <c r="Z103" s="85"/>
    </row>
    <row r="104" customFormat="false" ht="12.75" hidden="true" customHeight="true" outlineLevel="0" collapsed="false">
      <c r="A104" s="85" t="n">
        <v>2191849</v>
      </c>
      <c r="B104" s="85" t="s">
        <v>4129</v>
      </c>
      <c r="C104" s="85"/>
      <c r="D104" s="85"/>
      <c r="E104" s="85" t="s">
        <v>645</v>
      </c>
      <c r="F104" s="85" t="s">
        <v>4130</v>
      </c>
      <c r="G104" s="85" t="n">
        <v>75015</v>
      </c>
      <c r="H104" s="85" t="s">
        <v>36</v>
      </c>
      <c r="I104" s="85" t="n">
        <v>145778846</v>
      </c>
      <c r="K104" s="85" t="n">
        <v>1</v>
      </c>
      <c r="L104" s="85" t="n">
        <v>1</v>
      </c>
      <c r="M104" s="86" t="n">
        <v>2</v>
      </c>
      <c r="N104" s="87" t="n">
        <v>44663</v>
      </c>
      <c r="O104" s="87"/>
      <c r="P104" s="88" t="n">
        <v>590.95</v>
      </c>
      <c r="Q104" s="89" t="n">
        <f aca="false">RANK(P104,P$2:P$404)</f>
        <v>103</v>
      </c>
      <c r="R104" s="88" t="n">
        <v>1132.23</v>
      </c>
      <c r="S104" s="89"/>
      <c r="T104" s="88" t="n">
        <v>563.118</v>
      </c>
      <c r="U104" s="89" t="n">
        <f aca="false">RANK($T104,$T$2:$T$121)</f>
        <v>86</v>
      </c>
      <c r="V104" s="88" t="n">
        <v>1555.1793</v>
      </c>
      <c r="W104" s="89" t="n">
        <v>108</v>
      </c>
      <c r="X104" s="86" t="n">
        <v>3</v>
      </c>
      <c r="Y104" s="85" t="s">
        <v>4131</v>
      </c>
      <c r="Z104" s="85"/>
    </row>
    <row r="105" customFormat="false" ht="12.75" hidden="true" customHeight="true" outlineLevel="0" collapsed="false">
      <c r="A105" s="85" t="n">
        <v>2192554</v>
      </c>
      <c r="B105" s="85" t="s">
        <v>4132</v>
      </c>
      <c r="C105" s="85"/>
      <c r="D105" s="85"/>
      <c r="E105" s="85" t="s">
        <v>645</v>
      </c>
      <c r="F105" s="85" t="s">
        <v>4133</v>
      </c>
      <c r="G105" s="85" t="n">
        <v>75015</v>
      </c>
      <c r="H105" s="85" t="s">
        <v>36</v>
      </c>
      <c r="I105" s="85" t="n">
        <v>145542919</v>
      </c>
      <c r="K105" s="85" t="n">
        <v>1</v>
      </c>
      <c r="L105" s="85"/>
      <c r="M105" s="86"/>
      <c r="N105" s="87"/>
      <c r="O105" s="87"/>
      <c r="P105" s="88" t="n">
        <v>579.81</v>
      </c>
      <c r="Q105" s="89" t="n">
        <f aca="false">RANK(P105,P$2:P$404)</f>
        <v>104</v>
      </c>
      <c r="R105" s="88" t="n">
        <v>2053.16</v>
      </c>
      <c r="S105" s="89" t="n">
        <v>61</v>
      </c>
      <c r="T105" s="88" t="n">
        <v>579.81</v>
      </c>
      <c r="U105" s="89" t="n">
        <f aca="false">RANK($T105,$T$2:$T$121)</f>
        <v>83</v>
      </c>
      <c r="V105" s="88" t="n">
        <v>1960.3</v>
      </c>
      <c r="W105" s="89" t="n">
        <v>64</v>
      </c>
      <c r="X105" s="86" t="n">
        <v>8</v>
      </c>
      <c r="Y105" s="85" t="s">
        <v>3969</v>
      </c>
      <c r="Z105" s="85"/>
    </row>
    <row r="106" customFormat="false" ht="12.75" hidden="false" customHeight="true" outlineLevel="0" collapsed="false">
      <c r="A106" s="85" t="n">
        <v>2192659</v>
      </c>
      <c r="B106" s="85" t="s">
        <v>4134</v>
      </c>
      <c r="C106" s="85"/>
      <c r="D106" s="85"/>
      <c r="E106" s="85" t="s">
        <v>2928</v>
      </c>
      <c r="F106" s="85" t="s">
        <v>4135</v>
      </c>
      <c r="G106" s="85" t="n">
        <v>75116</v>
      </c>
      <c r="H106" s="85" t="s">
        <v>36</v>
      </c>
      <c r="I106" s="85" t="n">
        <v>147278785</v>
      </c>
      <c r="K106" s="85" t="n">
        <v>1</v>
      </c>
      <c r="L106" s="85"/>
      <c r="M106" s="86"/>
      <c r="N106" s="87"/>
      <c r="O106" s="87"/>
      <c r="P106" s="88" t="n">
        <v>568.66</v>
      </c>
      <c r="Q106" s="89" t="n">
        <f aca="false">RANK(P106,P$2:P$404)</f>
        <v>105</v>
      </c>
      <c r="R106" s="88" t="n">
        <v>1098.21</v>
      </c>
      <c r="S106" s="89"/>
      <c r="T106" s="88" t="n">
        <v>629.98</v>
      </c>
      <c r="U106" s="89" t="n">
        <f aca="false">RANK($T106,$T$2:$T$121)</f>
        <v>74</v>
      </c>
      <c r="V106" s="88" t="n">
        <v>1036.45</v>
      </c>
      <c r="W106" s="89"/>
      <c r="X106" s="86" t="n">
        <v>4</v>
      </c>
      <c r="Y106" s="85" t="s">
        <v>3961</v>
      </c>
      <c r="Z106" s="85" t="s">
        <v>3904</v>
      </c>
    </row>
    <row r="107" customFormat="false" ht="12.75" hidden="true" customHeight="true" outlineLevel="0" collapsed="false">
      <c r="A107" s="85" t="n">
        <v>2193123</v>
      </c>
      <c r="B107" s="85" t="s">
        <v>4136</v>
      </c>
      <c r="C107" s="85"/>
      <c r="D107" s="85"/>
      <c r="E107" s="85" t="s">
        <v>2132</v>
      </c>
      <c r="F107" s="85" t="s">
        <v>4137</v>
      </c>
      <c r="G107" s="85" t="n">
        <v>75116</v>
      </c>
      <c r="H107" s="85" t="s">
        <v>36</v>
      </c>
      <c r="I107" s="85" t="n">
        <v>145047366</v>
      </c>
      <c r="K107" s="85" t="n">
        <v>1</v>
      </c>
      <c r="L107" s="85" t="n">
        <v>1</v>
      </c>
      <c r="M107" s="86"/>
      <c r="N107" s="87"/>
      <c r="O107" s="87"/>
      <c r="P107" s="88" t="n">
        <v>557.5</v>
      </c>
      <c r="Q107" s="89" t="n">
        <f aca="false">RANK(P107,P$2:P$404)</f>
        <v>106</v>
      </c>
      <c r="R107" s="88" t="n">
        <v>777.1</v>
      </c>
      <c r="S107" s="89"/>
      <c r="T107" s="88" t="n">
        <v>440.43</v>
      </c>
      <c r="U107" s="89"/>
      <c r="V107" s="88" t="n">
        <v>775.01</v>
      </c>
      <c r="W107" s="89"/>
      <c r="X107" s="86" t="n">
        <v>7</v>
      </c>
      <c r="Y107" s="85" t="s">
        <v>3969</v>
      </c>
      <c r="Z107" s="85"/>
    </row>
    <row r="108" customFormat="false" ht="12.75" hidden="true" customHeight="true" outlineLevel="0" collapsed="false">
      <c r="A108" s="85" t="n">
        <v>2228009</v>
      </c>
      <c r="B108" s="85" t="s">
        <v>4091</v>
      </c>
      <c r="C108" s="85"/>
      <c r="D108" s="85"/>
      <c r="E108" s="85" t="s">
        <v>3401</v>
      </c>
      <c r="F108" s="85" t="s">
        <v>4138</v>
      </c>
      <c r="G108" s="85" t="n">
        <v>92300</v>
      </c>
      <c r="H108" s="85" t="s">
        <v>3403</v>
      </c>
      <c r="I108" s="85" t="n">
        <v>147574046</v>
      </c>
      <c r="K108" s="85" t="n">
        <v>1</v>
      </c>
      <c r="L108" s="85"/>
      <c r="M108" s="86"/>
      <c r="N108" s="87"/>
      <c r="O108" s="87"/>
      <c r="P108" s="88" t="n">
        <v>551.93</v>
      </c>
      <c r="Q108" s="89" t="n">
        <f aca="false">RANK(P108,P$2:P$404)</f>
        <v>107</v>
      </c>
      <c r="R108" s="88" t="n">
        <v>1212.35</v>
      </c>
      <c r="S108" s="89"/>
      <c r="T108" s="88" t="n">
        <v>434.86</v>
      </c>
      <c r="U108" s="89"/>
      <c r="V108" s="88" t="n">
        <v>1500.48</v>
      </c>
      <c r="W108" s="89" t="n">
        <v>111</v>
      </c>
      <c r="X108" s="86" t="n">
        <v>8</v>
      </c>
      <c r="Y108" s="85" t="s">
        <v>4104</v>
      </c>
      <c r="Z108" s="85"/>
    </row>
    <row r="109" customFormat="false" ht="12.75" hidden="true" customHeight="true" outlineLevel="0" collapsed="false">
      <c r="A109" s="85" t="n">
        <v>2192093</v>
      </c>
      <c r="B109" s="85" t="s">
        <v>4139</v>
      </c>
      <c r="C109" s="85"/>
      <c r="D109" s="85"/>
      <c r="E109" s="85" t="s">
        <v>3238</v>
      </c>
      <c r="F109" s="85" t="s">
        <v>4140</v>
      </c>
      <c r="G109" s="85" t="n">
        <v>75015</v>
      </c>
      <c r="H109" s="85" t="s">
        <v>36</v>
      </c>
      <c r="I109" s="85" t="n">
        <v>156083080</v>
      </c>
      <c r="K109" s="85" t="n">
        <v>1</v>
      </c>
      <c r="L109" s="85" t="n">
        <v>1</v>
      </c>
      <c r="M109" s="86" t="n">
        <v>2</v>
      </c>
      <c r="N109" s="87" t="n">
        <v>44664</v>
      </c>
      <c r="O109" s="87"/>
      <c r="P109" s="88" t="n">
        <v>546.35</v>
      </c>
      <c r="Q109" s="89" t="n">
        <f aca="false">RANK(P109,P$2:P$404)</f>
        <v>108</v>
      </c>
      <c r="R109" s="88" t="n">
        <v>4298.35</v>
      </c>
      <c r="S109" s="89" t="n">
        <v>5</v>
      </c>
      <c r="T109" s="88" t="n">
        <v>574.23</v>
      </c>
      <c r="U109" s="89" t="n">
        <f aca="false">RANK($T109,$T$2:$T$121)</f>
        <v>84</v>
      </c>
      <c r="V109" s="88" t="n">
        <v>3482.7</v>
      </c>
      <c r="W109" s="89" t="n">
        <v>12</v>
      </c>
      <c r="X109" s="86" t="n">
        <v>3</v>
      </c>
      <c r="Y109" s="85"/>
      <c r="Z109" s="85" t="s">
        <v>3923</v>
      </c>
    </row>
    <row r="110" customFormat="false" ht="12.75" hidden="true" customHeight="true" outlineLevel="0" collapsed="false">
      <c r="A110" s="85" t="n">
        <v>2192156</v>
      </c>
      <c r="B110" s="85" t="s">
        <v>4141</v>
      </c>
      <c r="C110" s="85"/>
      <c r="D110" s="85"/>
      <c r="E110" s="85" t="s">
        <v>645</v>
      </c>
      <c r="F110" s="85" t="s">
        <v>4142</v>
      </c>
      <c r="G110" s="85" t="n">
        <v>75015</v>
      </c>
      <c r="H110" s="85" t="s">
        <v>36</v>
      </c>
      <c r="I110" s="85" t="n">
        <v>145541548</v>
      </c>
      <c r="K110" s="85"/>
      <c r="L110" s="85"/>
      <c r="M110" s="86"/>
      <c r="N110" s="87"/>
      <c r="O110" s="87"/>
      <c r="P110" s="88" t="n">
        <v>535.2</v>
      </c>
      <c r="Q110" s="89" t="n">
        <f aca="false">RANK(P110,P$2:P$404)</f>
        <v>109</v>
      </c>
      <c r="R110" s="88" t="n">
        <v>332.73</v>
      </c>
      <c r="S110" s="89"/>
      <c r="T110" s="88" t="n">
        <v>535.2</v>
      </c>
      <c r="U110" s="89" t="n">
        <f aca="false">RANK($T110,$T$2:$T$121)</f>
        <v>90</v>
      </c>
      <c r="V110" s="88" t="n">
        <v>762.31</v>
      </c>
      <c r="W110" s="89"/>
      <c r="X110" s="86" t="n">
        <v>10</v>
      </c>
      <c r="Y110" s="85" t="s">
        <v>4045</v>
      </c>
      <c r="Z110" s="85"/>
    </row>
    <row r="111" customFormat="false" ht="12.75" hidden="true" customHeight="true" outlineLevel="0" collapsed="false">
      <c r="A111" s="85" t="n">
        <v>2191812</v>
      </c>
      <c r="B111" s="85" t="s">
        <v>4143</v>
      </c>
      <c r="C111" s="85"/>
      <c r="D111" s="85"/>
      <c r="E111" s="85" t="s">
        <v>1536</v>
      </c>
      <c r="F111" s="85" t="s">
        <v>4144</v>
      </c>
      <c r="G111" s="85" t="n">
        <v>75015</v>
      </c>
      <c r="H111" s="85" t="s">
        <v>36</v>
      </c>
      <c r="I111" s="85" t="n">
        <v>143214242</v>
      </c>
      <c r="K111" s="85" t="n">
        <v>1</v>
      </c>
      <c r="L111" s="85" t="n">
        <v>1</v>
      </c>
      <c r="M111" s="86"/>
      <c r="N111" s="87"/>
      <c r="O111" s="87"/>
      <c r="P111" s="88" t="n">
        <v>524.06</v>
      </c>
      <c r="Q111" s="89" t="n">
        <f aca="false">RANK(P111,P$2:P$404)</f>
        <v>110</v>
      </c>
      <c r="R111" s="88" t="n">
        <v>2879.2</v>
      </c>
      <c r="S111" s="89" t="n">
        <v>22</v>
      </c>
      <c r="T111" s="88" t="n">
        <v>83.63</v>
      </c>
      <c r="U111" s="89"/>
      <c r="V111" s="88" t="n">
        <v>2494.39</v>
      </c>
      <c r="W111" s="89" t="n">
        <v>32</v>
      </c>
      <c r="X111" s="86" t="n">
        <v>2</v>
      </c>
      <c r="Y111" s="85" t="s">
        <v>4145</v>
      </c>
      <c r="Z111" s="85"/>
    </row>
    <row r="112" customFormat="false" ht="12.75" hidden="true" customHeight="true" outlineLevel="0" collapsed="false">
      <c r="A112" s="85" t="n">
        <v>2192355</v>
      </c>
      <c r="B112" s="85" t="s">
        <v>4146</v>
      </c>
      <c r="C112" s="85"/>
      <c r="D112" s="85"/>
      <c r="E112" s="85" t="s">
        <v>3238</v>
      </c>
      <c r="F112" s="85" t="s">
        <v>4147</v>
      </c>
      <c r="G112" s="85" t="n">
        <v>75015</v>
      </c>
      <c r="H112" s="85" t="s">
        <v>36</v>
      </c>
      <c r="I112" s="85" t="n">
        <v>148280227</v>
      </c>
      <c r="K112" s="85"/>
      <c r="L112" s="85"/>
      <c r="M112" s="86"/>
      <c r="N112" s="87"/>
      <c r="O112" s="87"/>
      <c r="P112" s="88" t="n">
        <v>521.82</v>
      </c>
      <c r="Q112" s="89" t="n">
        <f aca="false">RANK(P112,P$2:P$404)</f>
        <v>111</v>
      </c>
      <c r="R112" s="88" t="n">
        <v>715.61</v>
      </c>
      <c r="S112" s="89"/>
      <c r="T112" s="88" t="n">
        <v>561.96</v>
      </c>
      <c r="U112" s="89" t="n">
        <f aca="false">RANK($T112,$T$2:$T$121)</f>
        <v>87</v>
      </c>
      <c r="V112" s="88" t="n">
        <v>2064.1</v>
      </c>
      <c r="W112" s="89" t="n">
        <v>56</v>
      </c>
      <c r="X112" s="86" t="n">
        <v>9</v>
      </c>
      <c r="Y112" s="85" t="s">
        <v>4095</v>
      </c>
      <c r="Z112" s="85"/>
    </row>
    <row r="113" customFormat="false" ht="12.75" hidden="true" customHeight="true" outlineLevel="0" collapsed="false">
      <c r="A113" s="85" t="n">
        <v>2188731</v>
      </c>
      <c r="B113" s="85" t="s">
        <v>4148</v>
      </c>
      <c r="C113" s="85"/>
      <c r="D113" s="85"/>
      <c r="E113" s="85" t="s">
        <v>2928</v>
      </c>
      <c r="F113" s="85" t="s">
        <v>4149</v>
      </c>
      <c r="G113" s="85" t="n">
        <v>75380</v>
      </c>
      <c r="H113" s="85" t="s">
        <v>4150</v>
      </c>
      <c r="I113" s="85" t="n">
        <v>147203925</v>
      </c>
      <c r="K113" s="85" t="n">
        <v>1</v>
      </c>
      <c r="L113" s="85"/>
      <c r="M113" s="86"/>
      <c r="N113" s="87"/>
      <c r="O113" s="87"/>
      <c r="P113" s="88" t="n">
        <v>514.06</v>
      </c>
      <c r="Q113" s="89" t="n">
        <f aca="false">RANK(P113,P$2:P$404)</f>
        <v>112</v>
      </c>
      <c r="R113" s="88" t="n">
        <v>1539.56</v>
      </c>
      <c r="S113" s="89" t="n">
        <v>103</v>
      </c>
      <c r="T113" s="88" t="n">
        <v>546.36</v>
      </c>
      <c r="U113" s="89" t="n">
        <f aca="false">RANK($T113,$T$2:$T$121)</f>
        <v>89</v>
      </c>
      <c r="V113" s="88" t="n">
        <v>1605.16</v>
      </c>
      <c r="W113" s="89" t="n">
        <v>101</v>
      </c>
      <c r="X113" s="86" t="n">
        <v>4</v>
      </c>
      <c r="Y113" s="85"/>
      <c r="Z113" s="85" t="s">
        <v>3927</v>
      </c>
    </row>
    <row r="114" customFormat="false" ht="12.75" hidden="true" customHeight="true" outlineLevel="0" collapsed="false">
      <c r="A114" s="85" t="n">
        <v>2188773</v>
      </c>
      <c r="B114" s="85" t="s">
        <v>4151</v>
      </c>
      <c r="C114" s="85"/>
      <c r="D114" s="85"/>
      <c r="E114" s="85" t="s">
        <v>357</v>
      </c>
      <c r="F114" s="85" t="s">
        <v>4152</v>
      </c>
      <c r="G114" s="85" t="n">
        <v>75008</v>
      </c>
      <c r="H114" s="85" t="s">
        <v>36</v>
      </c>
      <c r="I114" s="85" t="n">
        <v>142652749</v>
      </c>
      <c r="K114" s="85" t="n">
        <v>1</v>
      </c>
      <c r="L114" s="85"/>
      <c r="M114" s="86"/>
      <c r="N114" s="87"/>
      <c r="O114" s="87"/>
      <c r="P114" s="88" t="n">
        <v>512.91</v>
      </c>
      <c r="Q114" s="89" t="n">
        <f aca="false">RANK(P114,P$2:P$404)</f>
        <v>113</v>
      </c>
      <c r="R114" s="88" t="n">
        <v>1663.94</v>
      </c>
      <c r="S114" s="89" t="n">
        <v>92</v>
      </c>
      <c r="T114" s="88" t="n">
        <v>624.41</v>
      </c>
      <c r="U114" s="89" t="n">
        <f aca="false">RANK($T114,$T$2:$T$121)</f>
        <v>75</v>
      </c>
      <c r="V114" s="88" t="n">
        <v>1432.85</v>
      </c>
      <c r="W114" s="89" t="n">
        <v>118</v>
      </c>
      <c r="X114" s="86" t="n">
        <v>2</v>
      </c>
      <c r="Y114" s="85"/>
      <c r="Z114" s="85" t="s">
        <v>3955</v>
      </c>
    </row>
    <row r="115" customFormat="false" ht="12.75" hidden="true" customHeight="true" outlineLevel="0" collapsed="false">
      <c r="A115" s="85" t="n">
        <v>2188422</v>
      </c>
      <c r="B115" s="85" t="s">
        <v>4153</v>
      </c>
      <c r="C115" s="85"/>
      <c r="D115" s="85"/>
      <c r="E115" s="85" t="s">
        <v>1124</v>
      </c>
      <c r="F115" s="85" t="s">
        <v>4154</v>
      </c>
      <c r="G115" s="85" t="n">
        <v>75007</v>
      </c>
      <c r="H115" s="85" t="s">
        <v>36</v>
      </c>
      <c r="I115" s="85" t="n">
        <v>145513182</v>
      </c>
      <c r="K115" s="85" t="n">
        <v>1</v>
      </c>
      <c r="L115" s="85" t="n">
        <v>1</v>
      </c>
      <c r="M115" s="86" t="n">
        <v>1</v>
      </c>
      <c r="N115" s="87" t="n">
        <v>44615</v>
      </c>
      <c r="O115" s="87"/>
      <c r="P115" s="88" t="n">
        <v>512.9</v>
      </c>
      <c r="Q115" s="89" t="n">
        <f aca="false">RANK(P115,P$2:P$404)</f>
        <v>114</v>
      </c>
      <c r="R115" s="88" t="n">
        <v>1611.77</v>
      </c>
      <c r="S115" s="89" t="n">
        <v>95</v>
      </c>
      <c r="T115" s="88" t="n">
        <v>490.61</v>
      </c>
      <c r="U115" s="89" t="n">
        <f aca="false">RANK($T115,$T$2:$T$121)</f>
        <v>98</v>
      </c>
      <c r="V115" s="88" t="n">
        <v>1364.74</v>
      </c>
      <c r="W115" s="89"/>
      <c r="X115" s="86" t="n">
        <v>6</v>
      </c>
      <c r="Y115" s="85" t="s">
        <v>3926</v>
      </c>
      <c r="Z115" s="85" t="s">
        <v>3923</v>
      </c>
    </row>
    <row r="116" customFormat="false" ht="12.75" hidden="true" customHeight="true" outlineLevel="0" collapsed="false">
      <c r="A116" s="85" t="n">
        <v>2053618</v>
      </c>
      <c r="B116" s="85" t="s">
        <v>4155</v>
      </c>
      <c r="C116" s="85"/>
      <c r="D116" s="85"/>
      <c r="E116" s="85" t="s">
        <v>645</v>
      </c>
      <c r="F116" s="85" t="s">
        <v>4156</v>
      </c>
      <c r="G116" s="85" t="n">
        <v>75015</v>
      </c>
      <c r="H116" s="85" t="s">
        <v>36</v>
      </c>
      <c r="I116" s="85" t="n">
        <v>145577237</v>
      </c>
      <c r="K116" s="85" t="n">
        <v>1</v>
      </c>
      <c r="L116" s="85" t="n">
        <v>1</v>
      </c>
      <c r="M116" s="86" t="n">
        <v>2</v>
      </c>
      <c r="N116" s="87" t="n">
        <v>44676</v>
      </c>
      <c r="O116" s="87"/>
      <c r="P116" s="88" t="n">
        <v>512.9</v>
      </c>
      <c r="Q116" s="89" t="n">
        <f aca="false">RANK(P116,P$2:P$404)</f>
        <v>114</v>
      </c>
      <c r="R116" s="88" t="n">
        <v>1128.3</v>
      </c>
      <c r="S116" s="89"/>
      <c r="T116" s="88" t="n">
        <v>947.76</v>
      </c>
      <c r="U116" s="89" t="n">
        <f aca="false">RANK($T116,$T$2:$T$121)</f>
        <v>50</v>
      </c>
      <c r="V116" s="88" t="n">
        <v>1196.55</v>
      </c>
      <c r="W116" s="89"/>
      <c r="X116" s="86" t="n">
        <v>7</v>
      </c>
      <c r="Y116" s="85" t="s">
        <v>3989</v>
      </c>
      <c r="Z116" s="85"/>
    </row>
    <row r="117" customFormat="false" ht="12.75" hidden="true" customHeight="true" outlineLevel="0" collapsed="false">
      <c r="A117" s="85" t="n">
        <v>2228014</v>
      </c>
      <c r="B117" s="85" t="s">
        <v>4157</v>
      </c>
      <c r="C117" s="85"/>
      <c r="D117" s="85"/>
      <c r="E117" s="85" t="s">
        <v>3401</v>
      </c>
      <c r="F117" s="85" t="s">
        <v>4158</v>
      </c>
      <c r="G117" s="85" t="n">
        <v>92300</v>
      </c>
      <c r="H117" s="85" t="s">
        <v>3403</v>
      </c>
      <c r="I117" s="85" t="n">
        <v>147578657</v>
      </c>
      <c r="K117" s="85" t="n">
        <v>1</v>
      </c>
      <c r="L117" s="85" t="n">
        <v>1</v>
      </c>
      <c r="M117" s="86"/>
      <c r="N117" s="87"/>
      <c r="O117" s="87"/>
      <c r="P117" s="88" t="n">
        <v>512.9</v>
      </c>
      <c r="Q117" s="89" t="n">
        <f aca="false">RANK(P117,P$2:P$404)</f>
        <v>114</v>
      </c>
      <c r="R117" s="88" t="n">
        <v>833.65</v>
      </c>
      <c r="S117" s="89"/>
      <c r="T117" s="88" t="n">
        <v>507.33</v>
      </c>
      <c r="U117" s="89" t="n">
        <f aca="false">RANK($T117,$T$2:$T$121)</f>
        <v>96</v>
      </c>
      <c r="V117" s="88" t="n">
        <v>798.47</v>
      </c>
      <c r="W117" s="89"/>
      <c r="X117" s="86" t="n">
        <v>7</v>
      </c>
      <c r="Y117" s="85"/>
      <c r="Z117" s="85" t="s">
        <v>3955</v>
      </c>
    </row>
    <row r="118" customFormat="false" ht="12.75" hidden="true" customHeight="true" outlineLevel="0" collapsed="false">
      <c r="A118" s="85" t="n">
        <v>2228700</v>
      </c>
      <c r="B118" s="85" t="s">
        <v>4159</v>
      </c>
      <c r="C118" s="85"/>
      <c r="D118" s="85"/>
      <c r="E118" s="85" t="s">
        <v>3621</v>
      </c>
      <c r="F118" s="85" t="s">
        <v>4160</v>
      </c>
      <c r="G118" s="85" t="n">
        <v>92200</v>
      </c>
      <c r="H118" s="85" t="s">
        <v>3932</v>
      </c>
      <c r="I118" s="85" t="n">
        <v>146240282</v>
      </c>
      <c r="K118" s="85" t="n">
        <v>1</v>
      </c>
      <c r="L118" s="85" t="n">
        <v>1</v>
      </c>
      <c r="M118" s="86"/>
      <c r="N118" s="87"/>
      <c r="O118" s="87"/>
      <c r="P118" s="88" t="n">
        <v>502.22</v>
      </c>
      <c r="Q118" s="89" t="n">
        <f aca="false">RANK(P118,P$2:P$404)</f>
        <v>117</v>
      </c>
      <c r="R118" s="88" t="n">
        <v>2611.79</v>
      </c>
      <c r="S118" s="89" t="n">
        <v>32</v>
      </c>
      <c r="T118" s="88" t="n">
        <v>-9.74000000000001</v>
      </c>
      <c r="U118" s="89"/>
      <c r="V118" s="88" t="n">
        <v>2472.03</v>
      </c>
      <c r="W118" s="89" t="n">
        <v>34</v>
      </c>
      <c r="X118" s="86" t="n">
        <v>4</v>
      </c>
      <c r="Y118" s="85" t="s">
        <v>3954</v>
      </c>
      <c r="Z118" s="85" t="s">
        <v>3904</v>
      </c>
    </row>
    <row r="119" customFormat="false" ht="12.75" hidden="true" customHeight="true" outlineLevel="0" collapsed="false">
      <c r="A119" s="85" t="n">
        <v>2193741</v>
      </c>
      <c r="B119" s="85" t="s">
        <v>4161</v>
      </c>
      <c r="C119" s="85"/>
      <c r="D119" s="85"/>
      <c r="E119" s="85" t="s">
        <v>2400</v>
      </c>
      <c r="F119" s="85" t="s">
        <v>4162</v>
      </c>
      <c r="G119" s="85" t="n">
        <v>75017</v>
      </c>
      <c r="H119" s="85" t="s">
        <v>36</v>
      </c>
      <c r="I119" s="85" t="n">
        <v>143872858</v>
      </c>
      <c r="K119" s="85"/>
      <c r="L119" s="85"/>
      <c r="M119" s="86"/>
      <c r="N119" s="87"/>
      <c r="O119" s="87"/>
      <c r="P119" s="88" t="n">
        <v>495.06</v>
      </c>
      <c r="Q119" s="89" t="n">
        <f aca="false">RANK(P119,P$2:P$404)</f>
        <v>118</v>
      </c>
      <c r="R119" s="88" t="n">
        <v>391.29</v>
      </c>
      <c r="S119" s="89"/>
      <c r="T119" s="88" t="n">
        <v>0</v>
      </c>
      <c r="U119" s="89"/>
      <c r="V119" s="88" t="n">
        <v>789.23</v>
      </c>
      <c r="W119" s="89"/>
      <c r="X119" s="86" t="n">
        <v>10</v>
      </c>
      <c r="Y119" s="85" t="s">
        <v>4095</v>
      </c>
      <c r="Z119" s="85"/>
    </row>
    <row r="120" customFormat="false" ht="12.75" hidden="true" customHeight="true" outlineLevel="0" collapsed="false">
      <c r="A120" s="85" t="n">
        <v>2192549</v>
      </c>
      <c r="B120" s="85" t="s">
        <v>4163</v>
      </c>
      <c r="C120" s="85"/>
      <c r="D120" s="85"/>
      <c r="E120" s="85" t="s">
        <v>3238</v>
      </c>
      <c r="F120" s="85" t="s">
        <v>4164</v>
      </c>
      <c r="G120" s="85" t="n">
        <v>75015</v>
      </c>
      <c r="H120" s="85" t="s">
        <v>36</v>
      </c>
      <c r="I120" s="85" t="n">
        <v>148283255</v>
      </c>
      <c r="K120" s="85" t="n">
        <v>1</v>
      </c>
      <c r="L120" s="85"/>
      <c r="M120" s="86" t="n">
        <v>2</v>
      </c>
      <c r="N120" s="87" t="n">
        <v>44721</v>
      </c>
      <c r="O120" s="87"/>
      <c r="P120" s="88" t="n">
        <v>479.45</v>
      </c>
      <c r="Q120" s="89" t="n">
        <f aca="false">RANK(P120,P$2:P$404)</f>
        <v>119</v>
      </c>
      <c r="R120" s="88" t="n">
        <v>1726.98</v>
      </c>
      <c r="S120" s="89" t="n">
        <v>84</v>
      </c>
      <c r="T120" s="88" t="n">
        <v>657.85</v>
      </c>
      <c r="U120" s="89" t="n">
        <f aca="false">RANK($T120,$T$2:$T$121)</f>
        <v>71</v>
      </c>
      <c r="V120" s="88" t="n">
        <v>872.62</v>
      </c>
      <c r="W120" s="89"/>
      <c r="X120" s="86" t="n">
        <v>4</v>
      </c>
      <c r="Y120" s="85" t="s">
        <v>3914</v>
      </c>
      <c r="Z120" s="85"/>
    </row>
    <row r="121" customFormat="false" ht="12.75" hidden="true" customHeight="true" outlineLevel="0" collapsed="false">
      <c r="A121" s="85" t="n">
        <v>2192601</v>
      </c>
      <c r="B121" s="85" t="s">
        <v>4165</v>
      </c>
      <c r="C121" s="85"/>
      <c r="D121" s="85"/>
      <c r="E121" s="85" t="s">
        <v>34</v>
      </c>
      <c r="F121" s="85" t="s">
        <v>4166</v>
      </c>
      <c r="G121" s="85" t="n">
        <v>75016</v>
      </c>
      <c r="H121" s="85" t="s">
        <v>36</v>
      </c>
      <c r="I121" s="85" t="n">
        <v>142885333</v>
      </c>
      <c r="K121" s="85" t="n">
        <v>1</v>
      </c>
      <c r="L121" s="85"/>
      <c r="M121" s="86"/>
      <c r="N121" s="87"/>
      <c r="O121" s="87"/>
      <c r="P121" s="88" t="n">
        <v>473.88</v>
      </c>
      <c r="Q121" s="89" t="n">
        <f aca="false">RANK(P121,P$2:P$404)</f>
        <v>120</v>
      </c>
      <c r="R121" s="88" t="n">
        <v>2693.72</v>
      </c>
      <c r="S121" s="89" t="n">
        <v>27</v>
      </c>
      <c r="T121" s="88" t="n">
        <v>440.44</v>
      </c>
      <c r="U121" s="89" t="n">
        <f aca="false">RANK($T121,$T$2:$T$121)</f>
        <v>102</v>
      </c>
      <c r="V121" s="88" t="n">
        <v>2305.12</v>
      </c>
      <c r="W121" s="89" t="n">
        <v>43</v>
      </c>
      <c r="X121" s="86" t="n">
        <v>6</v>
      </c>
      <c r="Y121" s="85" t="s">
        <v>3922</v>
      </c>
      <c r="Z121" s="85" t="s">
        <v>3927</v>
      </c>
    </row>
    <row r="122" customFormat="false" ht="12.75" hidden="true" customHeight="true" outlineLevel="0" collapsed="false">
      <c r="A122" s="85" t="n">
        <v>2193165</v>
      </c>
      <c r="B122" s="85" t="s">
        <v>4167</v>
      </c>
      <c r="C122" s="85"/>
      <c r="D122" s="85"/>
      <c r="E122" s="85" t="s">
        <v>2928</v>
      </c>
      <c r="F122" s="85" t="s">
        <v>4168</v>
      </c>
      <c r="G122" s="85" t="n">
        <v>75116</v>
      </c>
      <c r="H122" s="85" t="s">
        <v>36</v>
      </c>
      <c r="I122" s="85" t="n">
        <v>147278094</v>
      </c>
      <c r="K122" s="85" t="n">
        <v>1</v>
      </c>
      <c r="L122" s="85"/>
      <c r="M122" s="86"/>
      <c r="N122" s="87"/>
      <c r="O122" s="87"/>
      <c r="P122" s="88" t="n">
        <v>473.88</v>
      </c>
      <c r="Q122" s="89"/>
      <c r="R122" s="88" t="n">
        <v>909.64</v>
      </c>
      <c r="S122" s="89"/>
      <c r="T122" s="88" t="n">
        <v>457.16</v>
      </c>
      <c r="U122" s="89" t="n">
        <f aca="false">RANK($T122,$T$2:$T$121)</f>
        <v>102</v>
      </c>
      <c r="V122" s="88" t="n">
        <v>977.52</v>
      </c>
      <c r="W122" s="89"/>
      <c r="X122" s="86" t="n">
        <v>9</v>
      </c>
      <c r="Y122" s="85" t="s">
        <v>3964</v>
      </c>
      <c r="Z122" s="85" t="s">
        <v>3927</v>
      </c>
    </row>
    <row r="123" customFormat="false" ht="12.75" hidden="true" customHeight="true" outlineLevel="0" collapsed="false">
      <c r="A123" s="85" t="n">
        <v>2278400</v>
      </c>
      <c r="B123" s="85" t="s">
        <v>4169</v>
      </c>
      <c r="C123" s="85"/>
      <c r="D123" s="85"/>
      <c r="E123" s="85" t="s">
        <v>3621</v>
      </c>
      <c r="F123" s="85" t="s">
        <v>4170</v>
      </c>
      <c r="G123" s="85" t="n">
        <v>92200</v>
      </c>
      <c r="H123" s="85" t="s">
        <v>3932</v>
      </c>
      <c r="I123" s="85" t="n">
        <v>146241612</v>
      </c>
      <c r="K123" s="85" t="n">
        <v>1</v>
      </c>
      <c r="L123" s="85"/>
      <c r="M123" s="86"/>
      <c r="N123" s="87"/>
      <c r="O123" s="87"/>
      <c r="P123" s="88" t="n">
        <v>468.3</v>
      </c>
      <c r="Q123" s="89"/>
      <c r="R123" s="88" t="n">
        <v>2620.94</v>
      </c>
      <c r="S123" s="89" t="n">
        <v>30</v>
      </c>
      <c r="T123" s="88" t="n">
        <v>306.63</v>
      </c>
      <c r="U123" s="89"/>
      <c r="V123" s="88" t="n">
        <v>1752.7</v>
      </c>
      <c r="W123" s="89" t="n">
        <v>84</v>
      </c>
      <c r="X123" s="86" t="n">
        <v>6</v>
      </c>
      <c r="Y123" s="85" t="s">
        <v>3922</v>
      </c>
      <c r="Z123" s="85" t="s">
        <v>3955</v>
      </c>
    </row>
    <row r="124" customFormat="false" ht="12.75" hidden="true" customHeight="true" outlineLevel="0" collapsed="false">
      <c r="A124" s="85" t="n">
        <v>2192224</v>
      </c>
      <c r="B124" s="85" t="s">
        <v>4171</v>
      </c>
      <c r="C124" s="85"/>
      <c r="D124" s="85"/>
      <c r="E124" s="85" t="s">
        <v>645</v>
      </c>
      <c r="F124" s="85" t="s">
        <v>4172</v>
      </c>
      <c r="G124" s="85" t="n">
        <v>75015</v>
      </c>
      <c r="H124" s="85" t="s">
        <v>36</v>
      </c>
      <c r="I124" s="85" t="n">
        <v>145771565</v>
      </c>
      <c r="K124" s="85" t="n">
        <v>1</v>
      </c>
      <c r="L124" s="85"/>
      <c r="M124" s="86"/>
      <c r="N124" s="87"/>
      <c r="O124" s="87"/>
      <c r="P124" s="88" t="n">
        <v>462.73</v>
      </c>
      <c r="Q124" s="89"/>
      <c r="R124" s="88" t="n">
        <v>841.17</v>
      </c>
      <c r="S124" s="89"/>
      <c r="T124" s="88" t="n">
        <v>574.24</v>
      </c>
      <c r="U124" s="89" t="n">
        <f aca="false">RANK($T124,$T$2:$T$121)</f>
        <v>84</v>
      </c>
      <c r="V124" s="88" t="n">
        <v>1072.54</v>
      </c>
      <c r="W124" s="89"/>
      <c r="X124" s="86" t="n">
        <v>8</v>
      </c>
      <c r="Y124" s="85" t="s">
        <v>4045</v>
      </c>
      <c r="Z124" s="85" t="s">
        <v>3955</v>
      </c>
    </row>
    <row r="125" customFormat="false" ht="12.75" hidden="true" customHeight="true" outlineLevel="0" collapsed="false">
      <c r="A125" s="85" t="n">
        <v>2053529</v>
      </c>
      <c r="B125" s="85" t="s">
        <v>4173</v>
      </c>
      <c r="C125" s="85"/>
      <c r="D125" s="85"/>
      <c r="E125" s="85" t="s">
        <v>1536</v>
      </c>
      <c r="F125" s="85" t="s">
        <v>4174</v>
      </c>
      <c r="G125" s="85" t="n">
        <v>75015</v>
      </c>
      <c r="H125" s="85" t="s">
        <v>36</v>
      </c>
      <c r="I125" s="85" t="n">
        <v>147349977</v>
      </c>
      <c r="K125" s="85" t="n">
        <v>1</v>
      </c>
      <c r="L125" s="85" t="n">
        <v>1</v>
      </c>
      <c r="M125" s="86"/>
      <c r="N125" s="87"/>
      <c r="O125" s="87"/>
      <c r="P125" s="88" t="n">
        <v>434.85</v>
      </c>
      <c r="Q125" s="89"/>
      <c r="R125" s="88" t="n">
        <v>1452.01</v>
      </c>
      <c r="S125" s="89" t="n">
        <v>110</v>
      </c>
      <c r="T125" s="88" t="n">
        <v>680.16</v>
      </c>
      <c r="U125" s="89" t="n">
        <f aca="false">RANK($T125,$T$2:$T$121)</f>
        <v>69</v>
      </c>
      <c r="V125" s="88" t="n">
        <v>1163.14</v>
      </c>
      <c r="W125" s="89"/>
      <c r="X125" s="86" t="n">
        <v>8</v>
      </c>
      <c r="Y125" s="85" t="s">
        <v>4175</v>
      </c>
      <c r="Z125" s="85" t="s">
        <v>4176</v>
      </c>
    </row>
    <row r="126" customFormat="false" ht="12.75" hidden="true" customHeight="true" outlineLevel="0" collapsed="false">
      <c r="A126" s="85" t="n">
        <v>2052064</v>
      </c>
      <c r="B126" s="85" t="s">
        <v>4177</v>
      </c>
      <c r="C126" s="85"/>
      <c r="D126" s="85"/>
      <c r="E126" s="85" t="s">
        <v>357</v>
      </c>
      <c r="F126" s="85" t="s">
        <v>4178</v>
      </c>
      <c r="G126" s="85" t="n">
        <v>75008</v>
      </c>
      <c r="H126" s="85" t="s">
        <v>36</v>
      </c>
      <c r="I126" s="85" t="n">
        <v>145221041</v>
      </c>
      <c r="K126" s="85"/>
      <c r="L126" s="85"/>
      <c r="M126" s="86"/>
      <c r="N126" s="87"/>
      <c r="O126" s="87"/>
      <c r="P126" s="88" t="n">
        <v>432.42</v>
      </c>
      <c r="Q126" s="89"/>
      <c r="R126" s="88" t="n">
        <v>587.09</v>
      </c>
      <c r="S126" s="89"/>
      <c r="T126" s="88" t="n">
        <v>321.25</v>
      </c>
      <c r="U126" s="89"/>
      <c r="V126" s="88" t="n">
        <v>286.5</v>
      </c>
      <c r="W126" s="89"/>
      <c r="X126" s="86" t="n">
        <v>8</v>
      </c>
      <c r="Y126" s="85" t="s">
        <v>4024</v>
      </c>
      <c r="Z126" s="85"/>
    </row>
    <row r="127" customFormat="false" ht="12.75" hidden="true" customHeight="true" outlineLevel="0" collapsed="false">
      <c r="A127" s="85" t="n">
        <v>2053382</v>
      </c>
      <c r="B127" s="85" t="s">
        <v>4179</v>
      </c>
      <c r="C127" s="85"/>
      <c r="D127" s="85"/>
      <c r="E127" s="85" t="s">
        <v>645</v>
      </c>
      <c r="F127" s="85" t="s">
        <v>4180</v>
      </c>
      <c r="G127" s="85" t="n">
        <v>75015</v>
      </c>
      <c r="H127" s="85" t="s">
        <v>36</v>
      </c>
      <c r="I127" s="85" t="n">
        <v>145775794</v>
      </c>
      <c r="K127" s="85" t="n">
        <v>1</v>
      </c>
      <c r="L127" s="85" t="n">
        <v>1</v>
      </c>
      <c r="M127" s="86" t="n">
        <v>2</v>
      </c>
      <c r="N127" s="87" t="n">
        <v>44726</v>
      </c>
      <c r="O127" s="87"/>
      <c r="P127" s="88" t="n">
        <v>416.82</v>
      </c>
      <c r="Q127" s="89"/>
      <c r="R127" s="88" t="n">
        <v>1365.6112</v>
      </c>
      <c r="S127" s="89" t="n">
        <v>116</v>
      </c>
      <c r="T127" s="88" t="n">
        <v>623.57</v>
      </c>
      <c r="U127" s="89" t="n">
        <f aca="false">RANK($T127,$T$2:$T$121)</f>
        <v>80</v>
      </c>
      <c r="V127" s="88" t="n">
        <v>1202.1304</v>
      </c>
      <c r="W127" s="89"/>
      <c r="X127" s="86" t="n">
        <v>7</v>
      </c>
      <c r="Y127" s="85" t="s">
        <v>3937</v>
      </c>
      <c r="Z127" s="85" t="s">
        <v>3923</v>
      </c>
    </row>
    <row r="128" customFormat="false" ht="12.75" hidden="true" customHeight="true" outlineLevel="0" collapsed="false">
      <c r="A128" s="85" t="n">
        <v>2052153</v>
      </c>
      <c r="B128" s="85" t="s">
        <v>4181</v>
      </c>
      <c r="C128" s="85"/>
      <c r="D128" s="85"/>
      <c r="E128" s="85" t="s">
        <v>357</v>
      </c>
      <c r="F128" s="85" t="s">
        <v>4182</v>
      </c>
      <c r="G128" s="85" t="n">
        <v>75008</v>
      </c>
      <c r="H128" s="85" t="s">
        <v>36</v>
      </c>
      <c r="I128" s="85" t="n">
        <v>145221887</v>
      </c>
      <c r="K128" s="85" t="n">
        <v>1</v>
      </c>
      <c r="L128" s="85"/>
      <c r="M128" s="86"/>
      <c r="N128" s="87"/>
      <c r="O128" s="87"/>
      <c r="P128" s="88" t="n">
        <v>406.98</v>
      </c>
      <c r="Q128" s="89"/>
      <c r="R128" s="88" t="n">
        <v>1393.97</v>
      </c>
      <c r="S128" s="89" t="n">
        <v>113</v>
      </c>
      <c r="T128" s="88" t="n">
        <v>624.41</v>
      </c>
      <c r="U128" s="89" t="n">
        <f aca="false">RANK($T128,$T$2:$T$121)</f>
        <v>75</v>
      </c>
      <c r="V128" s="88" t="n">
        <v>1291.62</v>
      </c>
      <c r="W128" s="89"/>
      <c r="X128" s="86" t="n">
        <v>4</v>
      </c>
      <c r="Y128" s="85"/>
      <c r="Z128" s="85" t="s">
        <v>3955</v>
      </c>
    </row>
    <row r="129" customFormat="false" ht="12.75" hidden="true" customHeight="true" outlineLevel="0" collapsed="false">
      <c r="A129" s="85" t="n">
        <v>2188532</v>
      </c>
      <c r="B129" s="85" t="s">
        <v>4183</v>
      </c>
      <c r="C129" s="85"/>
      <c r="D129" s="85"/>
      <c r="E129" s="85" t="s">
        <v>1124</v>
      </c>
      <c r="F129" s="85" t="s">
        <v>4184</v>
      </c>
      <c r="G129" s="85" t="n">
        <v>75007</v>
      </c>
      <c r="H129" s="85" t="s">
        <v>36</v>
      </c>
      <c r="I129" s="85" t="n">
        <v>147835982</v>
      </c>
      <c r="K129" s="85" t="n">
        <v>1</v>
      </c>
      <c r="L129" s="85"/>
      <c r="M129" s="86"/>
      <c r="N129" s="87"/>
      <c r="O129" s="87"/>
      <c r="P129" s="88" t="n">
        <v>406.98</v>
      </c>
      <c r="Q129" s="89"/>
      <c r="R129" s="88" t="n">
        <v>841.64</v>
      </c>
      <c r="S129" s="89"/>
      <c r="T129" s="88" t="n">
        <v>217.43</v>
      </c>
      <c r="U129" s="89"/>
      <c r="V129" s="88" t="n">
        <v>1067.66</v>
      </c>
      <c r="W129" s="89"/>
      <c r="X129" s="86" t="n">
        <v>7</v>
      </c>
      <c r="Y129" s="85" t="s">
        <v>3954</v>
      </c>
      <c r="Z129" s="85" t="s">
        <v>3904</v>
      </c>
    </row>
    <row r="130" customFormat="false" ht="12.75" hidden="true" customHeight="true" outlineLevel="0" collapsed="false">
      <c r="A130" s="85" t="n">
        <v>2192795</v>
      </c>
      <c r="B130" s="85" t="s">
        <v>4185</v>
      </c>
      <c r="C130" s="85"/>
      <c r="D130" s="85"/>
      <c r="E130" s="85" t="s">
        <v>34</v>
      </c>
      <c r="F130" s="85" t="s">
        <v>4186</v>
      </c>
      <c r="G130" s="85" t="n">
        <v>75016</v>
      </c>
      <c r="H130" s="85" t="s">
        <v>36</v>
      </c>
      <c r="I130" s="85" t="n">
        <v>142880565</v>
      </c>
      <c r="K130" s="85" t="n">
        <v>1</v>
      </c>
      <c r="L130" s="85"/>
      <c r="M130" s="86"/>
      <c r="N130" s="87"/>
      <c r="O130" s="87"/>
      <c r="P130" s="88" t="n">
        <v>396.3</v>
      </c>
      <c r="Q130" s="89"/>
      <c r="R130" s="88" t="n">
        <v>837.39</v>
      </c>
      <c r="S130" s="89"/>
      <c r="T130" s="88" t="n">
        <v>613.73</v>
      </c>
      <c r="U130" s="89" t="n">
        <f aca="false">RANK($T130,$T$2:$T$121)</f>
        <v>82</v>
      </c>
      <c r="V130" s="88" t="n">
        <v>1078.87</v>
      </c>
      <c r="W130" s="89"/>
      <c r="X130" s="86" t="n">
        <v>8</v>
      </c>
      <c r="Y130" s="85" t="s">
        <v>3954</v>
      </c>
      <c r="Z130" s="85" t="s">
        <v>3927</v>
      </c>
    </row>
    <row r="131" customFormat="false" ht="12.75" hidden="true" customHeight="true" outlineLevel="0" collapsed="false">
      <c r="A131" s="85" t="n">
        <v>2188637</v>
      </c>
      <c r="B131" s="85" t="s">
        <v>4187</v>
      </c>
      <c r="C131" s="85"/>
      <c r="D131" s="85"/>
      <c r="E131" s="85" t="s">
        <v>1124</v>
      </c>
      <c r="F131" s="85" t="s">
        <v>4188</v>
      </c>
      <c r="G131" s="85" t="n">
        <v>75007</v>
      </c>
      <c r="H131" s="85" t="s">
        <v>36</v>
      </c>
      <c r="I131" s="85" t="n">
        <v>147347601</v>
      </c>
      <c r="K131" s="85" t="n">
        <v>1</v>
      </c>
      <c r="L131" s="85"/>
      <c r="M131" s="86"/>
      <c r="N131" s="87"/>
      <c r="O131" s="87"/>
      <c r="P131" s="88" t="n">
        <v>390.25</v>
      </c>
      <c r="Q131" s="89"/>
      <c r="R131" s="88" t="n">
        <v>1079.78</v>
      </c>
      <c r="S131" s="89"/>
      <c r="T131" s="88" t="n">
        <v>284.33</v>
      </c>
      <c r="U131" s="89"/>
      <c r="V131" s="88" t="n">
        <v>959.72</v>
      </c>
      <c r="W131" s="89"/>
      <c r="X131" s="86" t="n">
        <v>3</v>
      </c>
      <c r="Y131" s="85" t="s">
        <v>3969</v>
      </c>
      <c r="Z131" s="85"/>
    </row>
    <row r="132" customFormat="false" ht="12.75" hidden="true" customHeight="true" outlineLevel="0" collapsed="false">
      <c r="A132" s="85" t="n">
        <v>2053419</v>
      </c>
      <c r="B132" s="85" t="s">
        <v>4189</v>
      </c>
      <c r="C132" s="85"/>
      <c r="D132" s="85"/>
      <c r="E132" s="85" t="s">
        <v>3238</v>
      </c>
      <c r="F132" s="85" t="s">
        <v>4190</v>
      </c>
      <c r="G132" s="85" t="n">
        <v>75015</v>
      </c>
      <c r="H132" s="85" t="s">
        <v>36</v>
      </c>
      <c r="I132" s="85" t="n">
        <v>145339963</v>
      </c>
      <c r="K132" s="85" t="n">
        <v>1</v>
      </c>
      <c r="L132" s="85"/>
      <c r="M132" s="86"/>
      <c r="N132" s="87"/>
      <c r="O132" s="87"/>
      <c r="P132" s="88" t="n">
        <v>384.68</v>
      </c>
      <c r="Q132" s="89"/>
      <c r="R132" s="88" t="n">
        <v>2224.146</v>
      </c>
      <c r="S132" s="89" t="n">
        <v>51</v>
      </c>
      <c r="T132" s="88" t="n">
        <v>267.61</v>
      </c>
      <c r="U132" s="89"/>
      <c r="V132" s="88" t="n">
        <v>2646.3748</v>
      </c>
      <c r="W132" s="89" t="n">
        <v>27</v>
      </c>
      <c r="X132" s="86" t="n">
        <v>7</v>
      </c>
      <c r="Y132" s="85" t="s">
        <v>3964</v>
      </c>
      <c r="Z132" s="85" t="s">
        <v>3927</v>
      </c>
    </row>
    <row r="133" customFormat="false" ht="12.75" hidden="true" customHeight="true" outlineLevel="0" collapsed="false">
      <c r="A133" s="85" t="n">
        <v>2193846</v>
      </c>
      <c r="B133" s="85" t="s">
        <v>4191</v>
      </c>
      <c r="C133" s="85"/>
      <c r="D133" s="85"/>
      <c r="E133" s="85" t="s">
        <v>2400</v>
      </c>
      <c r="F133" s="85" t="s">
        <v>4192</v>
      </c>
      <c r="G133" s="85" t="n">
        <v>75017</v>
      </c>
      <c r="H133" s="85" t="s">
        <v>36</v>
      </c>
      <c r="I133" s="85" t="n">
        <v>147649412</v>
      </c>
      <c r="K133" s="85" t="n">
        <v>1</v>
      </c>
      <c r="L133" s="85"/>
      <c r="M133" s="86"/>
      <c r="N133" s="87"/>
      <c r="O133" s="87"/>
      <c r="P133" s="88" t="n">
        <v>379.1</v>
      </c>
      <c r="Q133" s="89"/>
      <c r="R133" s="88" t="n">
        <v>2201.93</v>
      </c>
      <c r="S133" s="89" t="n">
        <v>54</v>
      </c>
      <c r="T133" s="88" t="n">
        <v>434.86</v>
      </c>
      <c r="U133" s="89"/>
      <c r="V133" s="88" t="n">
        <v>1137.28</v>
      </c>
      <c r="W133" s="89"/>
      <c r="X133" s="86" t="n">
        <v>6</v>
      </c>
      <c r="Y133" s="85" t="s">
        <v>3919</v>
      </c>
      <c r="Z133" s="85"/>
    </row>
    <row r="134" customFormat="false" ht="12.75" hidden="true" customHeight="true" outlineLevel="0" collapsed="false">
      <c r="A134" s="85" t="n">
        <v>2053665</v>
      </c>
      <c r="B134" s="85" t="s">
        <v>4193</v>
      </c>
      <c r="C134" s="85"/>
      <c r="D134" s="85"/>
      <c r="E134" s="85" t="s">
        <v>2928</v>
      </c>
      <c r="F134" s="85" t="s">
        <v>4194</v>
      </c>
      <c r="G134" s="85" t="n">
        <v>75116</v>
      </c>
      <c r="H134" s="85" t="s">
        <v>36</v>
      </c>
      <c r="I134" s="85" t="n">
        <v>147278368</v>
      </c>
      <c r="K134" s="85" t="n">
        <v>1</v>
      </c>
      <c r="L134" s="85"/>
      <c r="M134" s="86"/>
      <c r="N134" s="87"/>
      <c r="O134" s="87"/>
      <c r="P134" s="88" t="n">
        <v>379.1</v>
      </c>
      <c r="Q134" s="89"/>
      <c r="R134" s="88" t="n">
        <v>2054.83</v>
      </c>
      <c r="S134" s="89" t="n">
        <v>59</v>
      </c>
      <c r="T134" s="88" t="n">
        <v>379.1</v>
      </c>
      <c r="U134" s="89"/>
      <c r="V134" s="88" t="n">
        <v>2060.75</v>
      </c>
      <c r="W134" s="89" t="n">
        <v>57</v>
      </c>
      <c r="X134" s="86" t="n">
        <v>7</v>
      </c>
      <c r="Y134" s="85" t="s">
        <v>3922</v>
      </c>
      <c r="Z134" s="85" t="s">
        <v>3904</v>
      </c>
    </row>
    <row r="135" customFormat="false" ht="12.75" hidden="true" customHeight="true" outlineLevel="0" collapsed="false">
      <c r="A135" s="85" t="n">
        <v>2271248</v>
      </c>
      <c r="B135" s="85" t="s">
        <v>4195</v>
      </c>
      <c r="C135" s="85"/>
      <c r="D135" s="85"/>
      <c r="E135" s="85" t="s">
        <v>357</v>
      </c>
      <c r="F135" s="85" t="s">
        <v>4196</v>
      </c>
      <c r="G135" s="85" t="n">
        <v>75008</v>
      </c>
      <c r="H135" s="85" t="s">
        <v>36</v>
      </c>
      <c r="I135" s="85" t="n">
        <v>143598655</v>
      </c>
      <c r="K135" s="85" t="n">
        <v>1</v>
      </c>
      <c r="L135" s="85"/>
      <c r="M135" s="86"/>
      <c r="N135" s="87"/>
      <c r="O135" s="87"/>
      <c r="P135" s="88" t="n">
        <v>379.1</v>
      </c>
      <c r="Q135" s="89"/>
      <c r="R135" s="88" t="n">
        <v>1955.52</v>
      </c>
      <c r="S135" s="89" t="n">
        <v>70</v>
      </c>
      <c r="T135" s="88" t="n">
        <v>596.53</v>
      </c>
      <c r="U135" s="89" t="n">
        <f aca="false">RANK($T135,$T$2:$T$121)</f>
        <v>83</v>
      </c>
      <c r="V135" s="88" t="n">
        <v>1704.27</v>
      </c>
      <c r="W135" s="89" t="n">
        <v>92</v>
      </c>
      <c r="X135" s="86" t="n">
        <v>3</v>
      </c>
      <c r="Y135" s="85"/>
      <c r="Z135" s="85" t="s">
        <v>3927</v>
      </c>
    </row>
    <row r="136" customFormat="false" ht="12.75" hidden="true" customHeight="true" outlineLevel="0" collapsed="false">
      <c r="A136" s="85" t="n">
        <v>2052059</v>
      </c>
      <c r="B136" s="85" t="s">
        <v>4197</v>
      </c>
      <c r="C136" s="85"/>
      <c r="D136" s="85"/>
      <c r="E136" s="85" t="s">
        <v>357</v>
      </c>
      <c r="F136" s="85" t="s">
        <v>4198</v>
      </c>
      <c r="G136" s="85" t="n">
        <v>75008</v>
      </c>
      <c r="H136" s="85" t="s">
        <v>36</v>
      </c>
      <c r="I136" s="85" t="n">
        <v>145611780</v>
      </c>
      <c r="K136" s="85" t="n">
        <v>1</v>
      </c>
      <c r="L136" s="85"/>
      <c r="M136" s="86"/>
      <c r="N136" s="87"/>
      <c r="O136" s="87"/>
      <c r="P136" s="88" t="n">
        <v>379.1</v>
      </c>
      <c r="Q136" s="89"/>
      <c r="R136" s="88" t="n">
        <v>1890.99</v>
      </c>
      <c r="S136" s="89" t="n">
        <v>73</v>
      </c>
      <c r="T136" s="88" t="n">
        <v>273.18</v>
      </c>
      <c r="U136" s="89"/>
      <c r="V136" s="88" t="n">
        <v>1590.88</v>
      </c>
      <c r="W136" s="89" t="n">
        <v>102</v>
      </c>
      <c r="X136" s="86" t="n">
        <v>5</v>
      </c>
      <c r="Y136" s="85" t="s">
        <v>3914</v>
      </c>
      <c r="Z136" s="85" t="s">
        <v>4199</v>
      </c>
    </row>
    <row r="137" customFormat="false" ht="12.75" hidden="true" customHeight="true" outlineLevel="0" collapsed="false">
      <c r="A137" s="85" t="n">
        <v>2193170</v>
      </c>
      <c r="B137" s="85" t="s">
        <v>4200</v>
      </c>
      <c r="C137" s="85"/>
      <c r="D137" s="85"/>
      <c r="E137" s="85" t="s">
        <v>2400</v>
      </c>
      <c r="F137" s="85" t="s">
        <v>4201</v>
      </c>
      <c r="G137" s="85" t="n">
        <v>75017</v>
      </c>
      <c r="H137" s="85" t="s">
        <v>36</v>
      </c>
      <c r="I137" s="85" t="n">
        <v>145724325</v>
      </c>
      <c r="K137" s="85" t="n">
        <v>1</v>
      </c>
      <c r="L137" s="85" t="n">
        <v>1</v>
      </c>
      <c r="M137" s="86"/>
      <c r="N137" s="87"/>
      <c r="O137" s="87"/>
      <c r="P137" s="88" t="n">
        <v>379.1</v>
      </c>
      <c r="Q137" s="89"/>
      <c r="R137" s="88" t="n">
        <v>1734.77</v>
      </c>
      <c r="S137" s="89" t="n">
        <v>83</v>
      </c>
      <c r="T137" s="88" t="n">
        <v>596.53</v>
      </c>
      <c r="U137" s="89" t="n">
        <f aca="false">RANK($T137,$T$2:$T$121)</f>
        <v>83</v>
      </c>
      <c r="V137" s="88" t="n">
        <v>1770.67</v>
      </c>
      <c r="W137" s="89" t="n">
        <v>82</v>
      </c>
      <c r="X137" s="86" t="n">
        <v>6</v>
      </c>
      <c r="Y137" s="85" t="s">
        <v>3919</v>
      </c>
      <c r="Z137" s="85"/>
    </row>
    <row r="138" customFormat="false" ht="12.75" hidden="true" customHeight="true" outlineLevel="0" collapsed="false">
      <c r="A138" s="85" t="n">
        <v>2193212</v>
      </c>
      <c r="B138" s="85" t="s">
        <v>4202</v>
      </c>
      <c r="C138" s="85"/>
      <c r="D138" s="85"/>
      <c r="E138" s="85" t="s">
        <v>2400</v>
      </c>
      <c r="F138" s="85" t="s">
        <v>4203</v>
      </c>
      <c r="G138" s="85" t="n">
        <v>75017</v>
      </c>
      <c r="H138" s="85" t="s">
        <v>36</v>
      </c>
      <c r="I138" s="85" t="n">
        <v>143808609</v>
      </c>
      <c r="K138" s="85" t="n">
        <v>1</v>
      </c>
      <c r="L138" s="85"/>
      <c r="M138" s="86"/>
      <c r="N138" s="87"/>
      <c r="O138" s="87"/>
      <c r="P138" s="88" t="n">
        <v>379.1</v>
      </c>
      <c r="Q138" s="89"/>
      <c r="R138" s="88" t="n">
        <v>482.02</v>
      </c>
      <c r="S138" s="89"/>
      <c r="T138" s="88" t="n">
        <v>358.82</v>
      </c>
      <c r="U138" s="89"/>
      <c r="V138" s="88" t="n">
        <v>640.92</v>
      </c>
      <c r="W138" s="89"/>
      <c r="X138" s="86" t="n">
        <v>8</v>
      </c>
      <c r="Y138" s="85" t="s">
        <v>3961</v>
      </c>
      <c r="Z138" s="85" t="s">
        <v>3927</v>
      </c>
    </row>
    <row r="139" customFormat="false" ht="12.75" hidden="true" customHeight="true" outlineLevel="0" collapsed="false">
      <c r="A139" s="85" t="n">
        <v>2052216</v>
      </c>
      <c r="B139" s="85" t="s">
        <v>4204</v>
      </c>
      <c r="C139" s="85"/>
      <c r="D139" s="85"/>
      <c r="E139" s="85" t="s">
        <v>357</v>
      </c>
      <c r="F139" s="85" t="s">
        <v>4205</v>
      </c>
      <c r="G139" s="85" t="n">
        <v>75008</v>
      </c>
      <c r="H139" s="85" t="s">
        <v>36</v>
      </c>
      <c r="I139" s="85" t="n">
        <v>145628893</v>
      </c>
      <c r="K139" s="85"/>
      <c r="L139" s="85"/>
      <c r="M139" s="86"/>
      <c r="N139" s="87"/>
      <c r="O139" s="87"/>
      <c r="P139" s="88" t="n">
        <v>379.1</v>
      </c>
      <c r="Q139" s="89"/>
      <c r="R139" s="88" t="n">
        <v>415.38</v>
      </c>
      <c r="S139" s="89"/>
      <c r="T139" s="88" t="n">
        <v>596.53</v>
      </c>
      <c r="U139" s="89" t="n">
        <f aca="false">RANK($T139,$T$2:$T$121)</f>
        <v>83</v>
      </c>
      <c r="V139" s="88" t="n">
        <v>727.58</v>
      </c>
      <c r="W139" s="89"/>
      <c r="X139" s="86" t="n">
        <v>8</v>
      </c>
      <c r="Y139" s="85" t="s">
        <v>3961</v>
      </c>
      <c r="Z139" s="85"/>
    </row>
    <row r="140" customFormat="false" ht="12.75" hidden="true" customHeight="true" outlineLevel="0" collapsed="false">
      <c r="A140" s="85" t="n">
        <v>2053733</v>
      </c>
      <c r="B140" s="85" t="s">
        <v>4206</v>
      </c>
      <c r="C140" s="85"/>
      <c r="D140" s="85"/>
      <c r="E140" s="85" t="s">
        <v>2132</v>
      </c>
      <c r="F140" s="85" t="s">
        <v>2218</v>
      </c>
      <c r="G140" s="85" t="n">
        <v>75016</v>
      </c>
      <c r="H140" s="85" t="s">
        <v>36</v>
      </c>
      <c r="I140" s="85" t="n">
        <v>142880176</v>
      </c>
      <c r="K140" s="85" t="n">
        <v>1</v>
      </c>
      <c r="L140" s="85"/>
      <c r="M140" s="86"/>
      <c r="N140" s="87"/>
      <c r="O140" s="87"/>
      <c r="P140" s="88" t="n">
        <v>356.8</v>
      </c>
      <c r="Q140" s="89"/>
      <c r="R140" s="88" t="n">
        <v>3366.04</v>
      </c>
      <c r="S140" s="89" t="n">
        <v>16</v>
      </c>
      <c r="T140" s="88" t="n">
        <v>334.5</v>
      </c>
      <c r="U140" s="89"/>
      <c r="V140" s="88" t="n">
        <v>2764</v>
      </c>
      <c r="W140" s="89" t="n">
        <v>23</v>
      </c>
      <c r="X140" s="86" t="n">
        <v>5</v>
      </c>
      <c r="Y140" s="85" t="s">
        <v>3969</v>
      </c>
      <c r="Z140" s="85"/>
    </row>
    <row r="141" customFormat="false" ht="12.75" hidden="true" customHeight="true" outlineLevel="0" collapsed="false">
      <c r="A141" s="85" t="n">
        <v>2278196</v>
      </c>
      <c r="B141" s="85" t="s">
        <v>4207</v>
      </c>
      <c r="C141" s="85"/>
      <c r="D141" s="85"/>
      <c r="E141" s="85" t="s">
        <v>34</v>
      </c>
      <c r="F141" s="85" t="s">
        <v>4208</v>
      </c>
      <c r="G141" s="85" t="n">
        <v>75016</v>
      </c>
      <c r="H141" s="85" t="s">
        <v>36</v>
      </c>
      <c r="I141" s="85" t="n">
        <v>145272956</v>
      </c>
      <c r="K141" s="85" t="n">
        <v>1</v>
      </c>
      <c r="L141" s="85"/>
      <c r="M141" s="86"/>
      <c r="N141" s="87"/>
      <c r="O141" s="87"/>
      <c r="P141" s="88" t="n">
        <v>356.8</v>
      </c>
      <c r="Q141" s="89"/>
      <c r="R141" s="88" t="n">
        <v>1010.33</v>
      </c>
      <c r="S141" s="89"/>
      <c r="T141" s="88" t="n">
        <v>574.23</v>
      </c>
      <c r="U141" s="89" t="n">
        <f aca="false">RANK($T141,$T$2:$T$121)</f>
        <v>84</v>
      </c>
      <c r="V141" s="88" t="n">
        <v>1129.61</v>
      </c>
      <c r="W141" s="89"/>
      <c r="X141" s="86" t="n">
        <v>7</v>
      </c>
      <c r="Y141" s="85" t="s">
        <v>3922</v>
      </c>
      <c r="Z141" s="85"/>
    </row>
    <row r="142" customFormat="false" ht="12.75" hidden="true" customHeight="true" outlineLevel="0" collapsed="false">
      <c r="A142" s="85" t="n">
        <v>2188443</v>
      </c>
      <c r="B142" s="85" t="s">
        <v>4209</v>
      </c>
      <c r="C142" s="85"/>
      <c r="D142" s="85"/>
      <c r="E142" s="85" t="s">
        <v>1124</v>
      </c>
      <c r="F142" s="85" t="s">
        <v>4210</v>
      </c>
      <c r="G142" s="85" t="n">
        <v>75007</v>
      </c>
      <c r="H142" s="85" t="s">
        <v>36</v>
      </c>
      <c r="I142" s="85" t="n">
        <v>147054061</v>
      </c>
      <c r="K142" s="85" t="n">
        <v>1</v>
      </c>
      <c r="L142" s="85"/>
      <c r="M142" s="86" t="n">
        <v>2</v>
      </c>
      <c r="N142" s="87" t="n">
        <v>44705</v>
      </c>
      <c r="O142" s="87"/>
      <c r="P142" s="88" t="n">
        <v>345.65</v>
      </c>
      <c r="Q142" s="89"/>
      <c r="R142" s="88" t="n">
        <v>561.71</v>
      </c>
      <c r="S142" s="89"/>
      <c r="T142" s="88" t="n">
        <v>239.73</v>
      </c>
      <c r="U142" s="89"/>
      <c r="V142" s="88" t="n">
        <v>661.99</v>
      </c>
      <c r="W142" s="89"/>
      <c r="X142" s="86" t="n">
        <v>6</v>
      </c>
      <c r="Y142" s="85" t="s">
        <v>3954</v>
      </c>
      <c r="Z142" s="85" t="s">
        <v>3955</v>
      </c>
    </row>
    <row r="143" customFormat="false" ht="12.75" hidden="true" customHeight="true" outlineLevel="0" collapsed="false">
      <c r="A143" s="85" t="n">
        <v>2053492</v>
      </c>
      <c r="B143" s="85" t="s">
        <v>4211</v>
      </c>
      <c r="C143" s="85"/>
      <c r="D143" s="85"/>
      <c r="E143" s="85" t="s">
        <v>645</v>
      </c>
      <c r="F143" s="85" t="s">
        <v>1106</v>
      </c>
      <c r="G143" s="85" t="n">
        <v>75015</v>
      </c>
      <c r="H143" s="85" t="s">
        <v>36</v>
      </c>
      <c r="I143" s="85" t="n">
        <v>148284350</v>
      </c>
      <c r="K143" s="85" t="n">
        <v>1</v>
      </c>
      <c r="L143" s="85" t="n">
        <v>1</v>
      </c>
      <c r="M143" s="86" t="n">
        <v>2</v>
      </c>
      <c r="N143" s="87" t="n">
        <v>44722</v>
      </c>
      <c r="O143" s="87"/>
      <c r="P143" s="88" t="n">
        <v>334.51</v>
      </c>
      <c r="Q143" s="89"/>
      <c r="R143" s="88" t="n">
        <v>3819.74</v>
      </c>
      <c r="S143" s="89" t="n">
        <v>10</v>
      </c>
      <c r="T143" s="88" t="n">
        <v>228.59</v>
      </c>
      <c r="U143" s="89"/>
      <c r="V143" s="88" t="n">
        <v>3373.23</v>
      </c>
      <c r="W143" s="89" t="n">
        <v>14</v>
      </c>
      <c r="X143" s="86" t="n">
        <v>4</v>
      </c>
      <c r="Y143" s="85" t="s">
        <v>3908</v>
      </c>
      <c r="Z143" s="85"/>
    </row>
    <row r="144" customFormat="false" ht="12.75" hidden="true" customHeight="true" outlineLevel="0" collapsed="false">
      <c r="A144" s="85" t="n">
        <v>2230023</v>
      </c>
      <c r="B144" s="85" t="s">
        <v>4212</v>
      </c>
      <c r="C144" s="85"/>
      <c r="D144" s="85"/>
      <c r="E144" s="85" t="s">
        <v>3401</v>
      </c>
      <c r="F144" s="85" t="s">
        <v>3582</v>
      </c>
      <c r="G144" s="85" t="n">
        <v>92300</v>
      </c>
      <c r="H144" s="85" t="s">
        <v>3403</v>
      </c>
      <c r="I144" s="85" t="n">
        <v>147574555</v>
      </c>
      <c r="K144" s="85" t="n">
        <v>1</v>
      </c>
      <c r="L144" s="85" t="n">
        <v>1</v>
      </c>
      <c r="M144" s="86"/>
      <c r="N144" s="87"/>
      <c r="O144" s="87"/>
      <c r="P144" s="88" t="n">
        <v>334.5</v>
      </c>
      <c r="Q144" s="89"/>
      <c r="R144" s="88" t="n">
        <v>3953.05</v>
      </c>
      <c r="S144" s="89" t="n">
        <v>9</v>
      </c>
      <c r="T144" s="88" t="n">
        <v>1115</v>
      </c>
      <c r="U144" s="89" t="n">
        <f aca="false">RANK($T144,$T$2:$T$121)</f>
        <v>36</v>
      </c>
      <c r="V144" s="88" t="n">
        <v>5449.37</v>
      </c>
      <c r="W144" s="89" t="n">
        <v>3</v>
      </c>
      <c r="X144" s="86" t="n">
        <v>2</v>
      </c>
      <c r="Y144" s="85" t="s">
        <v>3914</v>
      </c>
      <c r="Z144" s="85"/>
    </row>
    <row r="145" customFormat="false" ht="12.75" hidden="true" customHeight="true" outlineLevel="0" collapsed="false">
      <c r="A145" s="85" t="n">
        <v>2192140</v>
      </c>
      <c r="B145" s="85" t="s">
        <v>4213</v>
      </c>
      <c r="C145" s="85"/>
      <c r="D145" s="85"/>
      <c r="E145" s="85" t="s">
        <v>3238</v>
      </c>
      <c r="F145" s="85" t="s">
        <v>4214</v>
      </c>
      <c r="G145" s="85" t="n">
        <v>75015</v>
      </c>
      <c r="H145" s="85" t="s">
        <v>36</v>
      </c>
      <c r="I145" s="85" t="n">
        <v>145328903</v>
      </c>
      <c r="K145" s="85"/>
      <c r="L145" s="85"/>
      <c r="M145" s="86"/>
      <c r="N145" s="87"/>
      <c r="O145" s="87"/>
      <c r="P145" s="88" t="n">
        <v>334.5</v>
      </c>
      <c r="Q145" s="89"/>
      <c r="R145" s="88" t="n">
        <v>992.01</v>
      </c>
      <c r="S145" s="89"/>
      <c r="T145" s="88" t="n">
        <v>708.03</v>
      </c>
      <c r="U145" s="89" t="n">
        <f aca="false">RANK($T145,$T$2:$T$121)</f>
        <v>69</v>
      </c>
      <c r="V145" s="88" t="n">
        <v>1293.49</v>
      </c>
      <c r="W145" s="89"/>
      <c r="X145" s="86" t="n">
        <v>10</v>
      </c>
      <c r="Y145" s="85" t="s">
        <v>3922</v>
      </c>
      <c r="Z145" s="85"/>
    </row>
    <row r="146" customFormat="false" ht="12.75" hidden="true" customHeight="true" outlineLevel="0" collapsed="false">
      <c r="A146" s="85" t="n">
        <v>2228826</v>
      </c>
      <c r="B146" s="85" t="s">
        <v>4215</v>
      </c>
      <c r="C146" s="85"/>
      <c r="D146" s="85"/>
      <c r="E146" s="85" t="s">
        <v>3621</v>
      </c>
      <c r="F146" s="85" t="s">
        <v>4216</v>
      </c>
      <c r="G146" s="85" t="n">
        <v>92200</v>
      </c>
      <c r="H146" s="85" t="s">
        <v>3932</v>
      </c>
      <c r="I146" s="85" t="n">
        <v>146241559</v>
      </c>
      <c r="K146" s="85" t="n">
        <v>1</v>
      </c>
      <c r="L146" s="85"/>
      <c r="M146" s="86"/>
      <c r="N146" s="87"/>
      <c r="O146" s="87"/>
      <c r="P146" s="88" t="n">
        <v>334.5</v>
      </c>
      <c r="Q146" s="89"/>
      <c r="R146" s="88" t="n">
        <v>366.92</v>
      </c>
      <c r="S146" s="89"/>
      <c r="T146" s="88" t="n">
        <v>551.93</v>
      </c>
      <c r="U146" s="89" t="n">
        <f aca="false">RANK($T146,$T$2:$T$121)</f>
        <v>88</v>
      </c>
      <c r="V146" s="88" t="n">
        <v>98.2</v>
      </c>
      <c r="W146" s="89"/>
      <c r="X146" s="86" t="n">
        <v>7</v>
      </c>
      <c r="Y146" s="85" t="s">
        <v>3937</v>
      </c>
      <c r="Z146" s="85" t="s">
        <v>3927</v>
      </c>
    </row>
    <row r="147" customFormat="false" ht="12.75" hidden="true" customHeight="true" outlineLevel="0" collapsed="false">
      <c r="A147" s="85" t="n">
        <v>2191833</v>
      </c>
      <c r="B147" s="85" t="s">
        <v>4217</v>
      </c>
      <c r="C147" s="85"/>
      <c r="D147" s="85"/>
      <c r="E147" s="85" t="s">
        <v>1536</v>
      </c>
      <c r="F147" s="85" t="s">
        <v>4218</v>
      </c>
      <c r="G147" s="85" t="n">
        <v>75015</v>
      </c>
      <c r="H147" s="85" t="s">
        <v>36</v>
      </c>
      <c r="I147" s="85" t="n">
        <v>145671518</v>
      </c>
      <c r="K147" s="85" t="n">
        <v>1</v>
      </c>
      <c r="L147" s="85"/>
      <c r="M147" s="86"/>
      <c r="N147" s="87"/>
      <c r="O147" s="87"/>
      <c r="P147" s="88" t="n">
        <v>334.5</v>
      </c>
      <c r="Q147" s="89"/>
      <c r="R147" s="88" t="n">
        <v>47.38</v>
      </c>
      <c r="S147" s="89"/>
      <c r="T147" s="88" t="n">
        <v>0</v>
      </c>
      <c r="U147" s="89"/>
      <c r="V147" s="88" t="n">
        <v>99.46</v>
      </c>
      <c r="W147" s="89"/>
      <c r="X147" s="86" t="n">
        <v>10</v>
      </c>
      <c r="Y147" s="85" t="s">
        <v>3922</v>
      </c>
      <c r="Z147" s="85"/>
    </row>
    <row r="148" customFormat="false" ht="12.75" hidden="true" customHeight="true" outlineLevel="0" collapsed="false">
      <c r="A148" s="85" t="n">
        <v>2192769</v>
      </c>
      <c r="B148" s="85" t="s">
        <v>4219</v>
      </c>
      <c r="C148" s="85"/>
      <c r="D148" s="85"/>
      <c r="E148" s="85" t="s">
        <v>34</v>
      </c>
      <c r="F148" s="85" t="s">
        <v>4220</v>
      </c>
      <c r="G148" s="85" t="n">
        <v>75016</v>
      </c>
      <c r="H148" s="85" t="s">
        <v>36</v>
      </c>
      <c r="I148" s="85" t="n">
        <v>142884818</v>
      </c>
      <c r="K148" s="85" t="n">
        <v>1</v>
      </c>
      <c r="L148" s="85"/>
      <c r="M148" s="86" t="n">
        <v>2</v>
      </c>
      <c r="N148" s="87" t="n">
        <v>44719</v>
      </c>
      <c r="O148" s="87"/>
      <c r="P148" s="88" t="n">
        <v>297.45</v>
      </c>
      <c r="Q148" s="89"/>
      <c r="R148" s="88" t="n">
        <v>1021.38</v>
      </c>
      <c r="S148" s="89"/>
      <c r="T148" s="88" t="n">
        <v>253.74</v>
      </c>
      <c r="U148" s="89"/>
      <c r="V148" s="88" t="n">
        <v>1575.77</v>
      </c>
      <c r="W148" s="89" t="n">
        <v>105</v>
      </c>
      <c r="X148" s="86" t="n">
        <v>7</v>
      </c>
      <c r="Y148" s="85" t="s">
        <v>4024</v>
      </c>
      <c r="Z148" s="85"/>
    </row>
    <row r="149" customFormat="false" ht="12.75" hidden="true" customHeight="true" outlineLevel="0" collapsed="false">
      <c r="A149" s="85" t="n">
        <v>2193275</v>
      </c>
      <c r="B149" s="85" t="s">
        <v>4221</v>
      </c>
      <c r="C149" s="85"/>
      <c r="D149" s="85"/>
      <c r="E149" s="85" t="s">
        <v>2400</v>
      </c>
      <c r="F149" s="85" t="s">
        <v>4222</v>
      </c>
      <c r="G149" s="85" t="n">
        <v>75017</v>
      </c>
      <c r="H149" s="85" t="s">
        <v>36</v>
      </c>
      <c r="I149" s="85" t="n">
        <v>143805861</v>
      </c>
      <c r="K149" s="85" t="n">
        <v>1</v>
      </c>
      <c r="L149" s="85"/>
      <c r="M149" s="86"/>
      <c r="N149" s="87"/>
      <c r="O149" s="87"/>
      <c r="P149" s="88" t="n">
        <v>295.49</v>
      </c>
      <c r="Q149" s="89"/>
      <c r="R149" s="88" t="n">
        <v>2212.63</v>
      </c>
      <c r="S149" s="89" t="n">
        <v>52</v>
      </c>
      <c r="T149" s="88" t="n">
        <v>273.19</v>
      </c>
      <c r="U149" s="89"/>
      <c r="V149" s="88" t="n">
        <v>2206.79</v>
      </c>
      <c r="W149" s="89" t="n">
        <v>48</v>
      </c>
      <c r="X149" s="86" t="n">
        <v>4</v>
      </c>
      <c r="Y149" s="85" t="s">
        <v>3969</v>
      </c>
      <c r="Z149" s="85" t="s">
        <v>4199</v>
      </c>
    </row>
    <row r="150" customFormat="false" ht="12.75" hidden="true" customHeight="true" outlineLevel="0" collapsed="false">
      <c r="A150" s="85" t="n">
        <v>2193427</v>
      </c>
      <c r="B150" s="85" t="s">
        <v>4223</v>
      </c>
      <c r="C150" s="85"/>
      <c r="D150" s="85"/>
      <c r="E150" s="85" t="s">
        <v>2672</v>
      </c>
      <c r="F150" s="85" t="s">
        <v>2780</v>
      </c>
      <c r="G150" s="85" t="n">
        <v>75017</v>
      </c>
      <c r="H150" s="85" t="s">
        <v>36</v>
      </c>
      <c r="I150" s="85" t="n">
        <v>142274694</v>
      </c>
      <c r="K150" s="85" t="n">
        <v>1</v>
      </c>
      <c r="L150" s="85"/>
      <c r="M150" s="86"/>
      <c r="N150" s="87"/>
      <c r="O150" s="87"/>
      <c r="P150" s="88" t="n">
        <v>294.36</v>
      </c>
      <c r="Q150" s="89"/>
      <c r="R150" s="88" t="n">
        <v>785.92</v>
      </c>
      <c r="S150" s="89"/>
      <c r="T150" s="88" t="n">
        <v>294.36</v>
      </c>
      <c r="U150" s="89"/>
      <c r="V150" s="88" t="n">
        <v>956.27</v>
      </c>
      <c r="W150" s="89"/>
      <c r="X150" s="86" t="n">
        <v>9</v>
      </c>
      <c r="Y150" s="85" t="s">
        <v>3926</v>
      </c>
      <c r="Z150" s="85" t="s">
        <v>3927</v>
      </c>
    </row>
    <row r="151" customFormat="false" ht="12.75" hidden="true" customHeight="true" outlineLevel="0" collapsed="false">
      <c r="A151" s="85" t="n">
        <v>2053843</v>
      </c>
      <c r="B151" s="85" t="s">
        <v>4224</v>
      </c>
      <c r="C151" s="85"/>
      <c r="D151" s="85"/>
      <c r="E151" s="85" t="s">
        <v>2928</v>
      </c>
      <c r="F151" s="85" t="s">
        <v>4225</v>
      </c>
      <c r="G151" s="85" t="n">
        <v>75116</v>
      </c>
      <c r="H151" s="85" t="s">
        <v>36</v>
      </c>
      <c r="I151" s="85" t="n">
        <v>145001090</v>
      </c>
      <c r="K151" s="85" t="n">
        <v>1</v>
      </c>
      <c r="L151" s="85"/>
      <c r="M151" s="86"/>
      <c r="N151" s="87"/>
      <c r="O151" s="87"/>
      <c r="P151" s="88" t="n">
        <v>273.18</v>
      </c>
      <c r="Q151" s="89"/>
      <c r="R151" s="88" t="n">
        <v>845.97</v>
      </c>
      <c r="S151" s="89"/>
      <c r="T151" s="88" t="n">
        <v>83.63</v>
      </c>
      <c r="U151" s="89"/>
      <c r="V151" s="88" t="n">
        <v>851.77</v>
      </c>
      <c r="W151" s="89"/>
      <c r="X151" s="86" t="n">
        <v>8</v>
      </c>
      <c r="Y151" s="85"/>
      <c r="Z151" s="85" t="s">
        <v>3927</v>
      </c>
    </row>
    <row r="152" customFormat="false" ht="12.75" hidden="true" customHeight="true" outlineLevel="0" collapsed="false">
      <c r="A152" s="85" t="n">
        <v>2193631</v>
      </c>
      <c r="B152" s="85" t="s">
        <v>4226</v>
      </c>
      <c r="C152" s="85"/>
      <c r="D152" s="85"/>
      <c r="E152" s="85" t="s">
        <v>2672</v>
      </c>
      <c r="F152" s="85" t="s">
        <v>4227</v>
      </c>
      <c r="G152" s="85" t="n">
        <v>75017</v>
      </c>
      <c r="H152" s="85" t="s">
        <v>36</v>
      </c>
      <c r="I152" s="85" t="n">
        <v>145770169</v>
      </c>
      <c r="K152" s="85" t="n">
        <v>1</v>
      </c>
      <c r="L152" s="85"/>
      <c r="M152" s="86"/>
      <c r="N152" s="87"/>
      <c r="O152" s="87"/>
      <c r="P152" s="88" t="n">
        <v>273.18</v>
      </c>
      <c r="Q152" s="89"/>
      <c r="R152" s="88" t="n">
        <v>768.45</v>
      </c>
      <c r="S152" s="89"/>
      <c r="T152" s="88" t="n">
        <v>440.44</v>
      </c>
      <c r="U152" s="89"/>
      <c r="V152" s="88" t="n">
        <v>1161.99</v>
      </c>
      <c r="W152" s="89"/>
      <c r="X152" s="86" t="n">
        <v>9</v>
      </c>
      <c r="Y152" s="85" t="s">
        <v>3937</v>
      </c>
      <c r="Z152" s="85" t="s">
        <v>3927</v>
      </c>
    </row>
    <row r="153" customFormat="false" ht="12.75" hidden="true" customHeight="true" outlineLevel="0" collapsed="false">
      <c r="A153" s="85" t="n">
        <v>2188789</v>
      </c>
      <c r="B153" s="85" t="s">
        <v>4228</v>
      </c>
      <c r="C153" s="85"/>
      <c r="D153" s="85"/>
      <c r="E153" s="85" t="s">
        <v>2672</v>
      </c>
      <c r="F153" s="85" t="s">
        <v>4229</v>
      </c>
      <c r="G153" s="85" t="n">
        <v>75008</v>
      </c>
      <c r="H153" s="85" t="s">
        <v>36</v>
      </c>
      <c r="I153" s="85" t="n">
        <v>145611278</v>
      </c>
      <c r="K153" s="85" t="n">
        <v>1</v>
      </c>
      <c r="L153" s="85"/>
      <c r="M153" s="86" t="n">
        <v>1</v>
      </c>
      <c r="N153" s="87" t="n">
        <v>44683</v>
      </c>
      <c r="O153" s="87"/>
      <c r="P153" s="88" t="n">
        <v>273.18</v>
      </c>
      <c r="Q153" s="89"/>
      <c r="R153" s="88" t="n">
        <v>672.38</v>
      </c>
      <c r="S153" s="89"/>
      <c r="T153" s="88" t="n">
        <v>250.89</v>
      </c>
      <c r="U153" s="89"/>
      <c r="V153" s="88" t="n">
        <v>648.13</v>
      </c>
      <c r="W153" s="89"/>
      <c r="X153" s="86" t="n">
        <v>8</v>
      </c>
      <c r="Y153" s="85" t="s">
        <v>3969</v>
      </c>
      <c r="Z153" s="85"/>
    </row>
    <row r="154" customFormat="false" ht="12.75" hidden="true" customHeight="true" outlineLevel="0" collapsed="false">
      <c r="A154" s="85" t="n">
        <v>2191964</v>
      </c>
      <c r="B154" s="85" t="s">
        <v>4230</v>
      </c>
      <c r="C154" s="85"/>
      <c r="D154" s="85"/>
      <c r="E154" s="85" t="s">
        <v>1536</v>
      </c>
      <c r="F154" s="85" t="s">
        <v>4231</v>
      </c>
      <c r="G154" s="85" t="n">
        <v>75015</v>
      </c>
      <c r="H154" s="85" t="s">
        <v>36</v>
      </c>
      <c r="I154" s="85" t="n">
        <v>147348149</v>
      </c>
      <c r="K154" s="85" t="n">
        <v>1</v>
      </c>
      <c r="L154" s="85"/>
      <c r="M154" s="86"/>
      <c r="N154" s="87"/>
      <c r="O154" s="87"/>
      <c r="P154" s="88" t="n">
        <v>273.18</v>
      </c>
      <c r="Q154" s="89"/>
      <c r="R154" s="88" t="n">
        <v>455.46</v>
      </c>
      <c r="S154" s="89"/>
      <c r="T154" s="88" t="n">
        <v>356.81</v>
      </c>
      <c r="U154" s="89"/>
      <c r="V154" s="88" t="n">
        <v>635.72</v>
      </c>
      <c r="W154" s="89"/>
      <c r="X154" s="86" t="n">
        <v>9</v>
      </c>
      <c r="Y154" s="85" t="s">
        <v>3908</v>
      </c>
      <c r="Z154" s="85"/>
    </row>
    <row r="155" customFormat="false" ht="12.75" hidden="true" customHeight="true" outlineLevel="0" collapsed="false">
      <c r="A155" s="85" t="n">
        <v>2052263</v>
      </c>
      <c r="B155" s="85" t="s">
        <v>4232</v>
      </c>
      <c r="C155" s="85"/>
      <c r="D155" s="85"/>
      <c r="E155" s="85" t="s">
        <v>2672</v>
      </c>
      <c r="F155" s="85" t="s">
        <v>4233</v>
      </c>
      <c r="G155" s="85" t="n">
        <v>75008</v>
      </c>
      <c r="H155" s="85" t="s">
        <v>36</v>
      </c>
      <c r="I155" s="85" t="n">
        <v>142672760</v>
      </c>
      <c r="K155" s="85" t="n">
        <v>1</v>
      </c>
      <c r="L155" s="85" t="n">
        <v>1</v>
      </c>
      <c r="M155" s="86"/>
      <c r="N155" s="87"/>
      <c r="O155" s="87"/>
      <c r="P155" s="88" t="n">
        <v>267.6</v>
      </c>
      <c r="Q155" s="89"/>
      <c r="R155" s="88" t="n">
        <v>3114.48</v>
      </c>
      <c r="S155" s="89" t="n">
        <v>20</v>
      </c>
      <c r="T155" s="88" t="n">
        <v>150.53</v>
      </c>
      <c r="U155" s="89"/>
      <c r="V155" s="88" t="n">
        <v>2897.69</v>
      </c>
      <c r="W155" s="89" t="n">
        <v>22</v>
      </c>
      <c r="X155" s="86" t="n">
        <v>2</v>
      </c>
      <c r="Y155" s="85" t="s">
        <v>3947</v>
      </c>
      <c r="Z155" s="85" t="s">
        <v>4234</v>
      </c>
    </row>
    <row r="156" customFormat="false" ht="12.75" hidden="true" customHeight="true" outlineLevel="0" collapsed="false">
      <c r="A156" s="85" t="n">
        <v>2193343</v>
      </c>
      <c r="B156" s="85" t="s">
        <v>4235</v>
      </c>
      <c r="C156" s="85"/>
      <c r="D156" s="85"/>
      <c r="E156" s="85" t="s">
        <v>2672</v>
      </c>
      <c r="F156" s="85" t="s">
        <v>4236</v>
      </c>
      <c r="G156" s="85" t="n">
        <v>75017</v>
      </c>
      <c r="H156" s="85" t="s">
        <v>36</v>
      </c>
      <c r="I156" s="85" t="n">
        <v>145742603</v>
      </c>
      <c r="K156" s="85"/>
      <c r="L156" s="85"/>
      <c r="M156" s="86"/>
      <c r="N156" s="87"/>
      <c r="O156" s="87"/>
      <c r="P156" s="88" t="n">
        <v>246.24</v>
      </c>
      <c r="Q156" s="89"/>
      <c r="R156" s="88" t="n">
        <v>392.82</v>
      </c>
      <c r="S156" s="89"/>
      <c r="T156" s="88" t="n">
        <v>268.31</v>
      </c>
      <c r="U156" s="89"/>
      <c r="V156" s="88" t="n">
        <v>497.91</v>
      </c>
      <c r="W156" s="89"/>
      <c r="X156" s="86" t="n">
        <v>9</v>
      </c>
      <c r="Y156" s="85" t="s">
        <v>3954</v>
      </c>
      <c r="Z156" s="85"/>
    </row>
    <row r="157" customFormat="false" ht="12.75" hidden="true" customHeight="true" outlineLevel="0" collapsed="false">
      <c r="A157" s="85" t="n">
        <v>2188527</v>
      </c>
      <c r="B157" s="85" t="s">
        <v>4237</v>
      </c>
      <c r="C157" s="85"/>
      <c r="D157" s="85"/>
      <c r="E157" s="85" t="s">
        <v>1124</v>
      </c>
      <c r="F157" s="85" t="s">
        <v>4238</v>
      </c>
      <c r="G157" s="85" t="n">
        <v>75007</v>
      </c>
      <c r="H157" s="85" t="s">
        <v>36</v>
      </c>
      <c r="I157" s="85" t="n">
        <v>145514023</v>
      </c>
      <c r="K157" s="85" t="n">
        <v>1</v>
      </c>
      <c r="L157" s="85"/>
      <c r="M157" s="86"/>
      <c r="N157" s="87"/>
      <c r="O157" s="87"/>
      <c r="P157" s="88" t="n">
        <v>217.43</v>
      </c>
      <c r="Q157" s="89"/>
      <c r="R157" s="88" t="n">
        <v>1333.29</v>
      </c>
      <c r="S157" s="89" t="n">
        <v>120</v>
      </c>
      <c r="T157" s="88" t="n">
        <v>724.76</v>
      </c>
      <c r="U157" s="89" t="n">
        <f aca="false">RANK($T157,$T$2:$T$121)</f>
        <v>68</v>
      </c>
      <c r="V157" s="88" t="n">
        <v>923.08</v>
      </c>
      <c r="W157" s="89"/>
      <c r="X157" s="86" t="n">
        <v>5</v>
      </c>
      <c r="Y157" s="85" t="s">
        <v>3926</v>
      </c>
      <c r="Z157" s="85" t="s">
        <v>3955</v>
      </c>
    </row>
    <row r="158" customFormat="false" ht="12.75" hidden="true" customHeight="true" outlineLevel="0" collapsed="false">
      <c r="A158" s="85" t="n">
        <v>2192863</v>
      </c>
      <c r="B158" s="85" t="s">
        <v>4239</v>
      </c>
      <c r="C158" s="85"/>
      <c r="D158" s="85"/>
      <c r="E158" s="85" t="s">
        <v>34</v>
      </c>
      <c r="F158" s="85" t="s">
        <v>4240</v>
      </c>
      <c r="G158" s="85" t="n">
        <v>75016</v>
      </c>
      <c r="H158" s="85" t="s">
        <v>36</v>
      </c>
      <c r="I158" s="85" t="n">
        <v>145270162</v>
      </c>
      <c r="K158" s="85"/>
      <c r="L158" s="85"/>
      <c r="M158" s="86"/>
      <c r="N158" s="87"/>
      <c r="O158" s="87"/>
      <c r="P158" s="88" t="n">
        <v>189.56</v>
      </c>
      <c r="Q158" s="89"/>
      <c r="R158" s="88" t="n">
        <v>2230.68</v>
      </c>
      <c r="S158" s="89" t="n">
        <v>50</v>
      </c>
      <c r="T158" s="88" t="n">
        <v>273.19</v>
      </c>
      <c r="U158" s="89"/>
      <c r="V158" s="88" t="n">
        <v>2670.97</v>
      </c>
      <c r="W158" s="89" t="n">
        <v>26</v>
      </c>
      <c r="X158" s="86" t="n">
        <v>8</v>
      </c>
      <c r="Y158" s="85" t="s">
        <v>3922</v>
      </c>
      <c r="Z158" s="85"/>
    </row>
    <row r="159" customFormat="false" ht="12.75" hidden="true" customHeight="true" outlineLevel="0" collapsed="false">
      <c r="A159" s="85" t="n">
        <v>2192025</v>
      </c>
      <c r="B159" s="85" t="s">
        <v>4241</v>
      </c>
      <c r="C159" s="85"/>
      <c r="D159" s="85"/>
      <c r="E159" s="85" t="s">
        <v>3238</v>
      </c>
      <c r="F159" s="85" t="s">
        <v>4242</v>
      </c>
      <c r="G159" s="85" t="n">
        <v>75015</v>
      </c>
      <c r="H159" s="85" t="s">
        <v>36</v>
      </c>
      <c r="I159" s="85" t="n">
        <v>148289698</v>
      </c>
      <c r="K159" s="85" t="n">
        <v>1</v>
      </c>
      <c r="L159" s="85"/>
      <c r="M159" s="86"/>
      <c r="N159" s="87"/>
      <c r="O159" s="87"/>
      <c r="P159" s="88" t="n">
        <v>189.55</v>
      </c>
      <c r="Q159" s="89"/>
      <c r="R159" s="88" t="n">
        <v>2541.13</v>
      </c>
      <c r="S159" s="89" t="n">
        <v>36</v>
      </c>
      <c r="T159" s="88" t="n">
        <v>356.8</v>
      </c>
      <c r="U159" s="89"/>
      <c r="V159" s="88" t="n">
        <v>1654.54</v>
      </c>
      <c r="W159" s="89" t="n">
        <v>100</v>
      </c>
      <c r="X159" s="86" t="n">
        <v>5</v>
      </c>
      <c r="Y159" s="85" t="s">
        <v>3919</v>
      </c>
      <c r="Z159" s="85"/>
    </row>
    <row r="160" customFormat="false" ht="12.75" hidden="true" customHeight="true" outlineLevel="0" collapsed="false">
      <c r="A160" s="85" t="n">
        <v>2192161</v>
      </c>
      <c r="B160" s="85" t="s">
        <v>3987</v>
      </c>
      <c r="C160" s="85"/>
      <c r="D160" s="85"/>
      <c r="E160" s="85" t="s">
        <v>1536</v>
      </c>
      <c r="F160" s="85" t="s">
        <v>4243</v>
      </c>
      <c r="G160" s="85" t="n">
        <v>75015</v>
      </c>
      <c r="H160" s="85" t="s">
        <v>36</v>
      </c>
      <c r="I160" s="85" t="n">
        <v>142223115</v>
      </c>
      <c r="K160" s="85" t="n">
        <v>1</v>
      </c>
      <c r="L160" s="85" t="n">
        <v>1</v>
      </c>
      <c r="M160" s="86"/>
      <c r="N160" s="87"/>
      <c r="O160" s="87"/>
      <c r="P160" s="88" t="n">
        <v>189.55</v>
      </c>
      <c r="Q160" s="89"/>
      <c r="R160" s="88" t="n">
        <v>2363.15</v>
      </c>
      <c r="S160" s="89" t="n">
        <v>42</v>
      </c>
      <c r="T160" s="88" t="n">
        <v>356.81</v>
      </c>
      <c r="U160" s="89"/>
      <c r="V160" s="88" t="n">
        <v>2168.7</v>
      </c>
      <c r="W160" s="89" t="n">
        <v>49</v>
      </c>
      <c r="X160" s="86" t="n">
        <v>6</v>
      </c>
      <c r="Y160" s="85" t="s">
        <v>4024</v>
      </c>
      <c r="Z160" s="85" t="s">
        <v>3955</v>
      </c>
    </row>
    <row r="161" customFormat="false" ht="12.75" hidden="true" customHeight="true" outlineLevel="0" collapsed="false">
      <c r="A161" s="85" t="n">
        <v>2192402</v>
      </c>
      <c r="B161" s="85" t="s">
        <v>4244</v>
      </c>
      <c r="C161" s="85"/>
      <c r="D161" s="85"/>
      <c r="E161" s="85" t="s">
        <v>645</v>
      </c>
      <c r="F161" s="85" t="s">
        <v>4245</v>
      </c>
      <c r="G161" s="85" t="n">
        <v>75015</v>
      </c>
      <c r="H161" s="85" t="s">
        <v>36</v>
      </c>
      <c r="I161" s="85" t="n">
        <v>148283114</v>
      </c>
      <c r="K161" s="85" t="n">
        <v>1</v>
      </c>
      <c r="L161" s="85" t="n">
        <v>1</v>
      </c>
      <c r="M161" s="86" t="n">
        <v>2</v>
      </c>
      <c r="N161" s="87" t="n">
        <v>44673</v>
      </c>
      <c r="O161" s="87"/>
      <c r="P161" s="88" t="n">
        <v>189.55</v>
      </c>
      <c r="Q161" s="89"/>
      <c r="R161" s="88" t="n">
        <v>1055.43</v>
      </c>
      <c r="S161" s="89"/>
      <c r="T161" s="88" t="n">
        <v>440.44</v>
      </c>
      <c r="U161" s="89" t="n">
        <f aca="false">RANK($T161,$T$2:$T$121)</f>
        <v>102</v>
      </c>
      <c r="V161" s="88" t="n">
        <v>1186.47</v>
      </c>
      <c r="W161" s="89"/>
      <c r="X161" s="86" t="n">
        <v>8</v>
      </c>
      <c r="Y161" s="85"/>
      <c r="Z161" s="85" t="s">
        <v>3904</v>
      </c>
    </row>
    <row r="162" customFormat="false" ht="12.75" hidden="true" customHeight="true" outlineLevel="0" collapsed="false">
      <c r="A162" s="85" t="n">
        <v>2053581</v>
      </c>
      <c r="B162" s="85" t="s">
        <v>4246</v>
      </c>
      <c r="C162" s="85"/>
      <c r="D162" s="85"/>
      <c r="E162" s="85" t="s">
        <v>645</v>
      </c>
      <c r="F162" s="85" t="s">
        <v>4247</v>
      </c>
      <c r="G162" s="85" t="n">
        <v>75015</v>
      </c>
      <c r="H162" s="85" t="s">
        <v>36</v>
      </c>
      <c r="I162" s="85" t="n">
        <v>145773330</v>
      </c>
      <c r="K162" s="85" t="n">
        <v>1</v>
      </c>
      <c r="L162" s="85"/>
      <c r="M162" s="86"/>
      <c r="N162" s="87"/>
      <c r="O162" s="87"/>
      <c r="P162" s="88" t="n">
        <v>189.55</v>
      </c>
      <c r="Q162" s="89"/>
      <c r="R162" s="88" t="n">
        <v>991.73</v>
      </c>
      <c r="S162" s="89"/>
      <c r="T162" s="88" t="n">
        <v>83.63</v>
      </c>
      <c r="U162" s="89"/>
      <c r="V162" s="88" t="n">
        <v>963.03</v>
      </c>
      <c r="W162" s="89"/>
      <c r="X162" s="86" t="n">
        <v>7</v>
      </c>
      <c r="Y162" s="85" t="s">
        <v>3961</v>
      </c>
      <c r="Z162" s="85"/>
    </row>
    <row r="163" customFormat="false" ht="12.75" hidden="true" customHeight="true" outlineLevel="0" collapsed="false">
      <c r="A163" s="85" t="n">
        <v>2271913</v>
      </c>
      <c r="B163" s="85" t="s">
        <v>4248</v>
      </c>
      <c r="C163" s="85"/>
      <c r="D163" s="85"/>
      <c r="E163" s="85" t="s">
        <v>3401</v>
      </c>
      <c r="F163" s="85" t="s">
        <v>4249</v>
      </c>
      <c r="G163" s="85" t="n">
        <v>92300</v>
      </c>
      <c r="H163" s="85" t="s">
        <v>3403</v>
      </c>
      <c r="I163" s="85" t="n">
        <v>147394146</v>
      </c>
      <c r="K163" s="85"/>
      <c r="L163" s="85"/>
      <c r="M163" s="86"/>
      <c r="N163" s="87"/>
      <c r="O163" s="87"/>
      <c r="P163" s="88" t="n">
        <v>189.55</v>
      </c>
      <c r="Q163" s="89"/>
      <c r="R163" s="88" t="n">
        <v>962.99</v>
      </c>
      <c r="S163" s="89"/>
      <c r="T163" s="88" t="n">
        <v>479.45</v>
      </c>
      <c r="U163" s="89" t="n">
        <f aca="false">RANK($T163,$T$2:$T$121)</f>
        <v>99</v>
      </c>
      <c r="V163" s="88" t="n">
        <v>1906.52</v>
      </c>
      <c r="W163" s="89" t="n">
        <v>66</v>
      </c>
      <c r="X163" s="86" t="n">
        <v>9</v>
      </c>
      <c r="Y163" s="85" t="s">
        <v>3919</v>
      </c>
      <c r="Z163" s="85"/>
    </row>
    <row r="164" customFormat="false" ht="12.75" hidden="true" customHeight="true" outlineLevel="0" collapsed="false">
      <c r="A164" s="85" t="n">
        <v>2191943</v>
      </c>
      <c r="B164" s="85" t="s">
        <v>4250</v>
      </c>
      <c r="C164" s="85"/>
      <c r="D164" s="85"/>
      <c r="E164" s="85" t="s">
        <v>1536</v>
      </c>
      <c r="F164" s="85" t="s">
        <v>4251</v>
      </c>
      <c r="G164" s="85" t="n">
        <v>75015</v>
      </c>
      <c r="H164" s="85" t="s">
        <v>36</v>
      </c>
      <c r="I164" s="85" t="n">
        <v>147347048</v>
      </c>
      <c r="K164" s="85" t="n">
        <v>1</v>
      </c>
      <c r="L164" s="85"/>
      <c r="M164" s="86"/>
      <c r="N164" s="87"/>
      <c r="O164" s="87"/>
      <c r="P164" s="88" t="n">
        <v>189.55</v>
      </c>
      <c r="Q164" s="89"/>
      <c r="R164" s="88" t="n">
        <v>950.13</v>
      </c>
      <c r="S164" s="89"/>
      <c r="T164" s="88" t="n">
        <v>287.67</v>
      </c>
      <c r="U164" s="89"/>
      <c r="V164" s="88" t="n">
        <v>539.29</v>
      </c>
      <c r="W164" s="89"/>
      <c r="X164" s="86" t="n">
        <v>10</v>
      </c>
      <c r="Y164" s="85" t="s">
        <v>4045</v>
      </c>
      <c r="Z164" s="85" t="s">
        <v>3927</v>
      </c>
    </row>
    <row r="165" customFormat="false" ht="12.75" hidden="true" customHeight="true" outlineLevel="0" collapsed="false">
      <c r="A165" s="85" t="n">
        <v>2188710</v>
      </c>
      <c r="B165" s="85" t="s">
        <v>4252</v>
      </c>
      <c r="C165" s="85"/>
      <c r="D165" s="85"/>
      <c r="E165" s="85" t="s">
        <v>2672</v>
      </c>
      <c r="F165" s="85" t="s">
        <v>4253</v>
      </c>
      <c r="G165" s="85" t="n">
        <v>75008</v>
      </c>
      <c r="H165" s="85" t="s">
        <v>36</v>
      </c>
      <c r="I165" s="85" t="n">
        <v>143593550</v>
      </c>
      <c r="K165" s="85" t="n">
        <v>1</v>
      </c>
      <c r="L165" s="85"/>
      <c r="M165" s="86"/>
      <c r="N165" s="87"/>
      <c r="O165" s="87"/>
      <c r="P165" s="88" t="n">
        <v>189.55</v>
      </c>
      <c r="Q165" s="89"/>
      <c r="R165" s="88" t="n">
        <v>869.58</v>
      </c>
      <c r="S165" s="89"/>
      <c r="T165" s="88" t="n">
        <v>189.55</v>
      </c>
      <c r="U165" s="89"/>
      <c r="V165" s="88" t="n">
        <v>598.51</v>
      </c>
      <c r="W165" s="89"/>
      <c r="X165" s="86" t="n">
        <v>4</v>
      </c>
      <c r="Y165" s="85" t="s">
        <v>3989</v>
      </c>
      <c r="Z165" s="85"/>
    </row>
    <row r="166" customFormat="false" ht="12.75" hidden="true" customHeight="true" outlineLevel="0" collapsed="false">
      <c r="A166" s="85" t="n">
        <v>2188600</v>
      </c>
      <c r="B166" s="85" t="s">
        <v>4254</v>
      </c>
      <c r="C166" s="85"/>
      <c r="D166" s="85"/>
      <c r="E166" s="85" t="s">
        <v>1124</v>
      </c>
      <c r="F166" s="85" t="s">
        <v>4255</v>
      </c>
      <c r="G166" s="85" t="n">
        <v>75007</v>
      </c>
      <c r="H166" s="85" t="s">
        <v>36</v>
      </c>
      <c r="I166" s="85" t="n">
        <v>145487270</v>
      </c>
      <c r="K166" s="85" t="n">
        <v>1</v>
      </c>
      <c r="L166" s="85"/>
      <c r="M166" s="86" t="n">
        <v>2</v>
      </c>
      <c r="N166" s="87" t="n">
        <v>44671</v>
      </c>
      <c r="O166" s="87"/>
      <c r="P166" s="88" t="n">
        <v>189.55</v>
      </c>
      <c r="Q166" s="89"/>
      <c r="R166" s="88" t="n">
        <v>346.01</v>
      </c>
      <c r="S166" s="89"/>
      <c r="T166" s="88" t="n">
        <v>273.18</v>
      </c>
      <c r="U166" s="89"/>
      <c r="V166" s="88" t="n">
        <v>458.01</v>
      </c>
      <c r="W166" s="89"/>
      <c r="X166" s="86" t="n">
        <v>5</v>
      </c>
      <c r="Y166" s="85" t="s">
        <v>3969</v>
      </c>
      <c r="Z166" s="85"/>
    </row>
    <row r="167" customFormat="false" ht="12.75" hidden="true" customHeight="true" outlineLevel="0" collapsed="false">
      <c r="A167" s="85" t="n">
        <v>2188642</v>
      </c>
      <c r="B167" s="85" t="s">
        <v>4256</v>
      </c>
      <c r="C167" s="85"/>
      <c r="D167" s="85"/>
      <c r="E167" s="85" t="s">
        <v>1124</v>
      </c>
      <c r="F167" s="85" t="s">
        <v>4257</v>
      </c>
      <c r="G167" s="85" t="n">
        <v>75007</v>
      </c>
      <c r="H167" s="85" t="s">
        <v>36</v>
      </c>
      <c r="I167" s="85" t="n">
        <v>147055854</v>
      </c>
      <c r="K167" s="85" t="n">
        <v>1</v>
      </c>
      <c r="L167" s="85"/>
      <c r="M167" s="86"/>
      <c r="N167" s="87"/>
      <c r="O167" s="87"/>
      <c r="P167" s="88" t="n">
        <v>144.95</v>
      </c>
      <c r="Q167" s="89"/>
      <c r="R167" s="88" t="n">
        <v>800.6</v>
      </c>
      <c r="S167" s="89"/>
      <c r="T167" s="88" t="n">
        <v>228.58</v>
      </c>
      <c r="U167" s="89"/>
      <c r="V167" s="88" t="n">
        <v>840.48</v>
      </c>
      <c r="W167" s="89"/>
      <c r="X167" s="86" t="n">
        <v>6</v>
      </c>
      <c r="Y167" s="85"/>
      <c r="Z167" s="85" t="s">
        <v>3927</v>
      </c>
    </row>
    <row r="168" customFormat="false" ht="12.75" hidden="true" customHeight="true" outlineLevel="0" collapsed="false">
      <c r="A168" s="85" t="n">
        <v>2188883</v>
      </c>
      <c r="B168" s="85" t="s">
        <v>4258</v>
      </c>
      <c r="C168" s="85"/>
      <c r="D168" s="85"/>
      <c r="E168" s="85" t="s">
        <v>357</v>
      </c>
      <c r="F168" s="85" t="s">
        <v>4259</v>
      </c>
      <c r="G168" s="85" t="n">
        <v>75008</v>
      </c>
      <c r="H168" s="85" t="s">
        <v>36</v>
      </c>
      <c r="I168" s="85" t="n">
        <v>145637326</v>
      </c>
      <c r="K168" s="85"/>
      <c r="L168" s="85"/>
      <c r="M168" s="86"/>
      <c r="N168" s="87"/>
      <c r="O168" s="87"/>
      <c r="P168" s="88" t="n">
        <v>138.24</v>
      </c>
      <c r="Q168" s="89"/>
      <c r="R168" s="88" t="n">
        <v>326.31</v>
      </c>
      <c r="S168" s="89"/>
      <c r="T168" s="88" t="n">
        <v>196.2</v>
      </c>
      <c r="U168" s="89"/>
      <c r="V168" s="88" t="n">
        <v>322.53</v>
      </c>
      <c r="W168" s="89"/>
      <c r="X168" s="86" t="n">
        <v>10</v>
      </c>
      <c r="Y168" s="85" t="s">
        <v>4024</v>
      </c>
      <c r="Z168" s="85"/>
    </row>
    <row r="169" customFormat="false" ht="12.75" hidden="true" customHeight="true" outlineLevel="0" collapsed="false">
      <c r="A169" s="85" t="n">
        <v>2188396</v>
      </c>
      <c r="B169" s="85" t="s">
        <v>4260</v>
      </c>
      <c r="C169" s="85"/>
      <c r="D169" s="85"/>
      <c r="E169" s="85" t="s">
        <v>1124</v>
      </c>
      <c r="F169" s="85" t="s">
        <v>4261</v>
      </c>
      <c r="G169" s="85" t="n">
        <v>75007</v>
      </c>
      <c r="H169" s="85" t="s">
        <v>36</v>
      </c>
      <c r="I169" s="85" t="n">
        <v>147054930</v>
      </c>
      <c r="K169" s="85"/>
      <c r="L169" s="85"/>
      <c r="M169" s="86"/>
      <c r="N169" s="87"/>
      <c r="O169" s="87"/>
      <c r="P169" s="88" t="n">
        <v>119.07</v>
      </c>
      <c r="Q169" s="89"/>
      <c r="R169" s="88" t="n">
        <v>224.4</v>
      </c>
      <c r="S169" s="89"/>
      <c r="T169" s="88" t="n">
        <v>78.48</v>
      </c>
      <c r="U169" s="89"/>
      <c r="V169" s="88" t="n">
        <v>350.44</v>
      </c>
      <c r="W169" s="89"/>
      <c r="X169" s="86" t="n">
        <v>10</v>
      </c>
      <c r="Y169" s="85" t="s">
        <v>4024</v>
      </c>
      <c r="Z169" s="85"/>
    </row>
    <row r="170" customFormat="false" ht="12.75" hidden="true" customHeight="true" outlineLevel="0" collapsed="false">
      <c r="A170" s="85" t="n">
        <v>2228082</v>
      </c>
      <c r="B170" s="85" t="s">
        <v>4262</v>
      </c>
      <c r="C170" s="85"/>
      <c r="D170" s="85"/>
      <c r="E170" s="85" t="s">
        <v>3401</v>
      </c>
      <c r="F170" s="85" t="s">
        <v>3594</v>
      </c>
      <c r="G170" s="85" t="n">
        <v>92300</v>
      </c>
      <c r="H170" s="85" t="s">
        <v>3403</v>
      </c>
      <c r="I170" s="85" t="n">
        <v>142709595</v>
      </c>
      <c r="K170" s="85" t="n">
        <v>1</v>
      </c>
      <c r="L170" s="85"/>
      <c r="M170" s="86"/>
      <c r="N170" s="87"/>
      <c r="O170" s="87"/>
      <c r="P170" s="88" t="n">
        <v>105.93</v>
      </c>
      <c r="Q170" s="89"/>
      <c r="R170" s="88" t="n">
        <v>3321.98</v>
      </c>
      <c r="S170" s="89" t="n">
        <v>18</v>
      </c>
      <c r="T170" s="88" t="n">
        <v>0</v>
      </c>
      <c r="U170" s="89"/>
      <c r="V170" s="88" t="n">
        <v>3244.85</v>
      </c>
      <c r="W170" s="89" t="n">
        <v>16</v>
      </c>
      <c r="X170" s="86" t="n">
        <v>7</v>
      </c>
      <c r="Y170" s="85" t="s">
        <v>4104</v>
      </c>
      <c r="Z170" s="85" t="s">
        <v>3955</v>
      </c>
    </row>
    <row r="171" customFormat="false" ht="12.75" hidden="true" customHeight="true" outlineLevel="0" collapsed="false">
      <c r="A171" s="85" t="n">
        <v>2228847</v>
      </c>
      <c r="B171" s="85" t="s">
        <v>4263</v>
      </c>
      <c r="C171" s="85"/>
      <c r="D171" s="85"/>
      <c r="E171" s="85" t="s">
        <v>3621</v>
      </c>
      <c r="F171" s="85" t="s">
        <v>4264</v>
      </c>
      <c r="G171" s="85" t="n">
        <v>92200</v>
      </c>
      <c r="H171" s="85" t="s">
        <v>3932</v>
      </c>
      <c r="I171" s="85" t="n">
        <v>146240406</v>
      </c>
      <c r="K171" s="85" t="n">
        <v>1</v>
      </c>
      <c r="L171" s="85" t="n">
        <v>1</v>
      </c>
      <c r="M171" s="86"/>
      <c r="N171" s="87"/>
      <c r="O171" s="87"/>
      <c r="P171" s="88" t="n">
        <v>105.93</v>
      </c>
      <c r="Q171" s="89"/>
      <c r="R171" s="88" t="n">
        <v>806.49</v>
      </c>
      <c r="S171" s="89"/>
      <c r="T171" s="88" t="n">
        <v>0</v>
      </c>
      <c r="U171" s="89"/>
      <c r="V171" s="88" t="n">
        <v>1341</v>
      </c>
      <c r="W171" s="89"/>
      <c r="X171" s="86" t="n">
        <v>7</v>
      </c>
      <c r="Y171" s="85" t="s">
        <v>3954</v>
      </c>
      <c r="Z171" s="85"/>
    </row>
    <row r="172" customFormat="false" ht="12.75" hidden="true" customHeight="true" outlineLevel="0" collapsed="false">
      <c r="A172" s="85" t="n">
        <v>2192491</v>
      </c>
      <c r="B172" s="85" t="s">
        <v>4265</v>
      </c>
      <c r="C172" s="85"/>
      <c r="D172" s="85"/>
      <c r="E172" s="85" t="s">
        <v>645</v>
      </c>
      <c r="F172" s="85" t="s">
        <v>1086</v>
      </c>
      <c r="G172" s="85" t="n">
        <v>75015</v>
      </c>
      <c r="H172" s="85" t="s">
        <v>36</v>
      </c>
      <c r="I172" s="85" t="n">
        <v>147341145</v>
      </c>
      <c r="K172" s="85" t="n">
        <v>1</v>
      </c>
      <c r="L172" s="85"/>
      <c r="M172" s="86"/>
      <c r="N172" s="87"/>
      <c r="O172" s="87"/>
      <c r="P172" s="88" t="n">
        <v>105.93</v>
      </c>
      <c r="Q172" s="89"/>
      <c r="R172" s="88" t="n">
        <v>710.82</v>
      </c>
      <c r="S172" s="89"/>
      <c r="T172" s="88" t="n">
        <v>105.93</v>
      </c>
      <c r="U172" s="89"/>
      <c r="V172" s="88" t="n">
        <v>517.87</v>
      </c>
      <c r="W172" s="89"/>
      <c r="X172" s="86" t="n">
        <v>10</v>
      </c>
      <c r="Y172" s="85"/>
      <c r="Z172" s="85" t="s">
        <v>3927</v>
      </c>
    </row>
    <row r="173" customFormat="false" ht="12.75" hidden="true" customHeight="true" outlineLevel="0" collapsed="false">
      <c r="A173" s="85" t="n">
        <v>2053707</v>
      </c>
      <c r="B173" s="85" t="s">
        <v>4266</v>
      </c>
      <c r="C173" s="85"/>
      <c r="D173" s="85"/>
      <c r="E173" s="85" t="s">
        <v>2132</v>
      </c>
      <c r="F173" s="85" t="s">
        <v>4267</v>
      </c>
      <c r="G173" s="85" t="n">
        <v>75116</v>
      </c>
      <c r="H173" s="85" t="s">
        <v>36</v>
      </c>
      <c r="I173" s="85" t="n">
        <v>145046987</v>
      </c>
      <c r="K173" s="85"/>
      <c r="L173" s="85"/>
      <c r="M173" s="86"/>
      <c r="N173" s="87"/>
      <c r="O173" s="87"/>
      <c r="P173" s="88" t="n">
        <v>105.93</v>
      </c>
      <c r="Q173" s="89"/>
      <c r="R173" s="88" t="n">
        <v>246.22</v>
      </c>
      <c r="S173" s="89"/>
      <c r="T173" s="88" t="n">
        <v>0</v>
      </c>
      <c r="U173" s="89"/>
      <c r="V173" s="88" t="n">
        <v>168.84</v>
      </c>
      <c r="W173" s="89"/>
      <c r="X173" s="86" t="n">
        <v>9</v>
      </c>
      <c r="Y173" s="85"/>
      <c r="Z173" s="85"/>
    </row>
    <row r="174" customFormat="false" ht="12.75" hidden="true" customHeight="true" outlineLevel="0" collapsed="false">
      <c r="A174" s="85" t="n">
        <v>2191922</v>
      </c>
      <c r="B174" s="85" t="s">
        <v>4268</v>
      </c>
      <c r="C174" s="85"/>
      <c r="D174" s="85"/>
      <c r="E174" s="85" t="s">
        <v>1536</v>
      </c>
      <c r="F174" s="85" t="s">
        <v>4269</v>
      </c>
      <c r="G174" s="85" t="n">
        <v>75015</v>
      </c>
      <c r="H174" s="85" t="s">
        <v>36</v>
      </c>
      <c r="I174" s="85" t="n">
        <v>981432141</v>
      </c>
      <c r="K174" s="85"/>
      <c r="L174" s="85"/>
      <c r="M174" s="86"/>
      <c r="N174" s="87"/>
      <c r="O174" s="87"/>
      <c r="P174" s="88" t="n">
        <v>100.35</v>
      </c>
      <c r="Q174" s="89"/>
      <c r="R174" s="88" t="n">
        <v>105.76</v>
      </c>
      <c r="S174" s="89"/>
      <c r="T174" s="88" t="n">
        <v>0</v>
      </c>
      <c r="U174" s="89"/>
      <c r="V174" s="88" t="n">
        <v>115.7008</v>
      </c>
      <c r="W174" s="89"/>
      <c r="X174" s="86" t="n">
        <v>10</v>
      </c>
      <c r="Y174" s="85"/>
      <c r="Z174" s="85"/>
    </row>
    <row r="175" customFormat="false" ht="12.75" hidden="true" customHeight="true" outlineLevel="0" collapsed="false">
      <c r="A175" s="85" t="n">
        <v>2228716</v>
      </c>
      <c r="B175" s="85" t="s">
        <v>4270</v>
      </c>
      <c r="C175" s="85"/>
      <c r="D175" s="85"/>
      <c r="E175" s="85" t="s">
        <v>3621</v>
      </c>
      <c r="F175" s="85" t="s">
        <v>4271</v>
      </c>
      <c r="G175" s="85" t="n">
        <v>92200</v>
      </c>
      <c r="H175" s="85" t="s">
        <v>3932</v>
      </c>
      <c r="I175" s="85" t="n">
        <v>146240317</v>
      </c>
      <c r="K175" s="85"/>
      <c r="L175" s="85"/>
      <c r="M175" s="86"/>
      <c r="N175" s="87"/>
      <c r="O175" s="87"/>
      <c r="P175" s="88" t="n">
        <v>98.1</v>
      </c>
      <c r="Q175" s="89"/>
      <c r="R175" s="88" t="n">
        <v>176.76</v>
      </c>
      <c r="S175" s="89"/>
      <c r="T175" s="88" t="n">
        <v>215.82</v>
      </c>
      <c r="U175" s="89"/>
      <c r="V175" s="88" t="n">
        <v>201.9</v>
      </c>
      <c r="W175" s="89"/>
      <c r="X175" s="86" t="n">
        <v>10</v>
      </c>
      <c r="Y175" s="85" t="s">
        <v>4024</v>
      </c>
      <c r="Z175" s="85"/>
    </row>
    <row r="176" customFormat="false" ht="12.75" hidden="true" customHeight="true" outlineLevel="0" collapsed="false">
      <c r="A176" s="85" t="n">
        <v>2188595</v>
      </c>
      <c r="B176" s="85" t="s">
        <v>4272</v>
      </c>
      <c r="C176" s="85"/>
      <c r="D176" s="85"/>
      <c r="E176" s="85" t="s">
        <v>1124</v>
      </c>
      <c r="F176" s="85" t="s">
        <v>4273</v>
      </c>
      <c r="G176" s="85" t="n">
        <v>75007</v>
      </c>
      <c r="H176" s="85" t="s">
        <v>36</v>
      </c>
      <c r="I176" s="85" t="n">
        <v>145516516</v>
      </c>
      <c r="K176" s="85"/>
      <c r="L176" s="85"/>
      <c r="M176" s="86"/>
      <c r="N176" s="87"/>
      <c r="O176" s="87"/>
      <c r="P176" s="88" t="n">
        <v>89.2</v>
      </c>
      <c r="Q176" s="89"/>
      <c r="R176" s="88" t="n">
        <v>56.28</v>
      </c>
      <c r="S176" s="89"/>
      <c r="T176" s="88" t="n">
        <v>172.83</v>
      </c>
      <c r="U176" s="89"/>
      <c r="V176" s="88" t="n">
        <v>113.66</v>
      </c>
      <c r="W176" s="89"/>
      <c r="X176" s="86" t="n">
        <v>9</v>
      </c>
      <c r="Y176" s="85"/>
      <c r="Z176" s="85"/>
    </row>
    <row r="177" customFormat="false" ht="12.75" hidden="true" customHeight="true" outlineLevel="0" collapsed="false">
      <c r="A177" s="85" t="n">
        <v>2054150</v>
      </c>
      <c r="B177" s="85" t="s">
        <v>4274</v>
      </c>
      <c r="C177" s="85"/>
      <c r="D177" s="85"/>
      <c r="E177" s="85" t="s">
        <v>2672</v>
      </c>
      <c r="F177" s="85" t="s">
        <v>4275</v>
      </c>
      <c r="G177" s="85" t="n">
        <v>75017</v>
      </c>
      <c r="H177" s="85" t="s">
        <v>36</v>
      </c>
      <c r="I177" s="85" t="n">
        <v>147540039</v>
      </c>
      <c r="K177" s="85" t="n">
        <v>1</v>
      </c>
      <c r="L177" s="85"/>
      <c r="M177" s="86" t="n">
        <v>2</v>
      </c>
      <c r="N177" s="87" t="n">
        <v>44694</v>
      </c>
      <c r="O177" s="87"/>
      <c r="P177" s="88" t="n">
        <v>83.63</v>
      </c>
      <c r="Q177" s="89"/>
      <c r="R177" s="88" t="n">
        <v>4049.22</v>
      </c>
      <c r="S177" s="89" t="n">
        <v>8</v>
      </c>
      <c r="T177" s="88" t="n">
        <v>167.26</v>
      </c>
      <c r="U177" s="89"/>
      <c r="V177" s="88" t="n">
        <v>3214.57</v>
      </c>
      <c r="W177" s="89" t="n">
        <v>17</v>
      </c>
      <c r="X177" s="86" t="n">
        <v>3</v>
      </c>
      <c r="Y177" s="85" t="s">
        <v>3908</v>
      </c>
      <c r="Z177" s="85"/>
    </row>
    <row r="178" customFormat="false" ht="12.75" hidden="true" customHeight="true" outlineLevel="0" collapsed="false">
      <c r="A178" s="85" t="n">
        <v>2193799</v>
      </c>
      <c r="B178" s="85" t="s">
        <v>4276</v>
      </c>
      <c r="C178" s="85"/>
      <c r="D178" s="85"/>
      <c r="E178" s="85" t="s">
        <v>2672</v>
      </c>
      <c r="F178" s="85" t="s">
        <v>4277</v>
      </c>
      <c r="G178" s="85" t="n">
        <v>75017</v>
      </c>
      <c r="H178" s="85" t="s">
        <v>36</v>
      </c>
      <c r="I178" s="85" t="n">
        <v>145745358</v>
      </c>
      <c r="K178" s="85" t="n">
        <v>1</v>
      </c>
      <c r="L178" s="85"/>
      <c r="M178" s="86"/>
      <c r="N178" s="87"/>
      <c r="O178" s="87"/>
      <c r="P178" s="88" t="n">
        <v>83.63</v>
      </c>
      <c r="Q178" s="89"/>
      <c r="R178" s="88" t="n">
        <v>2360.55</v>
      </c>
      <c r="S178" s="89" t="n">
        <v>43</v>
      </c>
      <c r="T178" s="88" t="n">
        <v>167.26</v>
      </c>
      <c r="U178" s="89"/>
      <c r="V178" s="88" t="n">
        <v>2270.27</v>
      </c>
      <c r="W178" s="89" t="n">
        <v>45</v>
      </c>
      <c r="X178" s="86" t="n">
        <v>5</v>
      </c>
      <c r="Y178" s="85"/>
      <c r="Z178" s="85" t="s">
        <v>3904</v>
      </c>
    </row>
    <row r="179" customFormat="false" ht="12.75" hidden="true" customHeight="true" outlineLevel="0" collapsed="false">
      <c r="A179" s="85" t="n">
        <v>2193474</v>
      </c>
      <c r="B179" s="85" t="s">
        <v>4278</v>
      </c>
      <c r="C179" s="85"/>
      <c r="D179" s="85"/>
      <c r="E179" s="85" t="s">
        <v>2672</v>
      </c>
      <c r="F179" s="85" t="s">
        <v>4279</v>
      </c>
      <c r="G179" s="85" t="n">
        <v>75017</v>
      </c>
      <c r="H179" s="85" t="s">
        <v>36</v>
      </c>
      <c r="I179" s="85" t="n">
        <v>145724752</v>
      </c>
      <c r="K179" s="85" t="n">
        <v>1</v>
      </c>
      <c r="L179" s="85"/>
      <c r="M179" s="86"/>
      <c r="N179" s="87"/>
      <c r="O179" s="87"/>
      <c r="P179" s="88" t="n">
        <v>83.63</v>
      </c>
      <c r="Q179" s="89"/>
      <c r="R179" s="88" t="n">
        <v>2028.3</v>
      </c>
      <c r="S179" s="89" t="n">
        <v>65</v>
      </c>
      <c r="T179" s="88" t="n">
        <v>167.26</v>
      </c>
      <c r="U179" s="89"/>
      <c r="V179" s="88" t="n">
        <v>1833.23</v>
      </c>
      <c r="W179" s="89" t="n">
        <v>75</v>
      </c>
      <c r="X179" s="86" t="n">
        <v>5</v>
      </c>
      <c r="Y179" s="85" t="s">
        <v>4280</v>
      </c>
      <c r="Z179" s="85"/>
    </row>
    <row r="180" customFormat="false" ht="12.75" hidden="true" customHeight="true" outlineLevel="0" collapsed="false">
      <c r="A180" s="85" t="n">
        <v>2191959</v>
      </c>
      <c r="B180" s="85" t="s">
        <v>4281</v>
      </c>
      <c r="C180" s="85"/>
      <c r="D180" s="85"/>
      <c r="E180" s="85" t="s">
        <v>645</v>
      </c>
      <c r="F180" s="85" t="s">
        <v>4282</v>
      </c>
      <c r="G180" s="85" t="n">
        <v>75015</v>
      </c>
      <c r="H180" s="85" t="s">
        <v>36</v>
      </c>
      <c r="I180" s="85" t="n">
        <v>145788618</v>
      </c>
      <c r="K180" s="85" t="n">
        <v>1</v>
      </c>
      <c r="L180" s="85"/>
      <c r="M180" s="86"/>
      <c r="N180" s="87"/>
      <c r="O180" s="87"/>
      <c r="P180" s="88" t="n">
        <v>83.63</v>
      </c>
      <c r="Q180" s="89"/>
      <c r="R180" s="88" t="n">
        <v>1885.56</v>
      </c>
      <c r="S180" s="89" t="n">
        <v>74</v>
      </c>
      <c r="T180" s="88" t="n">
        <v>83.63</v>
      </c>
      <c r="U180" s="89"/>
      <c r="V180" s="88" t="n">
        <v>1118.17</v>
      </c>
      <c r="W180" s="89"/>
      <c r="X180" s="86" t="n">
        <v>6</v>
      </c>
      <c r="Y180" s="85" t="s">
        <v>3914</v>
      </c>
      <c r="Z180" s="85" t="s">
        <v>3940</v>
      </c>
    </row>
    <row r="181" customFormat="false" ht="12.75" hidden="true" customHeight="true" outlineLevel="0" collapsed="false">
      <c r="A181" s="85" t="n">
        <v>2188616</v>
      </c>
      <c r="B181" s="85" t="s">
        <v>4283</v>
      </c>
      <c r="C181" s="85"/>
      <c r="D181" s="85"/>
      <c r="E181" s="85" t="s">
        <v>1124</v>
      </c>
      <c r="F181" s="85" t="s">
        <v>4284</v>
      </c>
      <c r="G181" s="85" t="n">
        <v>75007</v>
      </c>
      <c r="H181" s="85" t="s">
        <v>36</v>
      </c>
      <c r="I181" s="85" t="n">
        <v>145515441</v>
      </c>
      <c r="K181" s="85" t="n">
        <v>1</v>
      </c>
      <c r="L181" s="85"/>
      <c r="M181" s="86"/>
      <c r="N181" s="87"/>
      <c r="O181" s="87"/>
      <c r="P181" s="88" t="n">
        <v>83.63</v>
      </c>
      <c r="Q181" s="89"/>
      <c r="R181" s="88" t="n">
        <v>1701.98</v>
      </c>
      <c r="S181" s="89" t="n">
        <v>87</v>
      </c>
      <c r="T181" s="88" t="n">
        <v>167.26</v>
      </c>
      <c r="U181" s="89"/>
      <c r="V181" s="88" t="n">
        <v>1385.88</v>
      </c>
      <c r="W181" s="89" t="n">
        <v>119</v>
      </c>
      <c r="X181" s="86" t="n">
        <v>8</v>
      </c>
      <c r="Y181" s="85"/>
      <c r="Z181" s="85" t="s">
        <v>3904</v>
      </c>
    </row>
    <row r="182" customFormat="false" ht="12.75" hidden="true" customHeight="true" outlineLevel="0" collapsed="false">
      <c r="A182" s="85" t="n">
        <v>2228056</v>
      </c>
      <c r="B182" s="85" t="s">
        <v>4285</v>
      </c>
      <c r="C182" s="85"/>
      <c r="D182" s="85"/>
      <c r="E182" s="85" t="s">
        <v>3401</v>
      </c>
      <c r="F182" s="85" t="s">
        <v>4286</v>
      </c>
      <c r="G182" s="85" t="n">
        <v>92300</v>
      </c>
      <c r="H182" s="85" t="s">
        <v>3403</v>
      </c>
      <c r="I182" s="85" t="n">
        <v>147371185</v>
      </c>
      <c r="K182" s="85" t="n">
        <v>1</v>
      </c>
      <c r="L182" s="85"/>
      <c r="M182" s="86"/>
      <c r="N182" s="87"/>
      <c r="O182" s="87"/>
      <c r="P182" s="88" t="n">
        <v>83.63</v>
      </c>
      <c r="Q182" s="89"/>
      <c r="R182" s="88" t="n">
        <v>1486.72</v>
      </c>
      <c r="S182" s="89" t="n">
        <v>108</v>
      </c>
      <c r="T182" s="88" t="n">
        <v>167.26</v>
      </c>
      <c r="U182" s="89"/>
      <c r="V182" s="88" t="n">
        <v>1571.37</v>
      </c>
      <c r="W182" s="89" t="n">
        <v>107</v>
      </c>
      <c r="X182" s="86" t="n">
        <v>9</v>
      </c>
      <c r="Y182" s="85" t="s">
        <v>3954</v>
      </c>
      <c r="Z182" s="85" t="s">
        <v>3927</v>
      </c>
    </row>
    <row r="183" customFormat="false" ht="12.75" hidden="true" customHeight="true" outlineLevel="0" collapsed="false">
      <c r="A183" s="85" t="n">
        <v>2053948</v>
      </c>
      <c r="B183" s="85" t="s">
        <v>4287</v>
      </c>
      <c r="C183" s="85"/>
      <c r="D183" s="85"/>
      <c r="E183" s="85" t="s">
        <v>2400</v>
      </c>
      <c r="F183" s="85" t="s">
        <v>4288</v>
      </c>
      <c r="G183" s="85" t="n">
        <v>75017</v>
      </c>
      <c r="H183" s="85" t="s">
        <v>36</v>
      </c>
      <c r="I183" s="85" t="n">
        <v>147634899</v>
      </c>
      <c r="K183" s="85"/>
      <c r="L183" s="85"/>
      <c r="M183" s="86"/>
      <c r="N183" s="87"/>
      <c r="O183" s="87"/>
      <c r="P183" s="88" t="n">
        <v>83.63</v>
      </c>
      <c r="Q183" s="89"/>
      <c r="R183" s="88" t="n">
        <v>1325.46</v>
      </c>
      <c r="S183" s="89"/>
      <c r="T183" s="88" t="n">
        <v>83.63</v>
      </c>
      <c r="U183" s="89"/>
      <c r="V183" s="88" t="n">
        <v>1187.41</v>
      </c>
      <c r="W183" s="89"/>
      <c r="X183" s="86" t="n">
        <v>8</v>
      </c>
      <c r="Y183" s="85" t="s">
        <v>3926</v>
      </c>
      <c r="Z183" s="85"/>
    </row>
    <row r="184" customFormat="false" ht="12.75" hidden="true" customHeight="true" outlineLevel="0" collapsed="false">
      <c r="A184" s="85" t="n">
        <v>2249165</v>
      </c>
      <c r="B184" s="85" t="s">
        <v>4289</v>
      </c>
      <c r="C184" s="85"/>
      <c r="D184" s="85"/>
      <c r="E184" s="85" t="s">
        <v>2928</v>
      </c>
      <c r="F184" s="85" t="s">
        <v>4290</v>
      </c>
      <c r="G184" s="85" t="n">
        <v>75116</v>
      </c>
      <c r="H184" s="85" t="s">
        <v>36</v>
      </c>
      <c r="I184" s="85" t="n">
        <v>147279228</v>
      </c>
      <c r="K184" s="85" t="n">
        <v>1</v>
      </c>
      <c r="L184" s="85" t="n">
        <v>1</v>
      </c>
      <c r="M184" s="86"/>
      <c r="N184" s="87"/>
      <c r="O184" s="87"/>
      <c r="P184" s="88" t="n">
        <v>83.63</v>
      </c>
      <c r="Q184" s="89"/>
      <c r="R184" s="88" t="n">
        <v>979.13</v>
      </c>
      <c r="S184" s="89"/>
      <c r="T184" s="88" t="n">
        <v>250.89</v>
      </c>
      <c r="U184" s="89"/>
      <c r="V184" s="88" t="n">
        <v>1215.63</v>
      </c>
      <c r="W184" s="89"/>
      <c r="X184" s="86" t="n">
        <v>5</v>
      </c>
      <c r="Y184" s="85" t="s">
        <v>3908</v>
      </c>
      <c r="Z184" s="85"/>
    </row>
    <row r="185" customFormat="false" ht="12.75" hidden="true" customHeight="true" outlineLevel="0" collapsed="false">
      <c r="A185" s="85" t="n">
        <v>2052043</v>
      </c>
      <c r="B185" s="85" t="s">
        <v>4291</v>
      </c>
      <c r="C185" s="85"/>
      <c r="D185" s="85"/>
      <c r="E185" s="85" t="s">
        <v>1124</v>
      </c>
      <c r="F185" s="85" t="s">
        <v>4292</v>
      </c>
      <c r="G185" s="85" t="n">
        <v>75007</v>
      </c>
      <c r="H185" s="85" t="s">
        <v>36</v>
      </c>
      <c r="I185" s="85" t="n">
        <v>145513591</v>
      </c>
      <c r="K185" s="85" t="n">
        <v>1</v>
      </c>
      <c r="L185" s="85" t="n">
        <v>1</v>
      </c>
      <c r="M185" s="86" t="n">
        <v>2</v>
      </c>
      <c r="N185" s="87" t="n">
        <v>44699</v>
      </c>
      <c r="O185" s="87"/>
      <c r="P185" s="88" t="n">
        <v>83.63</v>
      </c>
      <c r="Q185" s="89"/>
      <c r="R185" s="88" t="n">
        <v>739.31</v>
      </c>
      <c r="S185" s="89"/>
      <c r="T185" s="88" t="n">
        <v>167.26</v>
      </c>
      <c r="U185" s="89"/>
      <c r="V185" s="88" t="n">
        <v>748.28</v>
      </c>
      <c r="W185" s="89"/>
      <c r="X185" s="86" t="n">
        <v>4</v>
      </c>
      <c r="Y185" s="85" t="s">
        <v>3964</v>
      </c>
      <c r="Z185" s="85" t="s">
        <v>3955</v>
      </c>
    </row>
    <row r="186" customFormat="false" ht="12.75" hidden="true" customHeight="true" outlineLevel="0" collapsed="false">
      <c r="A186" s="85" t="n">
        <v>2052373</v>
      </c>
      <c r="B186" s="85" t="s">
        <v>4293</v>
      </c>
      <c r="C186" s="85"/>
      <c r="D186" s="85"/>
      <c r="E186" s="85" t="s">
        <v>357</v>
      </c>
      <c r="F186" s="85" t="s">
        <v>4294</v>
      </c>
      <c r="G186" s="85" t="n">
        <v>75009</v>
      </c>
      <c r="H186" s="85" t="s">
        <v>36</v>
      </c>
      <c r="I186" s="85" t="n">
        <v>147420459</v>
      </c>
      <c r="K186" s="85" t="n">
        <v>1</v>
      </c>
      <c r="L186" s="85"/>
      <c r="M186" s="86"/>
      <c r="N186" s="87"/>
      <c r="O186" s="87"/>
      <c r="P186" s="88" t="n">
        <v>83.63</v>
      </c>
      <c r="Q186" s="89"/>
      <c r="R186" s="88" t="n">
        <v>688.01</v>
      </c>
      <c r="S186" s="89"/>
      <c r="T186" s="88" t="n">
        <v>167.26</v>
      </c>
      <c r="U186" s="89"/>
      <c r="V186" s="88" t="n">
        <v>799.76</v>
      </c>
      <c r="W186" s="89"/>
      <c r="X186" s="86" t="n">
        <v>4</v>
      </c>
      <c r="Y186" s="85" t="s">
        <v>3914</v>
      </c>
      <c r="Z186" s="85"/>
    </row>
    <row r="187" customFormat="false" ht="12.75" hidden="true" customHeight="true" outlineLevel="0" collapsed="false">
      <c r="A187" s="85" t="n">
        <v>2193605</v>
      </c>
      <c r="B187" s="85" t="s">
        <v>4295</v>
      </c>
      <c r="C187" s="85"/>
      <c r="D187" s="85"/>
      <c r="E187" s="85" t="s">
        <v>2400</v>
      </c>
      <c r="F187" s="85" t="s">
        <v>4296</v>
      </c>
      <c r="G187" s="85" t="n">
        <v>75017</v>
      </c>
      <c r="H187" s="85" t="s">
        <v>36</v>
      </c>
      <c r="I187" s="85" t="n">
        <v>147630692</v>
      </c>
      <c r="K187" s="85" t="n">
        <v>1</v>
      </c>
      <c r="L187" s="85"/>
      <c r="M187" s="86"/>
      <c r="N187" s="87"/>
      <c r="O187" s="87"/>
      <c r="P187" s="88" t="n">
        <v>83.63</v>
      </c>
      <c r="Q187" s="89"/>
      <c r="R187" s="88" t="n">
        <v>323.71</v>
      </c>
      <c r="S187" s="89"/>
      <c r="T187" s="88" t="n">
        <v>301.06</v>
      </c>
      <c r="U187" s="89"/>
      <c r="V187" s="88" t="n">
        <v>423.34</v>
      </c>
      <c r="W187" s="89"/>
      <c r="X187" s="86" t="n">
        <v>10</v>
      </c>
      <c r="Y187" s="85"/>
      <c r="Z187" s="85" t="s">
        <v>3955</v>
      </c>
    </row>
    <row r="188" customFormat="false" ht="12.75" hidden="true" customHeight="true" outlineLevel="0" collapsed="false">
      <c r="A188" s="85" t="n">
        <v>2192418</v>
      </c>
      <c r="B188" s="85" t="s">
        <v>4297</v>
      </c>
      <c r="C188" s="85"/>
      <c r="D188" s="85"/>
      <c r="E188" s="85" t="s">
        <v>1536</v>
      </c>
      <c r="F188" s="85" t="s">
        <v>4298</v>
      </c>
      <c r="G188" s="85" t="n">
        <v>75015</v>
      </c>
      <c r="H188" s="85" t="s">
        <v>36</v>
      </c>
      <c r="I188" s="85" t="n">
        <v>147342357</v>
      </c>
      <c r="K188" s="85"/>
      <c r="L188" s="85"/>
      <c r="M188" s="86"/>
      <c r="N188" s="87"/>
      <c r="O188" s="87"/>
      <c r="P188" s="88" t="n">
        <v>82.08</v>
      </c>
      <c r="Q188" s="89"/>
      <c r="R188" s="88" t="n">
        <v>1501.74</v>
      </c>
      <c r="S188" s="89" t="n">
        <v>106</v>
      </c>
      <c r="T188" s="88" t="n">
        <v>41.04</v>
      </c>
      <c r="U188" s="89"/>
      <c r="V188" s="88" t="n">
        <v>2035.14</v>
      </c>
      <c r="W188" s="89" t="n">
        <v>61</v>
      </c>
      <c r="X188" s="86" t="n">
        <v>8</v>
      </c>
      <c r="Y188" s="85" t="s">
        <v>3937</v>
      </c>
      <c r="Z188" s="85"/>
    </row>
    <row r="189" customFormat="false" ht="12.75" hidden="true" customHeight="true" outlineLevel="0" collapsed="false">
      <c r="A189" s="85" t="n">
        <v>2193097</v>
      </c>
      <c r="B189" s="85" t="s">
        <v>4299</v>
      </c>
      <c r="C189" s="85"/>
      <c r="D189" s="85"/>
      <c r="E189" s="85" t="s">
        <v>2132</v>
      </c>
      <c r="F189" s="85" t="s">
        <v>4300</v>
      </c>
      <c r="G189" s="85" t="n">
        <v>75116</v>
      </c>
      <c r="H189" s="85" t="s">
        <v>36</v>
      </c>
      <c r="I189" s="85" t="n">
        <v>145030453</v>
      </c>
      <c r="K189" s="85"/>
      <c r="L189" s="85"/>
      <c r="M189" s="86"/>
      <c r="N189" s="87"/>
      <c r="O189" s="87"/>
      <c r="P189" s="88" t="n">
        <v>82.08</v>
      </c>
      <c r="Q189" s="89"/>
      <c r="R189" s="88" t="n">
        <v>915.912</v>
      </c>
      <c r="S189" s="89"/>
      <c r="T189" s="88" t="n">
        <v>205.2</v>
      </c>
      <c r="U189" s="89"/>
      <c r="V189" s="88" t="n">
        <v>1451.04</v>
      </c>
      <c r="W189" s="89" t="n">
        <v>115</v>
      </c>
      <c r="X189" s="86" t="n">
        <v>8</v>
      </c>
      <c r="Y189" s="85" t="s">
        <v>4280</v>
      </c>
      <c r="Z189" s="85"/>
    </row>
    <row r="190" customFormat="false" ht="12.75" hidden="true" customHeight="true" outlineLevel="0" collapsed="false">
      <c r="A190" s="85" t="n">
        <v>2052195</v>
      </c>
      <c r="B190" s="85" t="s">
        <v>4301</v>
      </c>
      <c r="C190" s="85"/>
      <c r="D190" s="85"/>
      <c r="E190" s="85" t="s">
        <v>357</v>
      </c>
      <c r="F190" s="85" t="s">
        <v>4302</v>
      </c>
      <c r="G190" s="85" t="n">
        <v>75008</v>
      </c>
      <c r="H190" s="85" t="s">
        <v>36</v>
      </c>
      <c r="I190" s="85" t="n">
        <v>145226861</v>
      </c>
      <c r="K190" s="85"/>
      <c r="L190" s="85"/>
      <c r="M190" s="86"/>
      <c r="N190" s="87"/>
      <c r="O190" s="87"/>
      <c r="P190" s="88" t="n">
        <v>68.44</v>
      </c>
      <c r="Q190" s="89"/>
      <c r="R190" s="88" t="n">
        <v>136.89</v>
      </c>
      <c r="S190" s="89"/>
      <c r="T190" s="88"/>
      <c r="U190" s="89"/>
      <c r="V190" s="88"/>
      <c r="W190" s="89"/>
      <c r="X190" s="86" t="n">
        <v>5</v>
      </c>
      <c r="Y190" s="85" t="s">
        <v>4303</v>
      </c>
      <c r="Z190" s="85"/>
    </row>
    <row r="191" customFormat="false" ht="12.75" hidden="true" customHeight="true" outlineLevel="0" collapsed="false">
      <c r="A191" s="85" t="n">
        <v>2193301</v>
      </c>
      <c r="B191" s="85" t="s">
        <v>4304</v>
      </c>
      <c r="C191" s="85"/>
      <c r="D191" s="85"/>
      <c r="E191" s="85" t="s">
        <v>2400</v>
      </c>
      <c r="F191" s="85" t="s">
        <v>2472</v>
      </c>
      <c r="G191" s="85" t="n">
        <v>75017</v>
      </c>
      <c r="H191" s="85" t="s">
        <v>36</v>
      </c>
      <c r="I191" s="85" t="n">
        <v>145778179</v>
      </c>
      <c r="K191" s="85"/>
      <c r="L191" s="85"/>
      <c r="M191" s="86"/>
      <c r="N191" s="87"/>
      <c r="O191" s="87"/>
      <c r="P191" s="88" t="n">
        <v>61.56</v>
      </c>
      <c r="Q191" s="89"/>
      <c r="R191" s="88" t="n">
        <v>2022.07</v>
      </c>
      <c r="S191" s="89" t="n">
        <v>66</v>
      </c>
      <c r="T191" s="88" t="n">
        <v>205.2</v>
      </c>
      <c r="U191" s="89"/>
      <c r="V191" s="88" t="n">
        <v>1289.05</v>
      </c>
      <c r="W191" s="89"/>
      <c r="X191" s="86" t="n">
        <v>8</v>
      </c>
      <c r="Y191" s="85" t="s">
        <v>3937</v>
      </c>
      <c r="Z191" s="85"/>
    </row>
    <row r="192" customFormat="false" ht="12.75" hidden="true" customHeight="true" outlineLevel="0" collapsed="false">
      <c r="A192" s="85" t="n">
        <v>2191896</v>
      </c>
      <c r="B192" s="85" t="s">
        <v>696</v>
      </c>
      <c r="C192" s="85"/>
      <c r="D192" s="85"/>
      <c r="E192" s="85" t="s">
        <v>645</v>
      </c>
      <c r="F192" s="85" t="s">
        <v>697</v>
      </c>
      <c r="G192" s="85" t="n">
        <v>75015</v>
      </c>
      <c r="H192" s="85" t="s">
        <v>36</v>
      </c>
      <c r="I192" s="85" t="n">
        <v>145793070</v>
      </c>
      <c r="K192" s="85"/>
      <c r="L192" s="85"/>
      <c r="M192" s="86"/>
      <c r="N192" s="87"/>
      <c r="O192" s="87"/>
      <c r="P192" s="88" t="n">
        <v>51.33</v>
      </c>
      <c r="Q192" s="89"/>
      <c r="R192" s="88" t="n">
        <v>10.98</v>
      </c>
      <c r="S192" s="89"/>
      <c r="T192" s="88"/>
      <c r="U192" s="89"/>
      <c r="V192" s="88"/>
      <c r="W192" s="89"/>
      <c r="X192" s="86" t="n">
        <v>10</v>
      </c>
      <c r="Y192" s="85" t="s">
        <v>3922</v>
      </c>
      <c r="Z192" s="85"/>
    </row>
    <row r="193" customFormat="false" ht="12.75" hidden="true" customHeight="true" outlineLevel="0" collapsed="false">
      <c r="A193" s="85" t="n">
        <v>2192030</v>
      </c>
      <c r="B193" s="85" t="s">
        <v>4305</v>
      </c>
      <c r="C193" s="85"/>
      <c r="D193" s="85"/>
      <c r="E193" s="85" t="s">
        <v>1536</v>
      </c>
      <c r="F193" s="85" t="s">
        <v>4306</v>
      </c>
      <c r="G193" s="85" t="n">
        <v>75015</v>
      </c>
      <c r="H193" s="85" t="s">
        <v>36</v>
      </c>
      <c r="I193" s="85" t="n">
        <v>147837888</v>
      </c>
      <c r="K193" s="85"/>
      <c r="L193" s="85"/>
      <c r="M193" s="86"/>
      <c r="N193" s="87"/>
      <c r="O193" s="87"/>
      <c r="P193" s="88" t="n">
        <v>42.37</v>
      </c>
      <c r="Q193" s="89"/>
      <c r="R193" s="88" t="n">
        <v>186.04</v>
      </c>
      <c r="S193" s="89"/>
      <c r="T193" s="88" t="n">
        <v>42.37</v>
      </c>
      <c r="U193" s="89"/>
      <c r="V193" s="88" t="n">
        <v>267.38</v>
      </c>
      <c r="W193" s="89"/>
      <c r="X193" s="86" t="n">
        <v>10</v>
      </c>
      <c r="Y193" s="85" t="s">
        <v>3922</v>
      </c>
      <c r="Z193" s="85"/>
    </row>
    <row r="194" customFormat="false" ht="12.75" hidden="true" customHeight="true" outlineLevel="0" collapsed="false">
      <c r="A194" s="85" t="n">
        <v>2227911</v>
      </c>
      <c r="B194" s="85" t="s">
        <v>4307</v>
      </c>
      <c r="C194" s="85"/>
      <c r="D194" s="85"/>
      <c r="E194" s="85" t="s">
        <v>3401</v>
      </c>
      <c r="F194" s="85" t="s">
        <v>4308</v>
      </c>
      <c r="G194" s="85" t="n">
        <v>92300</v>
      </c>
      <c r="H194" s="85" t="s">
        <v>3403</v>
      </c>
      <c r="I194" s="85" t="n">
        <v>147370386</v>
      </c>
      <c r="K194" s="85" t="n">
        <v>1</v>
      </c>
      <c r="L194" s="85"/>
      <c r="M194" s="86"/>
      <c r="N194" s="87"/>
      <c r="O194" s="87"/>
      <c r="P194" s="88" t="n">
        <v>21.41</v>
      </c>
      <c r="Q194" s="89"/>
      <c r="R194" s="88" t="n">
        <v>834.82</v>
      </c>
      <c r="S194" s="89"/>
      <c r="T194" s="88" t="n">
        <v>85.64</v>
      </c>
      <c r="U194" s="89"/>
      <c r="V194" s="88" t="n">
        <v>801.53</v>
      </c>
      <c r="W194" s="89"/>
      <c r="X194" s="86" t="n">
        <v>10</v>
      </c>
      <c r="Y194" s="85"/>
      <c r="Z194" s="85" t="s">
        <v>3927</v>
      </c>
    </row>
    <row r="195" customFormat="false" ht="12.75" hidden="true" customHeight="true" outlineLevel="0" collapsed="false">
      <c r="A195" s="85" t="n">
        <v>2053403</v>
      </c>
      <c r="B195" s="85" t="s">
        <v>4309</v>
      </c>
      <c r="C195" s="85"/>
      <c r="D195" s="85"/>
      <c r="E195" s="85" t="s">
        <v>645</v>
      </c>
      <c r="F195" s="85" t="s">
        <v>4310</v>
      </c>
      <c r="G195" s="85" t="n">
        <v>75015</v>
      </c>
      <c r="H195" s="85" t="s">
        <v>36</v>
      </c>
      <c r="I195" s="85" t="n">
        <v>145548271</v>
      </c>
      <c r="K195" s="85"/>
      <c r="L195" s="85"/>
      <c r="M195" s="86"/>
      <c r="N195" s="87"/>
      <c r="O195" s="87"/>
      <c r="P195" s="88" t="n">
        <v>21.19</v>
      </c>
      <c r="Q195" s="89"/>
      <c r="R195" s="88" t="n">
        <v>56.18</v>
      </c>
      <c r="S195" s="89"/>
      <c r="T195" s="88" t="n">
        <v>63.56</v>
      </c>
      <c r="U195" s="89"/>
      <c r="V195" s="88" t="n">
        <v>194.38</v>
      </c>
      <c r="W195" s="89"/>
      <c r="X195" s="86" t="n">
        <v>10</v>
      </c>
      <c r="Y195" s="85" t="s">
        <v>3922</v>
      </c>
      <c r="Z195" s="85"/>
    </row>
    <row r="196" customFormat="false" ht="12.75" hidden="true" customHeight="true" outlineLevel="0" collapsed="false">
      <c r="A196" s="85" t="n">
        <v>2188946</v>
      </c>
      <c r="B196" s="85" t="s">
        <v>4311</v>
      </c>
      <c r="C196" s="85"/>
      <c r="D196" s="85"/>
      <c r="E196" s="85" t="s">
        <v>357</v>
      </c>
      <c r="F196" s="85" t="s">
        <v>4312</v>
      </c>
      <c r="G196" s="85" t="n">
        <v>75008</v>
      </c>
      <c r="H196" s="85" t="s">
        <v>36</v>
      </c>
      <c r="I196" s="85" t="n">
        <v>145226962</v>
      </c>
      <c r="K196" s="85"/>
      <c r="L196" s="85"/>
      <c r="M196" s="86"/>
      <c r="N196" s="87"/>
      <c r="O196" s="87"/>
      <c r="P196" s="88" t="n">
        <v>20.07</v>
      </c>
      <c r="Q196" s="89"/>
      <c r="R196" s="88" t="n">
        <v>41.46</v>
      </c>
      <c r="S196" s="89"/>
      <c r="T196" s="88" t="n">
        <v>250.88</v>
      </c>
      <c r="U196" s="89"/>
      <c r="V196" s="88" t="n">
        <v>162.32</v>
      </c>
      <c r="W196" s="89"/>
      <c r="X196" s="86" t="n">
        <v>4</v>
      </c>
      <c r="Y196" s="85" t="s">
        <v>3964</v>
      </c>
      <c r="Z196" s="85"/>
    </row>
    <row r="197" customFormat="false" ht="12.75" hidden="true" customHeight="true" outlineLevel="0" collapsed="false">
      <c r="A197" s="85" t="n">
        <v>2054098</v>
      </c>
      <c r="B197" s="85" t="s">
        <v>4313</v>
      </c>
      <c r="C197" s="85"/>
      <c r="D197" s="85"/>
      <c r="E197" s="85" t="s">
        <v>2400</v>
      </c>
      <c r="F197" s="85" t="s">
        <v>4314</v>
      </c>
      <c r="G197" s="85" t="n">
        <v>75017</v>
      </c>
      <c r="H197" s="85" t="s">
        <v>36</v>
      </c>
      <c r="I197" s="85" t="n">
        <v>147635599</v>
      </c>
      <c r="K197" s="85"/>
      <c r="L197" s="85"/>
      <c r="M197" s="86"/>
      <c r="N197" s="87"/>
      <c r="O197" s="87"/>
      <c r="P197" s="88" t="n">
        <v>17.11</v>
      </c>
      <c r="Q197" s="89"/>
      <c r="R197" s="88" t="n">
        <v>757.75</v>
      </c>
      <c r="S197" s="89"/>
      <c r="T197" s="88" t="n">
        <v>21.41</v>
      </c>
      <c r="U197" s="89"/>
      <c r="V197" s="88" t="n">
        <v>788.76</v>
      </c>
      <c r="W197" s="89"/>
      <c r="X197" s="86" t="n">
        <v>9</v>
      </c>
      <c r="Y197" s="85" t="s">
        <v>3922</v>
      </c>
      <c r="Z197" s="85"/>
    </row>
    <row r="198" customFormat="false" ht="12.75" hidden="true" customHeight="true" outlineLevel="0" collapsed="false">
      <c r="A198" s="85" t="n">
        <v>2048131</v>
      </c>
      <c r="B198" s="85" t="s">
        <v>4315</v>
      </c>
      <c r="C198" s="85"/>
      <c r="D198" s="85"/>
      <c r="E198" s="85" t="s">
        <v>3401</v>
      </c>
      <c r="F198" s="85" t="s">
        <v>4316</v>
      </c>
      <c r="G198" s="85" t="n">
        <v>92300</v>
      </c>
      <c r="H198" s="85" t="s">
        <v>3403</v>
      </c>
      <c r="I198" s="85" t="n">
        <v>147370804</v>
      </c>
      <c r="K198" s="85" t="n">
        <v>1</v>
      </c>
      <c r="L198" s="85"/>
      <c r="M198" s="86"/>
      <c r="N198" s="87"/>
      <c r="O198" s="87"/>
      <c r="P198" s="88" t="n">
        <v>0</v>
      </c>
      <c r="Q198" s="89"/>
      <c r="R198" s="88" t="n">
        <v>2053.69</v>
      </c>
      <c r="S198" s="89" t="n">
        <v>60</v>
      </c>
      <c r="T198" s="88" t="n">
        <v>0</v>
      </c>
      <c r="U198" s="89"/>
      <c r="V198" s="88" t="n">
        <v>1902.9</v>
      </c>
      <c r="W198" s="89" t="n">
        <v>68</v>
      </c>
      <c r="X198" s="86" t="n">
        <v>5</v>
      </c>
      <c r="Y198" s="85" t="s">
        <v>3969</v>
      </c>
      <c r="Z198" s="85"/>
    </row>
    <row r="199" customFormat="false" ht="12.75" hidden="true" customHeight="true" outlineLevel="0" collapsed="false">
      <c r="A199" s="85" t="n">
        <v>2053639</v>
      </c>
      <c r="B199" s="85" t="s">
        <v>4317</v>
      </c>
      <c r="C199" s="85"/>
      <c r="D199" s="85"/>
      <c r="E199" s="85" t="s">
        <v>2132</v>
      </c>
      <c r="F199" s="85" t="s">
        <v>4318</v>
      </c>
      <c r="G199" s="85" t="n">
        <v>75116</v>
      </c>
      <c r="H199" s="85" t="s">
        <v>36</v>
      </c>
      <c r="I199" s="85" t="n">
        <v>145240140</v>
      </c>
      <c r="K199" s="85" t="n">
        <v>1</v>
      </c>
      <c r="L199" s="85"/>
      <c r="M199" s="86"/>
      <c r="N199" s="87"/>
      <c r="O199" s="87"/>
      <c r="P199" s="88" t="n">
        <v>0</v>
      </c>
      <c r="Q199" s="89"/>
      <c r="R199" s="88" t="n">
        <v>2034.46</v>
      </c>
      <c r="S199" s="89" t="n">
        <v>64</v>
      </c>
      <c r="T199" s="88" t="n">
        <v>0</v>
      </c>
      <c r="U199" s="89"/>
      <c r="V199" s="88" t="n">
        <v>3025.18</v>
      </c>
      <c r="W199" s="89" t="n">
        <v>18</v>
      </c>
      <c r="X199" s="86" t="n">
        <v>5</v>
      </c>
      <c r="Y199" s="85" t="s">
        <v>4319</v>
      </c>
      <c r="Z199" s="85"/>
    </row>
    <row r="200" customFormat="false" ht="12.75" hidden="true" customHeight="true" outlineLevel="0" collapsed="false">
      <c r="A200" s="85" t="n">
        <v>2228035</v>
      </c>
      <c r="B200" s="85" t="s">
        <v>4320</v>
      </c>
      <c r="C200" s="85"/>
      <c r="D200" s="85"/>
      <c r="E200" s="85" t="s">
        <v>3401</v>
      </c>
      <c r="F200" s="85" t="s">
        <v>4321</v>
      </c>
      <c r="G200" s="85" t="n">
        <v>92300</v>
      </c>
      <c r="H200" s="85" t="s">
        <v>3403</v>
      </c>
      <c r="I200" s="85" t="n">
        <v>147570002</v>
      </c>
      <c r="K200" s="85" t="n">
        <v>1</v>
      </c>
      <c r="L200" s="85"/>
      <c r="M200" s="86"/>
      <c r="N200" s="87"/>
      <c r="O200" s="87"/>
      <c r="P200" s="88" t="n">
        <v>0</v>
      </c>
      <c r="Q200" s="89"/>
      <c r="R200" s="88" t="n">
        <v>1614.29</v>
      </c>
      <c r="S200" s="89" t="n">
        <v>93</v>
      </c>
      <c r="T200" s="88" t="n">
        <v>217.43</v>
      </c>
      <c r="U200" s="89"/>
      <c r="V200" s="88" t="n">
        <v>1547.76</v>
      </c>
      <c r="W200" s="89" t="n">
        <v>110</v>
      </c>
      <c r="X200" s="86" t="n">
        <v>5</v>
      </c>
      <c r="Y200" s="85" t="s">
        <v>3914</v>
      </c>
      <c r="Z200" s="85"/>
    </row>
    <row r="201" customFormat="false" ht="12.75" hidden="true" customHeight="true" outlineLevel="0" collapsed="false">
      <c r="A201" s="85" t="n">
        <v>2192528</v>
      </c>
      <c r="B201" s="85" t="s">
        <v>4322</v>
      </c>
      <c r="C201" s="85"/>
      <c r="D201" s="85"/>
      <c r="E201" s="85" t="s">
        <v>3238</v>
      </c>
      <c r="F201" s="85" t="s">
        <v>4323</v>
      </c>
      <c r="G201" s="85" t="n">
        <v>75015</v>
      </c>
      <c r="H201" s="85" t="s">
        <v>36</v>
      </c>
      <c r="I201" s="85" t="n">
        <v>960545527</v>
      </c>
      <c r="K201" s="85"/>
      <c r="L201" s="85"/>
      <c r="M201" s="86"/>
      <c r="N201" s="87"/>
      <c r="O201" s="87"/>
      <c r="P201" s="88" t="n">
        <v>0</v>
      </c>
      <c r="Q201" s="89"/>
      <c r="R201" s="88" t="n">
        <v>1607.31</v>
      </c>
      <c r="S201" s="89" t="n">
        <v>96</v>
      </c>
      <c r="T201" s="88" t="n">
        <v>0</v>
      </c>
      <c r="U201" s="89"/>
      <c r="V201" s="88" t="n">
        <v>1152.99</v>
      </c>
      <c r="W201" s="89"/>
      <c r="X201" s="86" t="n">
        <v>10</v>
      </c>
      <c r="Y201" s="85"/>
      <c r="Z201" s="85"/>
    </row>
    <row r="202" customFormat="false" ht="12.75" hidden="true" customHeight="true" outlineLevel="0" collapsed="false">
      <c r="A202" s="85" t="n">
        <v>2052237</v>
      </c>
      <c r="B202" s="85" t="s">
        <v>4324</v>
      </c>
      <c r="C202" s="85"/>
      <c r="D202" s="85"/>
      <c r="E202" s="85" t="s">
        <v>357</v>
      </c>
      <c r="F202" s="85" t="s">
        <v>4325</v>
      </c>
      <c r="G202" s="85" t="n">
        <v>75008</v>
      </c>
      <c r="H202" s="85" t="s">
        <v>36</v>
      </c>
      <c r="I202" s="85" t="n">
        <v>145221235</v>
      </c>
      <c r="K202" s="85"/>
      <c r="L202" s="85"/>
      <c r="M202" s="86"/>
      <c r="N202" s="87"/>
      <c r="O202" s="87"/>
      <c r="P202" s="88" t="n">
        <v>0</v>
      </c>
      <c r="Q202" s="89"/>
      <c r="R202" s="88" t="n">
        <v>1542.9</v>
      </c>
      <c r="S202" s="89" t="n">
        <v>101</v>
      </c>
      <c r="T202" s="88" t="n">
        <v>0</v>
      </c>
      <c r="U202" s="89"/>
      <c r="V202" s="88" t="n">
        <v>2646.05</v>
      </c>
      <c r="W202" s="89" t="n">
        <v>28</v>
      </c>
      <c r="X202" s="86" t="n">
        <v>5</v>
      </c>
      <c r="Y202" s="85"/>
      <c r="Z202" s="85"/>
    </row>
    <row r="203" customFormat="false" ht="12.75" hidden="true" customHeight="true" outlineLevel="0" collapsed="false">
      <c r="A203" s="85" t="n">
        <v>2053822</v>
      </c>
      <c r="B203" s="85" t="s">
        <v>4326</v>
      </c>
      <c r="C203" s="85"/>
      <c r="D203" s="85"/>
      <c r="E203" s="85" t="s">
        <v>34</v>
      </c>
      <c r="F203" s="85" t="s">
        <v>4327</v>
      </c>
      <c r="G203" s="85" t="n">
        <v>75016</v>
      </c>
      <c r="H203" s="85" t="s">
        <v>36</v>
      </c>
      <c r="I203" s="85" t="n">
        <v>142880486</v>
      </c>
      <c r="K203" s="85" t="n">
        <v>1</v>
      </c>
      <c r="L203" s="85"/>
      <c r="M203" s="86" t="n">
        <v>2</v>
      </c>
      <c r="N203" s="87" t="n">
        <v>44719</v>
      </c>
      <c r="O203" s="87"/>
      <c r="P203" s="88" t="n">
        <v>0</v>
      </c>
      <c r="Q203" s="89"/>
      <c r="R203" s="88" t="n">
        <v>1364.75</v>
      </c>
      <c r="S203" s="89" t="n">
        <v>117</v>
      </c>
      <c r="T203" s="88" t="n">
        <v>0</v>
      </c>
      <c r="U203" s="89"/>
      <c r="V203" s="88" t="n">
        <v>2357.07</v>
      </c>
      <c r="W203" s="89" t="n">
        <v>39</v>
      </c>
      <c r="X203" s="86" t="n">
        <v>7</v>
      </c>
      <c r="Y203" s="85" t="s">
        <v>4104</v>
      </c>
      <c r="Z203" s="85"/>
    </row>
    <row r="204" customFormat="false" ht="12.75" hidden="true" customHeight="true" outlineLevel="0" collapsed="false">
      <c r="A204" s="85" t="n">
        <v>2191875</v>
      </c>
      <c r="B204" s="85" t="s">
        <v>4328</v>
      </c>
      <c r="C204" s="85"/>
      <c r="D204" s="85"/>
      <c r="E204" s="85" t="s">
        <v>645</v>
      </c>
      <c r="F204" s="85" t="s">
        <v>4329</v>
      </c>
      <c r="G204" s="85" t="n">
        <v>75015</v>
      </c>
      <c r="H204" s="85" t="s">
        <v>36</v>
      </c>
      <c r="I204" s="85" t="n">
        <v>148425380</v>
      </c>
      <c r="K204" s="85" t="n">
        <v>1</v>
      </c>
      <c r="L204" s="85"/>
      <c r="M204" s="86"/>
      <c r="N204" s="87"/>
      <c r="O204" s="87"/>
      <c r="P204" s="88" t="n">
        <v>0</v>
      </c>
      <c r="Q204" s="89"/>
      <c r="R204" s="88" t="n">
        <v>1267.83</v>
      </c>
      <c r="S204" s="89"/>
      <c r="T204" s="88" t="n">
        <v>0</v>
      </c>
      <c r="U204" s="89"/>
      <c r="V204" s="88" t="n">
        <v>1267.83</v>
      </c>
      <c r="W204" s="89"/>
      <c r="X204" s="86" t="n">
        <v>5</v>
      </c>
      <c r="Y204" s="85" t="s">
        <v>4024</v>
      </c>
      <c r="Z204" s="85"/>
    </row>
    <row r="205" customFormat="false" ht="12.75" hidden="true" customHeight="true" outlineLevel="0" collapsed="false">
      <c r="A205" s="85" t="n">
        <v>2193359</v>
      </c>
      <c r="B205" s="85" t="s">
        <v>4330</v>
      </c>
      <c r="C205" s="85"/>
      <c r="D205" s="85"/>
      <c r="E205" s="85" t="s">
        <v>2672</v>
      </c>
      <c r="F205" s="85" t="s">
        <v>4331</v>
      </c>
      <c r="G205" s="85" t="n">
        <v>75017</v>
      </c>
      <c r="H205" s="85" t="s">
        <v>36</v>
      </c>
      <c r="I205" s="85" t="n">
        <v>145746523</v>
      </c>
      <c r="K205" s="85" t="n">
        <v>1</v>
      </c>
      <c r="L205" s="85"/>
      <c r="M205" s="86"/>
      <c r="N205" s="87"/>
      <c r="O205" s="87"/>
      <c r="P205" s="88" t="n">
        <v>0</v>
      </c>
      <c r="Q205" s="89"/>
      <c r="R205" s="88" t="n">
        <v>1187.6408</v>
      </c>
      <c r="S205" s="89"/>
      <c r="T205" s="88" t="n">
        <v>167.26</v>
      </c>
      <c r="U205" s="89"/>
      <c r="V205" s="88" t="n">
        <v>1824.5056</v>
      </c>
      <c r="W205" s="89" t="n">
        <v>76</v>
      </c>
      <c r="X205" s="86" t="n">
        <v>7</v>
      </c>
      <c r="Y205" s="85" t="s">
        <v>3964</v>
      </c>
      <c r="Z205" s="85"/>
    </row>
    <row r="206" customFormat="false" ht="12.75" hidden="true" customHeight="true" outlineLevel="0" collapsed="false">
      <c r="A206" s="85" t="n">
        <v>2188401</v>
      </c>
      <c r="B206" s="85" t="s">
        <v>4332</v>
      </c>
      <c r="C206" s="85"/>
      <c r="D206" s="85"/>
      <c r="E206" s="85" t="s">
        <v>1124</v>
      </c>
      <c r="F206" s="85" t="s">
        <v>1225</v>
      </c>
      <c r="G206" s="85" t="n">
        <v>75007</v>
      </c>
      <c r="H206" s="85" t="s">
        <v>36</v>
      </c>
      <c r="I206" s="85" t="n">
        <v>142730025</v>
      </c>
      <c r="K206" s="85"/>
      <c r="L206" s="85"/>
      <c r="M206" s="86"/>
      <c r="N206" s="87"/>
      <c r="O206" s="87"/>
      <c r="P206" s="88" t="n">
        <v>0</v>
      </c>
      <c r="Q206" s="89"/>
      <c r="R206" s="88" t="n">
        <v>1139.57</v>
      </c>
      <c r="S206" s="89"/>
      <c r="T206" s="88" t="n">
        <v>0</v>
      </c>
      <c r="U206" s="89"/>
      <c r="V206" s="88" t="n">
        <v>1885.58</v>
      </c>
      <c r="W206" s="89" t="n">
        <v>70</v>
      </c>
      <c r="X206" s="86" t="n">
        <v>8</v>
      </c>
      <c r="Y206" s="85" t="s">
        <v>4303</v>
      </c>
      <c r="Z206" s="85"/>
    </row>
    <row r="207" customFormat="false" ht="12.75" hidden="true" customHeight="true" outlineLevel="0" collapsed="false">
      <c r="A207" s="85" t="n">
        <v>2191990</v>
      </c>
      <c r="B207" s="85" t="s">
        <v>4333</v>
      </c>
      <c r="C207" s="85"/>
      <c r="D207" s="85"/>
      <c r="E207" s="85" t="s">
        <v>1536</v>
      </c>
      <c r="F207" s="85" t="s">
        <v>4334</v>
      </c>
      <c r="G207" s="85" t="n">
        <v>75015</v>
      </c>
      <c r="H207" s="85" t="s">
        <v>36</v>
      </c>
      <c r="I207" s="85" t="n">
        <v>148284260</v>
      </c>
      <c r="K207" s="85" t="n">
        <v>1</v>
      </c>
      <c r="L207" s="85"/>
      <c r="M207" s="86"/>
      <c r="N207" s="87"/>
      <c r="O207" s="87"/>
      <c r="P207" s="88" t="n">
        <v>0</v>
      </c>
      <c r="Q207" s="89"/>
      <c r="R207" s="88" t="n">
        <v>1130.54</v>
      </c>
      <c r="S207" s="89"/>
      <c r="T207" s="88" t="n">
        <v>0</v>
      </c>
      <c r="U207" s="89"/>
      <c r="V207" s="88" t="n">
        <v>762.38</v>
      </c>
      <c r="W207" s="89"/>
      <c r="X207" s="86" t="n">
        <v>10</v>
      </c>
      <c r="Y207" s="85"/>
      <c r="Z207" s="85"/>
    </row>
    <row r="208" customFormat="false" ht="12.75" hidden="true" customHeight="true" outlineLevel="0" collapsed="false">
      <c r="A208" s="85" t="n">
        <v>2193778</v>
      </c>
      <c r="B208" s="85" t="s">
        <v>4335</v>
      </c>
      <c r="C208" s="85"/>
      <c r="D208" s="85"/>
      <c r="E208" s="85" t="s">
        <v>2400</v>
      </c>
      <c r="F208" s="85" t="s">
        <v>4336</v>
      </c>
      <c r="G208" s="85" t="n">
        <v>75017</v>
      </c>
      <c r="H208" s="85" t="s">
        <v>36</v>
      </c>
      <c r="I208" s="85" t="n">
        <v>147632155</v>
      </c>
      <c r="K208" s="85" t="n">
        <v>1</v>
      </c>
      <c r="L208" s="85"/>
      <c r="M208" s="86"/>
      <c r="N208" s="87"/>
      <c r="O208" s="87"/>
      <c r="P208" s="88" t="n">
        <v>0</v>
      </c>
      <c r="Q208" s="89"/>
      <c r="R208" s="88" t="n">
        <v>1065.66</v>
      </c>
      <c r="S208" s="89"/>
      <c r="T208" s="88" t="n">
        <v>0</v>
      </c>
      <c r="U208" s="89"/>
      <c r="V208" s="88" t="n">
        <v>1727.82</v>
      </c>
      <c r="W208" s="89" t="n">
        <v>87</v>
      </c>
      <c r="X208" s="86" t="n">
        <v>6</v>
      </c>
      <c r="Y208" s="85" t="s">
        <v>3954</v>
      </c>
      <c r="Z208" s="85"/>
    </row>
    <row r="209" customFormat="false" ht="12.75" hidden="true" customHeight="true" outlineLevel="0" collapsed="false">
      <c r="A209" s="85" t="n">
        <v>2192203</v>
      </c>
      <c r="B209" s="85" t="s">
        <v>4337</v>
      </c>
      <c r="C209" s="85"/>
      <c r="D209" s="85"/>
      <c r="E209" s="85" t="s">
        <v>645</v>
      </c>
      <c r="F209" s="85" t="s">
        <v>4338</v>
      </c>
      <c r="G209" s="85" t="n">
        <v>75015</v>
      </c>
      <c r="H209" s="85" t="s">
        <v>36</v>
      </c>
      <c r="I209" s="85" t="n">
        <v>967488593</v>
      </c>
      <c r="K209" s="85"/>
      <c r="L209" s="85"/>
      <c r="M209" s="86"/>
      <c r="N209" s="87"/>
      <c r="O209" s="87"/>
      <c r="P209" s="88" t="n">
        <v>0</v>
      </c>
      <c r="Q209" s="89"/>
      <c r="R209" s="88" t="n">
        <v>1036.22</v>
      </c>
      <c r="S209" s="89"/>
      <c r="T209" s="88" t="n">
        <v>0</v>
      </c>
      <c r="U209" s="89"/>
      <c r="V209" s="88" t="n">
        <v>1748.35</v>
      </c>
      <c r="W209" s="89" t="n">
        <v>86</v>
      </c>
      <c r="X209" s="86" t="n">
        <v>9</v>
      </c>
      <c r="Y209" s="85" t="s">
        <v>4319</v>
      </c>
      <c r="Z209" s="85"/>
    </row>
    <row r="210" customFormat="false" ht="12.75" hidden="true" customHeight="true" outlineLevel="0" collapsed="false">
      <c r="A210" s="85" t="n">
        <v>2192271</v>
      </c>
      <c r="B210" s="85" t="s">
        <v>4339</v>
      </c>
      <c r="C210" s="85"/>
      <c r="D210" s="85"/>
      <c r="E210" s="85" t="s">
        <v>1536</v>
      </c>
      <c r="F210" s="85" t="s">
        <v>2076</v>
      </c>
      <c r="G210" s="85" t="n">
        <v>75015</v>
      </c>
      <c r="H210" s="85" t="s">
        <v>36</v>
      </c>
      <c r="I210" s="85" t="n">
        <v>148285810</v>
      </c>
      <c r="K210" s="85"/>
      <c r="L210" s="85"/>
      <c r="M210" s="86"/>
      <c r="N210" s="87"/>
      <c r="O210" s="87"/>
      <c r="P210" s="88" t="n">
        <v>0</v>
      </c>
      <c r="Q210" s="89"/>
      <c r="R210" s="88" t="n">
        <v>1011.58</v>
      </c>
      <c r="S210" s="89"/>
      <c r="T210" s="88" t="n">
        <v>0</v>
      </c>
      <c r="U210" s="89"/>
      <c r="V210" s="88" t="n">
        <v>1573.87</v>
      </c>
      <c r="W210" s="89" t="n">
        <v>106</v>
      </c>
      <c r="X210" s="86" t="n">
        <v>10</v>
      </c>
      <c r="Y210" s="85" t="s">
        <v>3961</v>
      </c>
      <c r="Z210" s="85"/>
    </row>
    <row r="211" customFormat="false" ht="12.75" hidden="true" customHeight="true" outlineLevel="0" collapsed="false">
      <c r="A211" s="85" t="n">
        <v>2192533</v>
      </c>
      <c r="B211" s="85" t="s">
        <v>4340</v>
      </c>
      <c r="C211" s="85"/>
      <c r="D211" s="85"/>
      <c r="E211" s="85" t="s">
        <v>1536</v>
      </c>
      <c r="F211" s="85" t="s">
        <v>4341</v>
      </c>
      <c r="G211" s="85" t="n">
        <v>75015</v>
      </c>
      <c r="H211" s="85" t="s">
        <v>36</v>
      </c>
      <c r="I211" s="85" t="n">
        <v>148285611</v>
      </c>
      <c r="K211" s="85" t="n">
        <v>1</v>
      </c>
      <c r="L211" s="85"/>
      <c r="M211" s="86"/>
      <c r="N211" s="87"/>
      <c r="O211" s="87"/>
      <c r="P211" s="88" t="n">
        <v>0</v>
      </c>
      <c r="Q211" s="89"/>
      <c r="R211" s="88" t="n">
        <v>914.76</v>
      </c>
      <c r="S211" s="89"/>
      <c r="T211" s="88" t="n">
        <v>83.63</v>
      </c>
      <c r="U211" s="89"/>
      <c r="V211" s="88" t="n">
        <v>793.98</v>
      </c>
      <c r="W211" s="89"/>
      <c r="X211" s="86" t="n">
        <v>8</v>
      </c>
      <c r="Y211" s="85" t="s">
        <v>3922</v>
      </c>
      <c r="Z211" s="85" t="s">
        <v>3955</v>
      </c>
    </row>
    <row r="212" customFormat="false" ht="12.75" hidden="true" customHeight="true" outlineLevel="0" collapsed="false">
      <c r="A212" s="85" t="n">
        <v>2193385</v>
      </c>
      <c r="B212" s="85" t="s">
        <v>4342</v>
      </c>
      <c r="C212" s="85"/>
      <c r="D212" s="85"/>
      <c r="E212" s="85" t="s">
        <v>2672</v>
      </c>
      <c r="F212" s="85" t="s">
        <v>4343</v>
      </c>
      <c r="G212" s="85" t="n">
        <v>75017</v>
      </c>
      <c r="H212" s="85" t="s">
        <v>36</v>
      </c>
      <c r="I212" s="85" t="n">
        <v>142275033</v>
      </c>
      <c r="K212" s="85" t="n">
        <v>1</v>
      </c>
      <c r="L212" s="85"/>
      <c r="M212" s="86"/>
      <c r="N212" s="87"/>
      <c r="O212" s="87"/>
      <c r="P212" s="88" t="n">
        <v>0</v>
      </c>
      <c r="Q212" s="89"/>
      <c r="R212" s="88" t="n">
        <v>912.6</v>
      </c>
      <c r="S212" s="89"/>
      <c r="T212" s="88" t="n">
        <v>0</v>
      </c>
      <c r="U212" s="89"/>
      <c r="V212" s="88" t="n">
        <v>901.32</v>
      </c>
      <c r="W212" s="89"/>
      <c r="X212" s="86" t="n">
        <v>6</v>
      </c>
      <c r="Y212" s="85" t="s">
        <v>3961</v>
      </c>
      <c r="Z212" s="85" t="s">
        <v>3904</v>
      </c>
    </row>
    <row r="213" customFormat="false" ht="12.75" hidden="true" customHeight="true" outlineLevel="0" collapsed="false">
      <c r="A213" s="85" t="n">
        <v>2188904</v>
      </c>
      <c r="B213" s="85" t="s">
        <v>4344</v>
      </c>
      <c r="C213" s="85"/>
      <c r="D213" s="85"/>
      <c r="E213" s="85" t="s">
        <v>357</v>
      </c>
      <c r="F213" s="85" t="s">
        <v>4345</v>
      </c>
      <c r="G213" s="85" t="n">
        <v>75008</v>
      </c>
      <c r="H213" s="85" t="s">
        <v>36</v>
      </c>
      <c r="I213" s="85" t="n">
        <v>147664232</v>
      </c>
      <c r="K213" s="85"/>
      <c r="L213" s="85"/>
      <c r="M213" s="86"/>
      <c r="N213" s="87"/>
      <c r="O213" s="87"/>
      <c r="P213" s="88" t="n">
        <v>0</v>
      </c>
      <c r="Q213" s="89"/>
      <c r="R213" s="88" t="n">
        <v>897.079</v>
      </c>
      <c r="S213" s="89"/>
      <c r="T213" s="88" t="n">
        <v>0</v>
      </c>
      <c r="U213" s="89"/>
      <c r="V213" s="88" t="n">
        <v>1813.609</v>
      </c>
      <c r="W213" s="89" t="n">
        <v>78</v>
      </c>
      <c r="X213" s="86" t="n">
        <v>7</v>
      </c>
      <c r="Y213" s="85" t="s">
        <v>4319</v>
      </c>
      <c r="Z213" s="85"/>
    </row>
    <row r="214" customFormat="false" ht="12.75" hidden="true" customHeight="true" outlineLevel="0" collapsed="false">
      <c r="A214" s="85" t="n">
        <v>2192617</v>
      </c>
      <c r="B214" s="85" t="s">
        <v>4346</v>
      </c>
      <c r="C214" s="85"/>
      <c r="D214" s="85"/>
      <c r="E214" s="85" t="s">
        <v>2928</v>
      </c>
      <c r="F214" s="85" t="s">
        <v>2947</v>
      </c>
      <c r="G214" s="85" t="n">
        <v>75116</v>
      </c>
      <c r="H214" s="85" t="s">
        <v>36</v>
      </c>
      <c r="I214" s="85" t="n">
        <v>147278460</v>
      </c>
      <c r="K214" s="85"/>
      <c r="L214" s="85"/>
      <c r="M214" s="86"/>
      <c r="N214" s="87"/>
      <c r="O214" s="87"/>
      <c r="P214" s="88" t="n">
        <v>0</v>
      </c>
      <c r="Q214" s="89"/>
      <c r="R214" s="88" t="n">
        <v>872.15</v>
      </c>
      <c r="S214" s="89"/>
      <c r="T214" s="88" t="n">
        <v>217.43</v>
      </c>
      <c r="U214" s="89"/>
      <c r="V214" s="88" t="n">
        <v>713.36</v>
      </c>
      <c r="W214" s="89"/>
      <c r="X214" s="86" t="n">
        <v>5</v>
      </c>
      <c r="Y214" s="85" t="s">
        <v>3961</v>
      </c>
      <c r="Z214" s="85"/>
    </row>
    <row r="215" customFormat="false" ht="12.75" hidden="true" customHeight="true" outlineLevel="0" collapsed="false">
      <c r="A215" s="85" t="n">
        <v>2052148</v>
      </c>
      <c r="B215" s="85" t="s">
        <v>4347</v>
      </c>
      <c r="C215" s="85"/>
      <c r="D215" s="85"/>
      <c r="E215" s="85" t="s">
        <v>2672</v>
      </c>
      <c r="F215" s="85" t="s">
        <v>4348</v>
      </c>
      <c r="G215" s="85" t="n">
        <v>75008</v>
      </c>
      <c r="H215" s="85" t="s">
        <v>36</v>
      </c>
      <c r="I215" s="85" t="n">
        <v>145620241</v>
      </c>
      <c r="K215" s="85" t="n">
        <v>1</v>
      </c>
      <c r="L215" s="85"/>
      <c r="M215" s="86" t="n">
        <v>2</v>
      </c>
      <c r="N215" s="87" t="n">
        <v>44685</v>
      </c>
      <c r="O215" s="87"/>
      <c r="P215" s="88" t="n">
        <v>0</v>
      </c>
      <c r="Q215" s="89"/>
      <c r="R215" s="88" t="n">
        <v>867.99</v>
      </c>
      <c r="S215" s="89"/>
      <c r="T215" s="88" t="n">
        <v>0</v>
      </c>
      <c r="U215" s="89"/>
      <c r="V215" s="88" t="n">
        <v>446.54</v>
      </c>
      <c r="W215" s="89"/>
      <c r="X215" s="86" t="n">
        <v>5</v>
      </c>
      <c r="Y215" s="85" t="s">
        <v>4349</v>
      </c>
      <c r="Z215" s="85"/>
    </row>
    <row r="216" customFormat="false" ht="12.75" hidden="true" customHeight="true" outlineLevel="0" collapsed="false">
      <c r="A216" s="85" t="n">
        <v>2053471</v>
      </c>
      <c r="B216" s="85" t="s">
        <v>4350</v>
      </c>
      <c r="C216" s="85"/>
      <c r="D216" s="85"/>
      <c r="E216" s="85" t="s">
        <v>1536</v>
      </c>
      <c r="F216" s="85" t="s">
        <v>4351</v>
      </c>
      <c r="G216" s="85" t="n">
        <v>75015</v>
      </c>
      <c r="H216" s="85" t="s">
        <v>36</v>
      </c>
      <c r="I216" s="85" t="n">
        <v>147343566</v>
      </c>
      <c r="K216" s="85" t="n">
        <v>1</v>
      </c>
      <c r="L216" s="85"/>
      <c r="M216" s="86"/>
      <c r="N216" s="87"/>
      <c r="O216" s="87"/>
      <c r="P216" s="88" t="n">
        <v>0</v>
      </c>
      <c r="Q216" s="89"/>
      <c r="R216" s="88" t="n">
        <v>861.74</v>
      </c>
      <c r="S216" s="89"/>
      <c r="T216" s="88" t="n">
        <v>83.63</v>
      </c>
      <c r="U216" s="89"/>
      <c r="V216" s="88" t="n">
        <v>877.1</v>
      </c>
      <c r="W216" s="89"/>
      <c r="X216" s="86" t="n">
        <v>9</v>
      </c>
      <c r="Y216" s="85" t="s">
        <v>3969</v>
      </c>
      <c r="Z216" s="85"/>
    </row>
    <row r="217" customFormat="false" ht="12.75" hidden="true" customHeight="true" outlineLevel="0" collapsed="false">
      <c r="A217" s="85" t="n">
        <v>2188490</v>
      </c>
      <c r="B217" s="85" t="s">
        <v>4352</v>
      </c>
      <c r="C217" s="85"/>
      <c r="D217" s="85"/>
      <c r="E217" s="85" t="s">
        <v>1124</v>
      </c>
      <c r="F217" s="85" t="s">
        <v>4353</v>
      </c>
      <c r="G217" s="85" t="n">
        <v>75007</v>
      </c>
      <c r="H217" s="85" t="s">
        <v>36</v>
      </c>
      <c r="I217" s="85" t="n">
        <v>147055538</v>
      </c>
      <c r="K217" s="85" t="n">
        <v>1</v>
      </c>
      <c r="L217" s="85" t="n">
        <v>1</v>
      </c>
      <c r="M217" s="86" t="n">
        <v>2</v>
      </c>
      <c r="N217" s="87" t="n">
        <v>44705</v>
      </c>
      <c r="O217" s="87"/>
      <c r="P217" s="88" t="n">
        <v>0</v>
      </c>
      <c r="Q217" s="89"/>
      <c r="R217" s="88" t="n">
        <v>860.82</v>
      </c>
      <c r="S217" s="89"/>
      <c r="T217" s="88" t="n">
        <v>0</v>
      </c>
      <c r="U217" s="89"/>
      <c r="V217" s="88" t="n">
        <v>701.93</v>
      </c>
      <c r="W217" s="89"/>
      <c r="X217" s="86" t="n">
        <v>7</v>
      </c>
      <c r="Y217" s="85" t="s">
        <v>3914</v>
      </c>
      <c r="Z217" s="85"/>
    </row>
    <row r="218" customFormat="false" ht="12.75" hidden="true" customHeight="true" outlineLevel="0" collapsed="false">
      <c r="A218" s="85" t="n">
        <v>2192046</v>
      </c>
      <c r="B218" s="85" t="s">
        <v>4354</v>
      </c>
      <c r="C218" s="85"/>
      <c r="D218" s="85"/>
      <c r="E218" s="85" t="s">
        <v>1536</v>
      </c>
      <c r="F218" s="85" t="s">
        <v>4355</v>
      </c>
      <c r="G218" s="85" t="n">
        <v>75015</v>
      </c>
      <c r="H218" s="85" t="s">
        <v>36</v>
      </c>
      <c r="I218" s="85" t="n">
        <v>145329090</v>
      </c>
      <c r="K218" s="85" t="n">
        <v>1</v>
      </c>
      <c r="L218" s="85"/>
      <c r="M218" s="86"/>
      <c r="N218" s="87"/>
      <c r="O218" s="87"/>
      <c r="P218" s="88" t="n">
        <v>0</v>
      </c>
      <c r="Q218" s="89"/>
      <c r="R218" s="88" t="n">
        <v>860.03</v>
      </c>
      <c r="S218" s="89"/>
      <c r="T218" s="88" t="n">
        <v>0</v>
      </c>
      <c r="U218" s="89"/>
      <c r="V218" s="88" t="n">
        <v>640.74</v>
      </c>
      <c r="W218" s="89"/>
      <c r="X218" s="86" t="n">
        <v>10</v>
      </c>
      <c r="Y218" s="85" t="s">
        <v>4045</v>
      </c>
      <c r="Z218" s="85" t="s">
        <v>3904</v>
      </c>
    </row>
    <row r="219" customFormat="false" ht="12.75" hidden="true" customHeight="true" outlineLevel="0" collapsed="false">
      <c r="A219" s="85" t="n">
        <v>2054035</v>
      </c>
      <c r="B219" s="85" t="s">
        <v>4356</v>
      </c>
      <c r="C219" s="85"/>
      <c r="D219" s="85"/>
      <c r="E219" s="85" t="s">
        <v>2672</v>
      </c>
      <c r="F219" s="85" t="s">
        <v>4357</v>
      </c>
      <c r="G219" s="85" t="n">
        <v>75017</v>
      </c>
      <c r="H219" s="85" t="s">
        <v>36</v>
      </c>
      <c r="I219" s="85" t="n">
        <v>147633993</v>
      </c>
      <c r="K219" s="85"/>
      <c r="L219" s="85"/>
      <c r="M219" s="86"/>
      <c r="N219" s="87"/>
      <c r="O219" s="87"/>
      <c r="P219" s="88" t="n">
        <v>0</v>
      </c>
      <c r="Q219" s="89"/>
      <c r="R219" s="88" t="n">
        <v>779.88</v>
      </c>
      <c r="S219" s="89"/>
      <c r="T219" s="88" t="n">
        <v>0</v>
      </c>
      <c r="U219" s="89"/>
      <c r="V219" s="88" t="n">
        <v>1688.03</v>
      </c>
      <c r="W219" s="89" t="n">
        <v>96</v>
      </c>
      <c r="X219" s="86" t="n">
        <v>10</v>
      </c>
      <c r="Y219" s="85" t="s">
        <v>3922</v>
      </c>
      <c r="Z219" s="85"/>
    </row>
    <row r="220" customFormat="false" ht="12.75" hidden="true" customHeight="true" outlineLevel="0" collapsed="false">
      <c r="A220" s="85" t="n">
        <v>2188705</v>
      </c>
      <c r="B220" s="85" t="s">
        <v>4358</v>
      </c>
      <c r="C220" s="85"/>
      <c r="D220" s="85"/>
      <c r="E220" s="85" t="s">
        <v>2672</v>
      </c>
      <c r="F220" s="85" t="s">
        <v>4359</v>
      </c>
      <c r="G220" s="85" t="n">
        <v>75008</v>
      </c>
      <c r="H220" s="85" t="s">
        <v>36</v>
      </c>
      <c r="I220" s="85" t="n">
        <v>145637920</v>
      </c>
      <c r="K220" s="85" t="n">
        <v>1</v>
      </c>
      <c r="L220" s="85"/>
      <c r="M220" s="86"/>
      <c r="N220" s="87"/>
      <c r="O220" s="87"/>
      <c r="P220" s="88" t="n">
        <v>0</v>
      </c>
      <c r="Q220" s="89"/>
      <c r="R220" s="88" t="n">
        <v>684.6456</v>
      </c>
      <c r="S220" s="89"/>
      <c r="T220" s="88" t="n">
        <v>0</v>
      </c>
      <c r="U220" s="89"/>
      <c r="V220" s="88" t="n">
        <v>600.6</v>
      </c>
      <c r="W220" s="89"/>
      <c r="X220" s="86" t="n">
        <v>8</v>
      </c>
      <c r="Y220" s="85" t="s">
        <v>4280</v>
      </c>
      <c r="Z220" s="85" t="s">
        <v>3927</v>
      </c>
    </row>
    <row r="221" customFormat="false" ht="12.75" hidden="true" customHeight="true" outlineLevel="0" collapsed="false">
      <c r="A221" s="85" t="n">
        <v>2193034</v>
      </c>
      <c r="B221" s="85" t="s">
        <v>4360</v>
      </c>
      <c r="C221" s="85"/>
      <c r="D221" s="85"/>
      <c r="E221" s="85" t="s">
        <v>2928</v>
      </c>
      <c r="F221" s="85" t="s">
        <v>4361</v>
      </c>
      <c r="G221" s="85" t="n">
        <v>75116</v>
      </c>
      <c r="H221" s="85" t="s">
        <v>36</v>
      </c>
      <c r="I221" s="85" t="n">
        <v>145005634</v>
      </c>
      <c r="K221" s="85"/>
      <c r="L221" s="85"/>
      <c r="M221" s="86"/>
      <c r="N221" s="87"/>
      <c r="O221" s="87"/>
      <c r="P221" s="88" t="n">
        <v>0</v>
      </c>
      <c r="Q221" s="89"/>
      <c r="R221" s="88" t="n">
        <v>684.03</v>
      </c>
      <c r="S221" s="89"/>
      <c r="T221" s="88" t="n">
        <v>0</v>
      </c>
      <c r="U221" s="89"/>
      <c r="V221" s="88" t="n">
        <v>988.44</v>
      </c>
      <c r="W221" s="89"/>
      <c r="X221" s="86" t="n">
        <v>8</v>
      </c>
      <c r="Y221" s="85" t="s">
        <v>3914</v>
      </c>
      <c r="Z221" s="85"/>
    </row>
    <row r="222" customFormat="false" ht="12.75" hidden="true" customHeight="true" outlineLevel="0" collapsed="false">
      <c r="A222" s="85" t="n">
        <v>2193186</v>
      </c>
      <c r="B222" s="85" t="s">
        <v>4362</v>
      </c>
      <c r="C222" s="85"/>
      <c r="D222" s="85"/>
      <c r="E222" s="85" t="s">
        <v>2672</v>
      </c>
      <c r="F222" s="85" t="s">
        <v>4363</v>
      </c>
      <c r="G222" s="85" t="n">
        <v>75017</v>
      </c>
      <c r="H222" s="85" t="s">
        <v>36</v>
      </c>
      <c r="I222" s="85" t="n">
        <v>145741109</v>
      </c>
      <c r="K222" s="85"/>
      <c r="L222" s="85"/>
      <c r="M222" s="86"/>
      <c r="N222" s="87"/>
      <c r="O222" s="87"/>
      <c r="P222" s="88" t="n">
        <v>0</v>
      </c>
      <c r="Q222" s="89"/>
      <c r="R222" s="88" t="n">
        <v>669.2208</v>
      </c>
      <c r="S222" s="89"/>
      <c r="T222" s="88" t="n">
        <v>0</v>
      </c>
      <c r="U222" s="89"/>
      <c r="V222" s="88" t="n">
        <v>796.08</v>
      </c>
      <c r="W222" s="89"/>
      <c r="X222" s="86" t="n">
        <v>10</v>
      </c>
      <c r="Y222" s="85" t="s">
        <v>4280</v>
      </c>
      <c r="Z222" s="85"/>
    </row>
    <row r="223" customFormat="false" ht="12.75" hidden="true" customHeight="true" outlineLevel="0" collapsed="false">
      <c r="A223" s="85" t="n">
        <v>2053597</v>
      </c>
      <c r="B223" s="85" t="s">
        <v>4364</v>
      </c>
      <c r="C223" s="85"/>
      <c r="D223" s="85"/>
      <c r="E223" s="85" t="s">
        <v>645</v>
      </c>
      <c r="F223" s="85" t="s">
        <v>4365</v>
      </c>
      <c r="G223" s="85" t="n">
        <v>75015</v>
      </c>
      <c r="H223" s="85" t="s">
        <v>36</v>
      </c>
      <c r="I223" s="85" t="n">
        <v>145576280</v>
      </c>
      <c r="K223" s="85"/>
      <c r="L223" s="85"/>
      <c r="M223" s="86"/>
      <c r="N223" s="87"/>
      <c r="O223" s="87"/>
      <c r="P223" s="88" t="n">
        <v>0</v>
      </c>
      <c r="Q223" s="89"/>
      <c r="R223" s="88" t="n">
        <v>602.67</v>
      </c>
      <c r="S223" s="89"/>
      <c r="T223" s="88" t="n">
        <v>0</v>
      </c>
      <c r="U223" s="89"/>
      <c r="V223" s="88" t="n">
        <v>495.78</v>
      </c>
      <c r="W223" s="89"/>
      <c r="X223" s="86" t="n">
        <v>9</v>
      </c>
      <c r="Y223" s="85" t="s">
        <v>4104</v>
      </c>
      <c r="Z223" s="85"/>
    </row>
    <row r="224" customFormat="false" ht="12.75" hidden="true" customHeight="true" outlineLevel="0" collapsed="false">
      <c r="A224" s="85" t="n">
        <v>2052038</v>
      </c>
      <c r="B224" s="85" t="s">
        <v>4366</v>
      </c>
      <c r="C224" s="85"/>
      <c r="D224" s="85"/>
      <c r="E224" s="85" t="s">
        <v>1124</v>
      </c>
      <c r="F224" s="85" t="s">
        <v>4367</v>
      </c>
      <c r="G224" s="85" t="n">
        <v>75007</v>
      </c>
      <c r="H224" s="85" t="s">
        <v>36</v>
      </c>
      <c r="I224" s="85" t="n">
        <v>145482086</v>
      </c>
      <c r="K224" s="85"/>
      <c r="L224" s="85"/>
      <c r="M224" s="86"/>
      <c r="N224" s="87"/>
      <c r="O224" s="87"/>
      <c r="P224" s="88" t="n">
        <v>0</v>
      </c>
      <c r="Q224" s="89"/>
      <c r="R224" s="88" t="n">
        <v>588.59</v>
      </c>
      <c r="S224" s="89"/>
      <c r="T224" s="88" t="n">
        <v>0</v>
      </c>
      <c r="U224" s="89"/>
      <c r="V224" s="88" t="n">
        <v>583.91</v>
      </c>
      <c r="W224" s="89"/>
      <c r="X224" s="86" t="n">
        <v>9</v>
      </c>
      <c r="Y224" s="85" t="s">
        <v>4024</v>
      </c>
      <c r="Z224" s="85"/>
    </row>
    <row r="225" customFormat="false" ht="12.75" hidden="true" customHeight="true" outlineLevel="0" collapsed="false">
      <c r="A225" s="85" t="n">
        <v>2188574</v>
      </c>
      <c r="B225" s="85" t="s">
        <v>4368</v>
      </c>
      <c r="C225" s="85"/>
      <c r="D225" s="85"/>
      <c r="E225" s="85" t="s">
        <v>1124</v>
      </c>
      <c r="F225" s="85" t="s">
        <v>4369</v>
      </c>
      <c r="G225" s="85" t="n">
        <v>75007</v>
      </c>
      <c r="H225" s="85" t="s">
        <v>36</v>
      </c>
      <c r="I225" s="85" t="n">
        <v>145485424</v>
      </c>
      <c r="K225" s="85" t="n">
        <v>1</v>
      </c>
      <c r="L225" s="85"/>
      <c r="M225" s="86" t="n">
        <v>2</v>
      </c>
      <c r="N225" s="87" t="n">
        <v>44700</v>
      </c>
      <c r="O225" s="87"/>
      <c r="P225" s="88" t="n">
        <v>0</v>
      </c>
      <c r="Q225" s="89"/>
      <c r="R225" s="88" t="n">
        <v>580.33</v>
      </c>
      <c r="S225" s="89"/>
      <c r="T225" s="88" t="n">
        <v>384.68</v>
      </c>
      <c r="U225" s="89"/>
      <c r="V225" s="88" t="n">
        <v>637.95</v>
      </c>
      <c r="W225" s="89"/>
      <c r="X225" s="86" t="n">
        <v>4</v>
      </c>
      <c r="Y225" s="85" t="s">
        <v>3919</v>
      </c>
      <c r="Z225" s="85"/>
    </row>
    <row r="226" customFormat="false" ht="12.75" hidden="true" customHeight="true" outlineLevel="0" collapsed="false">
      <c r="A226" s="85" t="n">
        <v>2051956</v>
      </c>
      <c r="B226" s="85" t="s">
        <v>4370</v>
      </c>
      <c r="C226" s="85"/>
      <c r="D226" s="85"/>
      <c r="E226" s="85" t="s">
        <v>1124</v>
      </c>
      <c r="F226" s="85" t="s">
        <v>4371</v>
      </c>
      <c r="G226" s="85" t="n">
        <v>75007</v>
      </c>
      <c r="H226" s="85" t="s">
        <v>36</v>
      </c>
      <c r="I226" s="85" t="n">
        <v>145488077</v>
      </c>
      <c r="K226" s="85" t="n">
        <v>1</v>
      </c>
      <c r="L226" s="85"/>
      <c r="M226" s="86"/>
      <c r="N226" s="87"/>
      <c r="O226" s="87"/>
      <c r="P226" s="88" t="n">
        <v>0</v>
      </c>
      <c r="Q226" s="89"/>
      <c r="R226" s="88" t="n">
        <v>579.64</v>
      </c>
      <c r="S226" s="89"/>
      <c r="T226" s="88" t="n">
        <v>0</v>
      </c>
      <c r="U226" s="89"/>
      <c r="V226" s="88" t="n">
        <v>609.58</v>
      </c>
      <c r="W226" s="89"/>
      <c r="X226" s="86" t="n">
        <v>6</v>
      </c>
      <c r="Y226" s="85" t="s">
        <v>3954</v>
      </c>
      <c r="Z226" s="85" t="s">
        <v>3927</v>
      </c>
    </row>
    <row r="227" customFormat="false" ht="12.75" hidden="true" customHeight="true" outlineLevel="0" collapsed="false">
      <c r="A227" s="85" t="n">
        <v>2051961</v>
      </c>
      <c r="B227" s="85" t="s">
        <v>4372</v>
      </c>
      <c r="C227" s="85"/>
      <c r="D227" s="85"/>
      <c r="E227" s="85" t="s">
        <v>1124</v>
      </c>
      <c r="F227" s="85" t="s">
        <v>4373</v>
      </c>
      <c r="G227" s="85" t="n">
        <v>75007</v>
      </c>
      <c r="H227" s="85" t="s">
        <v>36</v>
      </c>
      <c r="I227" s="85" t="n">
        <v>147054125</v>
      </c>
      <c r="K227" s="85" t="n">
        <v>1</v>
      </c>
      <c r="L227" s="85"/>
      <c r="M227" s="86"/>
      <c r="N227" s="87"/>
      <c r="O227" s="87"/>
      <c r="P227" s="88" t="n">
        <v>0</v>
      </c>
      <c r="Q227" s="89"/>
      <c r="R227" s="88" t="n">
        <v>576.84</v>
      </c>
      <c r="S227" s="89"/>
      <c r="T227" s="88" t="n">
        <v>0</v>
      </c>
      <c r="U227" s="89"/>
      <c r="V227" s="88" t="n">
        <v>1025.46</v>
      </c>
      <c r="W227" s="89"/>
      <c r="X227" s="86" t="n">
        <v>6</v>
      </c>
      <c r="Y227" s="85" t="s">
        <v>3954</v>
      </c>
      <c r="Z227" s="85"/>
    </row>
    <row r="228" customFormat="false" ht="12.75" hidden="true" customHeight="true" outlineLevel="0" collapsed="false">
      <c r="A228" s="85" t="n">
        <v>2054103</v>
      </c>
      <c r="B228" s="85" t="s">
        <v>4374</v>
      </c>
      <c r="C228" s="85"/>
      <c r="D228" s="85"/>
      <c r="E228" s="85" t="s">
        <v>2400</v>
      </c>
      <c r="F228" s="85" t="s">
        <v>4375</v>
      </c>
      <c r="G228" s="85" t="n">
        <v>75017</v>
      </c>
      <c r="H228" s="85" t="s">
        <v>36</v>
      </c>
      <c r="I228" s="85" t="n">
        <v>143805800</v>
      </c>
      <c r="K228" s="85" t="n">
        <v>1</v>
      </c>
      <c r="L228" s="85"/>
      <c r="M228" s="86"/>
      <c r="N228" s="87"/>
      <c r="O228" s="87"/>
      <c r="P228" s="88" t="n">
        <v>0</v>
      </c>
      <c r="Q228" s="89"/>
      <c r="R228" s="88" t="n">
        <v>556.27</v>
      </c>
      <c r="S228" s="89"/>
      <c r="T228" s="88" t="n">
        <v>0</v>
      </c>
      <c r="U228" s="89"/>
      <c r="V228" s="88" t="n">
        <v>660.94</v>
      </c>
      <c r="W228" s="89"/>
      <c r="X228" s="86" t="n">
        <v>8</v>
      </c>
      <c r="Y228" s="85" t="s">
        <v>4280</v>
      </c>
      <c r="Z228" s="85"/>
    </row>
    <row r="229" customFormat="false" ht="12.75" hidden="true" customHeight="true" outlineLevel="0" collapsed="false">
      <c r="A229" s="85" t="n">
        <v>2192423</v>
      </c>
      <c r="B229" s="85" t="s">
        <v>4376</v>
      </c>
      <c r="C229" s="85"/>
      <c r="D229" s="85"/>
      <c r="E229" s="85" t="s">
        <v>3238</v>
      </c>
      <c r="F229" s="85" t="s">
        <v>4377</v>
      </c>
      <c r="G229" s="85" t="n">
        <v>75015</v>
      </c>
      <c r="H229" s="85" t="s">
        <v>36</v>
      </c>
      <c r="I229" s="85" t="n">
        <v>145324262</v>
      </c>
      <c r="K229" s="85"/>
      <c r="L229" s="85"/>
      <c r="M229" s="86"/>
      <c r="N229" s="87"/>
      <c r="O229" s="87"/>
      <c r="P229" s="88" t="n">
        <v>0</v>
      </c>
      <c r="Q229" s="89"/>
      <c r="R229" s="88" t="n">
        <v>555.95</v>
      </c>
      <c r="S229" s="89"/>
      <c r="T229" s="88" t="n">
        <v>0</v>
      </c>
      <c r="U229" s="89"/>
      <c r="V229" s="88" t="n">
        <v>672.75</v>
      </c>
      <c r="W229" s="89"/>
      <c r="X229" s="86" t="n">
        <v>9</v>
      </c>
      <c r="Y229" s="85" t="s">
        <v>4319</v>
      </c>
      <c r="Z229" s="85"/>
    </row>
    <row r="230" customFormat="false" ht="12.75" hidden="true" customHeight="true" outlineLevel="0" collapsed="false">
      <c r="A230" s="85" t="n">
        <v>2192994</v>
      </c>
      <c r="B230" s="85" t="s">
        <v>4378</v>
      </c>
      <c r="C230" s="85"/>
      <c r="D230" s="85"/>
      <c r="E230" s="85" t="s">
        <v>2928</v>
      </c>
      <c r="F230" s="85" t="s">
        <v>4379</v>
      </c>
      <c r="G230" s="85" t="n">
        <v>75116</v>
      </c>
      <c r="H230" s="85" t="s">
        <v>36</v>
      </c>
      <c r="I230" s="85" t="n">
        <v>147205426</v>
      </c>
      <c r="K230" s="85"/>
      <c r="L230" s="85"/>
      <c r="M230" s="86"/>
      <c r="N230" s="87"/>
      <c r="O230" s="87"/>
      <c r="P230" s="88" t="n">
        <v>0</v>
      </c>
      <c r="Q230" s="89"/>
      <c r="R230" s="88" t="n">
        <v>485.4</v>
      </c>
      <c r="S230" s="89"/>
      <c r="T230" s="88" t="n">
        <v>0</v>
      </c>
      <c r="U230" s="89"/>
      <c r="V230" s="88" t="n">
        <v>48.54</v>
      </c>
      <c r="W230" s="89"/>
      <c r="X230" s="86" t="n">
        <v>9</v>
      </c>
      <c r="Y230" s="85"/>
      <c r="Z230" s="85"/>
    </row>
    <row r="231" customFormat="false" ht="12.75" hidden="true" customHeight="true" outlineLevel="0" collapsed="false">
      <c r="A231" s="85" t="n">
        <v>2053445</v>
      </c>
      <c r="B231" s="85" t="s">
        <v>4380</v>
      </c>
      <c r="C231" s="85"/>
      <c r="D231" s="85"/>
      <c r="E231" s="85" t="s">
        <v>645</v>
      </c>
      <c r="F231" s="85" t="s">
        <v>4381</v>
      </c>
      <c r="G231" s="85" t="n">
        <v>75015</v>
      </c>
      <c r="H231" s="85" t="s">
        <v>36</v>
      </c>
      <c r="I231" s="85" t="n">
        <v>145778523</v>
      </c>
      <c r="K231" s="85" t="n">
        <v>1</v>
      </c>
      <c r="L231" s="85"/>
      <c r="M231" s="86"/>
      <c r="N231" s="87"/>
      <c r="O231" s="87"/>
      <c r="P231" s="88" t="n">
        <v>0</v>
      </c>
      <c r="Q231" s="89"/>
      <c r="R231" s="88" t="n">
        <v>450.09</v>
      </c>
      <c r="S231" s="89"/>
      <c r="T231" s="88" t="n">
        <v>167.26</v>
      </c>
      <c r="U231" s="89"/>
      <c r="V231" s="88" t="n">
        <v>718.73</v>
      </c>
      <c r="W231" s="89"/>
      <c r="X231" s="86" t="n">
        <v>6</v>
      </c>
      <c r="Y231" s="85" t="s">
        <v>3969</v>
      </c>
      <c r="Z231" s="85"/>
    </row>
    <row r="232" customFormat="false" ht="12.75" hidden="true" customHeight="true" outlineLevel="0" collapsed="false">
      <c r="A232" s="85" t="n">
        <v>2052127</v>
      </c>
      <c r="B232" s="85" t="s">
        <v>4382</v>
      </c>
      <c r="C232" s="85"/>
      <c r="D232" s="85"/>
      <c r="E232" s="85" t="s">
        <v>357</v>
      </c>
      <c r="F232" s="85" t="s">
        <v>4383</v>
      </c>
      <c r="G232" s="85" t="n">
        <v>75008</v>
      </c>
      <c r="H232" s="85" t="s">
        <v>36</v>
      </c>
      <c r="I232" s="85" t="n">
        <v>143592371</v>
      </c>
      <c r="K232" s="85" t="n">
        <v>1</v>
      </c>
      <c r="L232" s="85"/>
      <c r="M232" s="86"/>
      <c r="N232" s="87"/>
      <c r="O232" s="87"/>
      <c r="P232" s="88" t="n">
        <v>0</v>
      </c>
      <c r="Q232" s="89"/>
      <c r="R232" s="88" t="n">
        <v>446.64</v>
      </c>
      <c r="S232" s="89"/>
      <c r="T232" s="88" t="n">
        <v>0</v>
      </c>
      <c r="U232" s="89"/>
      <c r="V232" s="88" t="n">
        <v>511.44</v>
      </c>
      <c r="W232" s="89"/>
      <c r="X232" s="86" t="n">
        <v>7</v>
      </c>
      <c r="Y232" s="85" t="s">
        <v>4128</v>
      </c>
      <c r="Z232" s="85"/>
    </row>
    <row r="233" customFormat="false" ht="12.75" hidden="true" customHeight="true" outlineLevel="0" collapsed="false">
      <c r="A233" s="85" t="n">
        <v>2053953</v>
      </c>
      <c r="B233" s="85" t="s">
        <v>4384</v>
      </c>
      <c r="C233" s="85"/>
      <c r="D233" s="85"/>
      <c r="E233" s="85" t="s">
        <v>2400</v>
      </c>
      <c r="F233" s="85" t="s">
        <v>4385</v>
      </c>
      <c r="G233" s="85" t="n">
        <v>75017</v>
      </c>
      <c r="H233" s="85" t="s">
        <v>36</v>
      </c>
      <c r="I233" s="85" t="n">
        <v>145743649</v>
      </c>
      <c r="K233" s="85" t="n">
        <v>1</v>
      </c>
      <c r="L233" s="85"/>
      <c r="M233" s="86"/>
      <c r="N233" s="87"/>
      <c r="O233" s="87"/>
      <c r="P233" s="88" t="n">
        <v>0</v>
      </c>
      <c r="Q233" s="89"/>
      <c r="R233" s="88" t="n">
        <v>428.4</v>
      </c>
      <c r="S233" s="89"/>
      <c r="T233" s="88" t="n">
        <v>167.26</v>
      </c>
      <c r="U233" s="89"/>
      <c r="V233" s="88" t="n">
        <v>830.01</v>
      </c>
      <c r="W233" s="89"/>
      <c r="X233" s="86" t="n">
        <v>7</v>
      </c>
      <c r="Y233" s="85" t="s">
        <v>4104</v>
      </c>
      <c r="Z233" s="85" t="s">
        <v>3927</v>
      </c>
    </row>
    <row r="234" customFormat="false" ht="12.75" hidden="true" customHeight="true" outlineLevel="0" collapsed="false">
      <c r="A234" s="85" t="n">
        <v>2193280</v>
      </c>
      <c r="B234" s="85" t="s">
        <v>4386</v>
      </c>
      <c r="C234" s="85"/>
      <c r="D234" s="85"/>
      <c r="E234" s="85" t="s">
        <v>2400</v>
      </c>
      <c r="F234" s="85" t="s">
        <v>4387</v>
      </c>
      <c r="G234" s="85" t="n">
        <v>75017</v>
      </c>
      <c r="H234" s="85" t="s">
        <v>36</v>
      </c>
      <c r="I234" s="85" t="n">
        <v>142670433</v>
      </c>
      <c r="K234" s="85"/>
      <c r="L234" s="85"/>
      <c r="M234" s="86"/>
      <c r="N234" s="87"/>
      <c r="O234" s="87"/>
      <c r="P234" s="88" t="n">
        <v>0</v>
      </c>
      <c r="Q234" s="89"/>
      <c r="R234" s="88" t="n">
        <v>407.03</v>
      </c>
      <c r="S234" s="89"/>
      <c r="T234" s="88" t="n">
        <v>0</v>
      </c>
      <c r="U234" s="89"/>
      <c r="V234" s="88" t="n">
        <v>229.43</v>
      </c>
      <c r="W234" s="89"/>
      <c r="X234" s="86" t="n">
        <v>10</v>
      </c>
      <c r="Y234" s="85"/>
      <c r="Z234" s="85"/>
    </row>
    <row r="235" customFormat="false" ht="12.75" hidden="true" customHeight="true" outlineLevel="0" collapsed="false">
      <c r="A235" s="85" t="n">
        <v>2228721</v>
      </c>
      <c r="B235" s="85" t="s">
        <v>4388</v>
      </c>
      <c r="C235" s="85"/>
      <c r="D235" s="85"/>
      <c r="E235" s="85" t="s">
        <v>3621</v>
      </c>
      <c r="F235" s="85" t="s">
        <v>3661</v>
      </c>
      <c r="G235" s="85" t="n">
        <v>92200</v>
      </c>
      <c r="H235" s="85" t="s">
        <v>3932</v>
      </c>
      <c r="I235" s="85" t="n">
        <v>146240110</v>
      </c>
      <c r="K235" s="85"/>
      <c r="L235" s="85"/>
      <c r="M235" s="86"/>
      <c r="N235" s="87"/>
      <c r="O235" s="87"/>
      <c r="P235" s="88" t="n">
        <v>0</v>
      </c>
      <c r="Q235" s="89"/>
      <c r="R235" s="88" t="n">
        <v>405.75</v>
      </c>
      <c r="S235" s="89"/>
      <c r="T235" s="88" t="n">
        <v>0</v>
      </c>
      <c r="U235" s="89"/>
      <c r="V235" s="88" t="n">
        <v>585.13</v>
      </c>
      <c r="W235" s="89"/>
      <c r="X235" s="86" t="n">
        <v>8</v>
      </c>
      <c r="Y235" s="85" t="s">
        <v>4104</v>
      </c>
      <c r="Z235" s="85"/>
    </row>
    <row r="236" customFormat="false" ht="12.75" hidden="false" customHeight="true" outlineLevel="0" collapsed="false">
      <c r="A236" s="85" t="n">
        <v>2193008</v>
      </c>
      <c r="B236" s="85" t="s">
        <v>4389</v>
      </c>
      <c r="C236" s="85"/>
      <c r="D236" s="85"/>
      <c r="E236" s="85" t="s">
        <v>2928</v>
      </c>
      <c r="F236" s="85" t="s">
        <v>4390</v>
      </c>
      <c r="G236" s="85" t="n">
        <v>75116</v>
      </c>
      <c r="H236" s="85" t="s">
        <v>36</v>
      </c>
      <c r="I236" s="85" t="n">
        <v>145005340</v>
      </c>
      <c r="K236" s="85"/>
      <c r="L236" s="85"/>
      <c r="M236" s="86"/>
      <c r="N236" s="87"/>
      <c r="O236" s="87"/>
      <c r="P236" s="88" t="n">
        <v>0</v>
      </c>
      <c r="Q236" s="89"/>
      <c r="R236" s="88" t="n">
        <v>387.3144</v>
      </c>
      <c r="S236" s="89"/>
      <c r="T236" s="88" t="n">
        <v>0</v>
      </c>
      <c r="U236" s="89"/>
      <c r="V236" s="88" t="n">
        <v>493.42</v>
      </c>
      <c r="W236" s="89"/>
      <c r="X236" s="86" t="n">
        <v>9</v>
      </c>
      <c r="Y236" s="85"/>
      <c r="Z236" s="85"/>
    </row>
    <row r="237" customFormat="false" ht="12.75" hidden="true" customHeight="true" outlineLevel="0" collapsed="false">
      <c r="A237" s="85" t="n">
        <v>2193432</v>
      </c>
      <c r="B237" s="85" t="s">
        <v>4391</v>
      </c>
      <c r="C237" s="85"/>
      <c r="D237" s="85"/>
      <c r="E237" s="85" t="s">
        <v>2672</v>
      </c>
      <c r="F237" s="85" t="s">
        <v>4392</v>
      </c>
      <c r="G237" s="85" t="n">
        <v>75017</v>
      </c>
      <c r="H237" s="85" t="s">
        <v>36</v>
      </c>
      <c r="I237" s="85" t="n">
        <v>146220485</v>
      </c>
      <c r="K237" s="85" t="n">
        <v>1</v>
      </c>
      <c r="L237" s="85"/>
      <c r="M237" s="86"/>
      <c r="N237" s="87"/>
      <c r="O237" s="87"/>
      <c r="P237" s="88" t="n">
        <v>0</v>
      </c>
      <c r="Q237" s="89"/>
      <c r="R237" s="88" t="n">
        <v>352.73</v>
      </c>
      <c r="S237" s="89"/>
      <c r="T237" s="88" t="n">
        <v>83.63</v>
      </c>
      <c r="U237" s="89"/>
      <c r="V237" s="88" t="n">
        <v>470.92</v>
      </c>
      <c r="W237" s="89"/>
      <c r="X237" s="86" t="n">
        <v>8</v>
      </c>
      <c r="Y237" s="85" t="s">
        <v>3969</v>
      </c>
      <c r="Z237" s="85"/>
    </row>
    <row r="238" customFormat="false" ht="12.75" hidden="true" customHeight="true" outlineLevel="0" collapsed="false">
      <c r="A238" s="85" t="n">
        <v>2192360</v>
      </c>
      <c r="B238" s="85" t="s">
        <v>4393</v>
      </c>
      <c r="C238" s="85"/>
      <c r="D238" s="85"/>
      <c r="E238" s="85" t="s">
        <v>1536</v>
      </c>
      <c r="F238" s="85" t="s">
        <v>4394</v>
      </c>
      <c r="G238" s="85" t="n">
        <v>75015</v>
      </c>
      <c r="H238" s="85" t="s">
        <v>36</v>
      </c>
      <c r="I238" s="85" t="n">
        <v>143207819</v>
      </c>
      <c r="K238" s="85" t="n">
        <v>1</v>
      </c>
      <c r="L238" s="85"/>
      <c r="M238" s="86"/>
      <c r="N238" s="87"/>
      <c r="O238" s="87"/>
      <c r="P238" s="88" t="n">
        <v>0</v>
      </c>
      <c r="Q238" s="89"/>
      <c r="R238" s="88" t="n">
        <v>323.71</v>
      </c>
      <c r="S238" s="89"/>
      <c r="T238" s="88" t="n">
        <v>83.63</v>
      </c>
      <c r="U238" s="89"/>
      <c r="V238" s="88" t="n">
        <v>695.8</v>
      </c>
      <c r="W238" s="89"/>
      <c r="X238" s="86" t="n">
        <v>10</v>
      </c>
      <c r="Y238" s="85"/>
      <c r="Z238" s="85" t="s">
        <v>3904</v>
      </c>
    </row>
    <row r="239" customFormat="false" ht="12.75" hidden="true" customHeight="true" outlineLevel="0" collapsed="false">
      <c r="A239" s="85" t="n">
        <v>2053995</v>
      </c>
      <c r="B239" s="85" t="s">
        <v>4395</v>
      </c>
      <c r="C239" s="85"/>
      <c r="D239" s="85"/>
      <c r="E239" s="85" t="s">
        <v>2672</v>
      </c>
      <c r="F239" s="85" t="s">
        <v>4396</v>
      </c>
      <c r="G239" s="85" t="n">
        <v>75017</v>
      </c>
      <c r="H239" s="85" t="s">
        <v>36</v>
      </c>
      <c r="I239" s="85" t="n">
        <v>147632869</v>
      </c>
      <c r="K239" s="85" t="n">
        <v>1</v>
      </c>
      <c r="L239" s="85"/>
      <c r="M239" s="86"/>
      <c r="N239" s="87"/>
      <c r="O239" s="87"/>
      <c r="P239" s="88" t="n">
        <v>0</v>
      </c>
      <c r="Q239" s="89"/>
      <c r="R239" s="88" t="n">
        <v>267.62</v>
      </c>
      <c r="S239" s="89"/>
      <c r="T239" s="88" t="n">
        <v>83.63</v>
      </c>
      <c r="U239" s="89"/>
      <c r="V239" s="88" t="n">
        <v>165.9</v>
      </c>
      <c r="W239" s="89"/>
      <c r="X239" s="86" t="n">
        <v>8</v>
      </c>
      <c r="Y239" s="85" t="s">
        <v>3926</v>
      </c>
      <c r="Z239" s="85"/>
    </row>
    <row r="240" customFormat="false" ht="12.75" hidden="true" customHeight="true" outlineLevel="0" collapsed="false">
      <c r="A240" s="85" t="n">
        <v>2053555</v>
      </c>
      <c r="B240" s="85" t="s">
        <v>4397</v>
      </c>
      <c r="C240" s="85"/>
      <c r="D240" s="85"/>
      <c r="E240" s="85" t="s">
        <v>645</v>
      </c>
      <c r="F240" s="85" t="s">
        <v>4398</v>
      </c>
      <c r="G240" s="85" t="n">
        <v>75015</v>
      </c>
      <c r="H240" s="85" t="s">
        <v>36</v>
      </c>
      <c r="I240" s="85" t="n">
        <v>145791543</v>
      </c>
      <c r="K240" s="85"/>
      <c r="L240" s="85"/>
      <c r="M240" s="86"/>
      <c r="N240" s="87"/>
      <c r="O240" s="87"/>
      <c r="P240" s="88" t="n">
        <v>0</v>
      </c>
      <c r="Q240" s="89"/>
      <c r="R240" s="88" t="n">
        <v>259.88</v>
      </c>
      <c r="S240" s="89"/>
      <c r="T240" s="88" t="n">
        <v>0</v>
      </c>
      <c r="U240" s="89"/>
      <c r="V240" s="88" t="n">
        <v>129.18</v>
      </c>
      <c r="W240" s="89"/>
      <c r="X240" s="86" t="n">
        <v>10</v>
      </c>
      <c r="Y240" s="85" t="s">
        <v>3922</v>
      </c>
      <c r="Z240" s="85"/>
    </row>
    <row r="241" customFormat="false" ht="12.75" hidden="true" customHeight="true" outlineLevel="0" collapsed="false">
      <c r="A241" s="85" t="n">
        <v>2192884</v>
      </c>
      <c r="B241" s="85" t="s">
        <v>4399</v>
      </c>
      <c r="C241" s="85"/>
      <c r="D241" s="85"/>
      <c r="E241" s="85" t="s">
        <v>2928</v>
      </c>
      <c r="F241" s="85" t="s">
        <v>4400</v>
      </c>
      <c r="G241" s="85" t="n">
        <v>75116</v>
      </c>
      <c r="H241" s="85" t="s">
        <v>36</v>
      </c>
      <c r="I241" s="85" t="n">
        <v>147204969</v>
      </c>
      <c r="K241" s="85"/>
      <c r="L241" s="85"/>
      <c r="M241" s="86"/>
      <c r="N241" s="87"/>
      <c r="O241" s="87"/>
      <c r="P241" s="88" t="n">
        <v>0</v>
      </c>
      <c r="Q241" s="89"/>
      <c r="R241" s="88" t="n">
        <v>236.73</v>
      </c>
      <c r="S241" s="89"/>
      <c r="T241" s="88" t="n">
        <v>0</v>
      </c>
      <c r="U241" s="89"/>
      <c r="V241" s="88" t="n">
        <v>236.73</v>
      </c>
      <c r="W241" s="89"/>
      <c r="X241" s="86" t="n">
        <v>9</v>
      </c>
      <c r="Y241" s="85" t="s">
        <v>3922</v>
      </c>
      <c r="Z241" s="85"/>
    </row>
    <row r="242" customFormat="false" ht="12.75" hidden="true" customHeight="true" outlineLevel="0" collapsed="false">
      <c r="A242" s="85" t="n">
        <v>2053712</v>
      </c>
      <c r="B242" s="85" t="s">
        <v>4401</v>
      </c>
      <c r="C242" s="85"/>
      <c r="D242" s="85"/>
      <c r="E242" s="85" t="s">
        <v>2928</v>
      </c>
      <c r="F242" s="85" t="s">
        <v>4402</v>
      </c>
      <c r="G242" s="85" t="n">
        <v>75116</v>
      </c>
      <c r="H242" s="85" t="s">
        <v>36</v>
      </c>
      <c r="I242" s="85" t="n">
        <v>147279908</v>
      </c>
      <c r="K242" s="85"/>
      <c r="L242" s="85"/>
      <c r="M242" s="86"/>
      <c r="N242" s="87"/>
      <c r="O242" s="87"/>
      <c r="P242" s="88" t="n">
        <v>0</v>
      </c>
      <c r="Q242" s="89"/>
      <c r="R242" s="88" t="n">
        <v>224.08</v>
      </c>
      <c r="S242" s="89"/>
      <c r="T242" s="88"/>
      <c r="U242" s="89"/>
      <c r="V242" s="88"/>
      <c r="W242" s="89"/>
      <c r="X242" s="86" t="n">
        <v>9</v>
      </c>
      <c r="Y242" s="85" t="s">
        <v>4403</v>
      </c>
      <c r="Z242" s="85"/>
    </row>
    <row r="243" customFormat="false" ht="12.75" hidden="true" customHeight="true" outlineLevel="0" collapsed="false">
      <c r="A243" s="85" t="n">
        <v>2193783</v>
      </c>
      <c r="B243" s="85" t="s">
        <v>4404</v>
      </c>
      <c r="C243" s="85"/>
      <c r="D243" s="85"/>
      <c r="E243" s="85" t="s">
        <v>2400</v>
      </c>
      <c r="F243" s="85" t="s">
        <v>4405</v>
      </c>
      <c r="G243" s="85" t="n">
        <v>75017</v>
      </c>
      <c r="H243" s="85" t="s">
        <v>36</v>
      </c>
      <c r="I243" s="85" t="n">
        <v>147635363</v>
      </c>
      <c r="K243" s="85" t="n">
        <v>1</v>
      </c>
      <c r="L243" s="85"/>
      <c r="M243" s="86"/>
      <c r="N243" s="87"/>
      <c r="O243" s="87"/>
      <c r="P243" s="88" t="n">
        <v>0</v>
      </c>
      <c r="Q243" s="89"/>
      <c r="R243" s="88" t="n">
        <v>171.06</v>
      </c>
      <c r="S243" s="89"/>
      <c r="T243" s="88" t="n">
        <v>0</v>
      </c>
      <c r="U243" s="89"/>
      <c r="V243" s="88" t="n">
        <v>120.01</v>
      </c>
      <c r="W243" s="89"/>
      <c r="X243" s="86" t="n">
        <v>10</v>
      </c>
      <c r="Y243" s="85" t="s">
        <v>4024</v>
      </c>
      <c r="Z243" s="85"/>
    </row>
    <row r="244" customFormat="false" ht="12.75" hidden="true" customHeight="true" outlineLevel="0" collapsed="false">
      <c r="A244" s="85" t="n">
        <v>2228868</v>
      </c>
      <c r="B244" s="85" t="s">
        <v>4406</v>
      </c>
      <c r="C244" s="85"/>
      <c r="D244" s="85"/>
      <c r="E244" s="85" t="s">
        <v>3621</v>
      </c>
      <c r="F244" s="85" t="s">
        <v>3870</v>
      </c>
      <c r="G244" s="85" t="n">
        <v>92200</v>
      </c>
      <c r="H244" s="85" t="s">
        <v>3932</v>
      </c>
      <c r="I244" s="85" t="n">
        <v>146241006</v>
      </c>
      <c r="K244" s="85"/>
      <c r="L244" s="85"/>
      <c r="M244" s="86"/>
      <c r="N244" s="87"/>
      <c r="O244" s="87"/>
      <c r="P244" s="88" t="n">
        <v>0</v>
      </c>
      <c r="Q244" s="89"/>
      <c r="R244" s="88" t="n">
        <v>169.82</v>
      </c>
      <c r="S244" s="89"/>
      <c r="T244" s="88"/>
      <c r="U244" s="89"/>
      <c r="V244" s="88"/>
      <c r="W244" s="89"/>
      <c r="X244" s="86" t="n">
        <v>9</v>
      </c>
      <c r="Y244" s="85"/>
      <c r="Z244" s="85"/>
    </row>
    <row r="245" customFormat="false" ht="12.75" hidden="true" customHeight="true" outlineLevel="0" collapsed="false">
      <c r="A245" s="85" t="n">
        <v>2193228</v>
      </c>
      <c r="B245" s="85" t="s">
        <v>4407</v>
      </c>
      <c r="C245" s="85"/>
      <c r="D245" s="85"/>
      <c r="E245" s="85" t="s">
        <v>2400</v>
      </c>
      <c r="F245" s="85" t="s">
        <v>4408</v>
      </c>
      <c r="G245" s="85" t="n">
        <v>75017</v>
      </c>
      <c r="H245" s="85" t="s">
        <v>36</v>
      </c>
      <c r="I245" s="85" t="n">
        <v>967060894</v>
      </c>
      <c r="K245" s="85"/>
      <c r="L245" s="85"/>
      <c r="M245" s="86"/>
      <c r="N245" s="87"/>
      <c r="O245" s="87"/>
      <c r="P245" s="88" t="n">
        <v>0</v>
      </c>
      <c r="Q245" s="89"/>
      <c r="R245" s="88" t="n">
        <v>161.69</v>
      </c>
      <c r="S245" s="89"/>
      <c r="T245" s="88" t="n">
        <v>0</v>
      </c>
      <c r="U245" s="89"/>
      <c r="V245" s="88" t="n">
        <v>320.91</v>
      </c>
      <c r="W245" s="89"/>
      <c r="X245" s="86" t="n">
        <v>10</v>
      </c>
      <c r="Y245" s="85" t="s">
        <v>3954</v>
      </c>
      <c r="Z245" s="85"/>
    </row>
    <row r="246" customFormat="false" ht="12.75" hidden="true" customHeight="true" outlineLevel="0" collapsed="false">
      <c r="A246" s="85" t="n">
        <v>2188899</v>
      </c>
      <c r="B246" s="85" t="s">
        <v>4409</v>
      </c>
      <c r="C246" s="85"/>
      <c r="D246" s="85"/>
      <c r="E246" s="85" t="s">
        <v>357</v>
      </c>
      <c r="F246" s="85" t="s">
        <v>4410</v>
      </c>
      <c r="G246" s="85" t="n">
        <v>75008</v>
      </c>
      <c r="H246" s="85" t="s">
        <v>36</v>
      </c>
      <c r="I246" s="85" t="n">
        <v>145221615</v>
      </c>
      <c r="K246" s="85"/>
      <c r="L246" s="85"/>
      <c r="M246" s="86"/>
      <c r="N246" s="87"/>
      <c r="O246" s="87"/>
      <c r="P246" s="88" t="n">
        <v>0</v>
      </c>
      <c r="Q246" s="89"/>
      <c r="R246" s="88" t="n">
        <v>137.646</v>
      </c>
      <c r="S246" s="89"/>
      <c r="T246" s="88" t="n">
        <v>0</v>
      </c>
      <c r="U246" s="89"/>
      <c r="V246" s="88" t="n">
        <v>143.0096</v>
      </c>
      <c r="W246" s="89"/>
      <c r="X246" s="86" t="n">
        <v>9</v>
      </c>
      <c r="Y246" s="85"/>
      <c r="Z246" s="85"/>
    </row>
    <row r="247" customFormat="false" ht="12.75" hidden="true" customHeight="true" outlineLevel="0" collapsed="false">
      <c r="A247" s="85" t="n">
        <v>2192842</v>
      </c>
      <c r="B247" s="85" t="s">
        <v>4411</v>
      </c>
      <c r="C247" s="85"/>
      <c r="D247" s="85"/>
      <c r="E247" s="85" t="s">
        <v>2928</v>
      </c>
      <c r="F247" s="85" t="s">
        <v>4412</v>
      </c>
      <c r="G247" s="85" t="n">
        <v>75116</v>
      </c>
      <c r="H247" s="85" t="s">
        <v>36</v>
      </c>
      <c r="I247" s="85" t="n">
        <v>147279714</v>
      </c>
      <c r="K247" s="85"/>
      <c r="L247" s="85"/>
      <c r="M247" s="86"/>
      <c r="N247" s="87"/>
      <c r="O247" s="87"/>
      <c r="P247" s="88" t="n">
        <v>0</v>
      </c>
      <c r="Q247" s="89"/>
      <c r="R247" s="88" t="n">
        <v>88.8</v>
      </c>
      <c r="S247" s="89"/>
      <c r="T247" s="88" t="n">
        <v>0</v>
      </c>
      <c r="U247" s="89"/>
      <c r="V247" s="88" t="n">
        <v>88.8</v>
      </c>
      <c r="W247" s="89"/>
      <c r="X247" s="86" t="n">
        <v>10</v>
      </c>
      <c r="Y247" s="85" t="s">
        <v>4024</v>
      </c>
      <c r="Z247" s="85"/>
    </row>
    <row r="248" customFormat="false" ht="12.75" hidden="true" customHeight="true" outlineLevel="0" collapsed="false">
      <c r="A248" s="85" t="n">
        <v>2188663</v>
      </c>
      <c r="B248" s="85" t="s">
        <v>4413</v>
      </c>
      <c r="C248" s="85"/>
      <c r="D248" s="85"/>
      <c r="E248" s="85" t="s">
        <v>357</v>
      </c>
      <c r="F248" s="85" t="s">
        <v>4414</v>
      </c>
      <c r="G248" s="85" t="n">
        <v>75008</v>
      </c>
      <c r="H248" s="85" t="s">
        <v>36</v>
      </c>
      <c r="I248" s="85" t="n">
        <v>145626149</v>
      </c>
      <c r="K248" s="85"/>
      <c r="L248" s="85"/>
      <c r="M248" s="86"/>
      <c r="N248" s="87"/>
      <c r="O248" s="87"/>
      <c r="P248" s="88" t="n">
        <v>0</v>
      </c>
      <c r="Q248" s="89"/>
      <c r="R248" s="88" t="n">
        <v>20.04</v>
      </c>
      <c r="S248" s="89"/>
      <c r="T248" s="88" t="n">
        <v>0</v>
      </c>
      <c r="U248" s="89"/>
      <c r="V248" s="88" t="n">
        <v>97.57</v>
      </c>
      <c r="W248" s="89"/>
      <c r="X248" s="86" t="n">
        <v>10</v>
      </c>
      <c r="Y248" s="85" t="s">
        <v>3926</v>
      </c>
      <c r="Z248" s="85"/>
    </row>
    <row r="249" customFormat="false" ht="12.75" hidden="true" customHeight="true" outlineLevel="0" collapsed="false">
      <c r="A249" s="85" t="n">
        <v>2193118</v>
      </c>
      <c r="B249" s="85" t="s">
        <v>4415</v>
      </c>
      <c r="C249" s="85"/>
      <c r="D249" s="85"/>
      <c r="E249" s="85" t="s">
        <v>2928</v>
      </c>
      <c r="F249" s="85" t="s">
        <v>4416</v>
      </c>
      <c r="G249" s="85" t="n">
        <v>75116</v>
      </c>
      <c r="H249" s="85" t="s">
        <v>36</v>
      </c>
      <c r="I249" s="85" t="n">
        <v>147208528</v>
      </c>
      <c r="K249" s="85" t="n">
        <v>1</v>
      </c>
      <c r="L249" s="85"/>
      <c r="M249" s="86"/>
      <c r="N249" s="87"/>
      <c r="O249" s="87"/>
      <c r="P249" s="88" t="n">
        <v>0</v>
      </c>
      <c r="Q249" s="89"/>
      <c r="R249" s="88" t="n">
        <v>0</v>
      </c>
      <c r="S249" s="89"/>
      <c r="T249" s="88" t="n">
        <v>557.5</v>
      </c>
      <c r="U249" s="89" t="n">
        <f aca="false">RANK($T249,$T$2:$T$121)</f>
        <v>88</v>
      </c>
      <c r="V249" s="88" t="n">
        <v>404.1</v>
      </c>
      <c r="W249" s="89"/>
      <c r="X249" s="86" t="n">
        <v>8</v>
      </c>
      <c r="Y249" s="85"/>
      <c r="Z249" s="85"/>
    </row>
    <row r="250" customFormat="false" ht="12.75" hidden="true" customHeight="true" outlineLevel="0" collapsed="false">
      <c r="A250" s="85" t="n">
        <v>2051982</v>
      </c>
      <c r="B250" s="85" t="s">
        <v>4417</v>
      </c>
      <c r="C250" s="85"/>
      <c r="D250" s="85"/>
      <c r="E250" s="85" t="s">
        <v>1124</v>
      </c>
      <c r="F250" s="85" t="s">
        <v>4418</v>
      </c>
      <c r="G250" s="85" t="n">
        <v>75007</v>
      </c>
      <c r="H250" s="85" t="s">
        <v>36</v>
      </c>
      <c r="I250" s="85" t="n">
        <v>145489974</v>
      </c>
      <c r="K250" s="85"/>
      <c r="L250" s="85"/>
      <c r="M250" s="86"/>
      <c r="N250" s="87"/>
      <c r="O250" s="87"/>
      <c r="P250" s="88" t="n">
        <v>0</v>
      </c>
      <c r="Q250" s="89"/>
      <c r="R250" s="88" t="n">
        <v>0</v>
      </c>
      <c r="S250" s="89"/>
      <c r="T250" s="88" t="n">
        <v>434.86</v>
      </c>
      <c r="U250" s="89"/>
      <c r="V250" s="88" t="n">
        <v>408.72</v>
      </c>
      <c r="W250" s="89"/>
      <c r="X250" s="86" t="n">
        <v>10</v>
      </c>
      <c r="Y250" s="85" t="s">
        <v>3922</v>
      </c>
      <c r="Z250" s="85"/>
    </row>
    <row r="251" customFormat="false" ht="12.75" hidden="true" customHeight="true" outlineLevel="0" collapsed="false">
      <c r="A251" s="85" t="n">
        <v>2193610</v>
      </c>
      <c r="B251" s="85" t="s">
        <v>4419</v>
      </c>
      <c r="C251" s="85"/>
      <c r="D251" s="85"/>
      <c r="E251" s="85" t="s">
        <v>2400</v>
      </c>
      <c r="F251" s="85" t="s">
        <v>4420</v>
      </c>
      <c r="G251" s="85" t="n">
        <v>75017</v>
      </c>
      <c r="H251" s="85" t="s">
        <v>36</v>
      </c>
      <c r="I251" s="85" t="n">
        <v>142274951</v>
      </c>
      <c r="K251" s="85"/>
      <c r="L251" s="85"/>
      <c r="M251" s="86"/>
      <c r="N251" s="87"/>
      <c r="O251" s="87"/>
      <c r="P251" s="88" t="n">
        <v>0</v>
      </c>
      <c r="Q251" s="89"/>
      <c r="R251" s="88" t="n">
        <v>0</v>
      </c>
      <c r="S251" s="89"/>
      <c r="T251" s="88" t="n">
        <v>61.56</v>
      </c>
      <c r="U251" s="89"/>
      <c r="V251" s="88" t="n">
        <v>302.42</v>
      </c>
      <c r="W251" s="89"/>
      <c r="X251" s="86" t="n">
        <v>7</v>
      </c>
      <c r="Y251" s="85" t="s">
        <v>3961</v>
      </c>
      <c r="Z251" s="85"/>
    </row>
    <row r="252" customFormat="false" ht="12.75" hidden="true" customHeight="true" outlineLevel="0" collapsed="false">
      <c r="A252" s="85" t="n">
        <v>1005332</v>
      </c>
      <c r="B252" s="85" t="s">
        <v>4421</v>
      </c>
      <c r="C252" s="85"/>
      <c r="D252" s="85"/>
      <c r="E252" s="85" t="s">
        <v>2672</v>
      </c>
      <c r="F252" s="85" t="s">
        <v>2916</v>
      </c>
      <c r="G252" s="85" t="n">
        <v>75017</v>
      </c>
      <c r="H252" s="85" t="s">
        <v>36</v>
      </c>
      <c r="I252" s="85" t="n">
        <v>145630000</v>
      </c>
      <c r="K252" s="85"/>
      <c r="L252" s="85"/>
      <c r="M252" s="86"/>
      <c r="N252" s="87"/>
      <c r="O252" s="87"/>
      <c r="P252" s="88" t="n">
        <v>0</v>
      </c>
      <c r="Q252" s="89"/>
      <c r="R252" s="88" t="n">
        <v>0</v>
      </c>
      <c r="S252" s="89"/>
      <c r="T252" s="88"/>
      <c r="U252" s="89"/>
      <c r="V252" s="88"/>
      <c r="W252" s="89"/>
      <c r="X252" s="86"/>
      <c r="Y252" s="85"/>
      <c r="Z252" s="85"/>
    </row>
    <row r="253" customFormat="false" ht="12.75" hidden="true" customHeight="true" outlineLevel="0" collapsed="false">
      <c r="A253" s="85" t="n">
        <v>1007028</v>
      </c>
      <c r="B253" s="85" t="s">
        <v>4422</v>
      </c>
      <c r="C253" s="85"/>
      <c r="D253" s="85"/>
      <c r="E253" s="85" t="s">
        <v>645</v>
      </c>
      <c r="F253" s="85" t="s">
        <v>4423</v>
      </c>
      <c r="G253" s="85" t="n">
        <v>75015</v>
      </c>
      <c r="H253" s="85" t="s">
        <v>36</v>
      </c>
      <c r="I253" s="85" t="n">
        <v>986525917</v>
      </c>
      <c r="K253" s="85"/>
      <c r="L253" s="85"/>
      <c r="M253" s="86"/>
      <c r="N253" s="87"/>
      <c r="O253" s="87"/>
      <c r="P253" s="88" t="n">
        <v>0</v>
      </c>
      <c r="Q253" s="89"/>
      <c r="R253" s="88" t="n">
        <v>0</v>
      </c>
      <c r="S253" s="89"/>
      <c r="T253" s="88"/>
      <c r="U253" s="89"/>
      <c r="V253" s="88"/>
      <c r="W253" s="89"/>
      <c r="X253" s="86"/>
      <c r="Y253" s="85"/>
      <c r="Z253" s="85"/>
    </row>
    <row r="254" customFormat="false" ht="12.75" hidden="true" customHeight="true" outlineLevel="0" collapsed="false">
      <c r="A254" s="85" t="n">
        <v>1007080</v>
      </c>
      <c r="B254" s="85" t="s">
        <v>4424</v>
      </c>
      <c r="C254" s="85"/>
      <c r="D254" s="85"/>
      <c r="E254" s="85" t="s">
        <v>2928</v>
      </c>
      <c r="F254" s="85" t="s">
        <v>3150</v>
      </c>
      <c r="G254" s="85" t="n">
        <v>75116</v>
      </c>
      <c r="H254" s="85" t="s">
        <v>36</v>
      </c>
      <c r="I254" s="85" t="n">
        <v>144316666</v>
      </c>
      <c r="K254" s="85"/>
      <c r="L254" s="85"/>
      <c r="M254" s="86"/>
      <c r="N254" s="87"/>
      <c r="O254" s="87"/>
      <c r="P254" s="88" t="n">
        <v>0</v>
      </c>
      <c r="Q254" s="89"/>
      <c r="R254" s="88" t="n">
        <v>0</v>
      </c>
      <c r="S254" s="89"/>
      <c r="T254" s="88"/>
      <c r="U254" s="89"/>
      <c r="V254" s="88"/>
      <c r="W254" s="89"/>
      <c r="X254" s="86"/>
      <c r="Y254" s="85"/>
      <c r="Z254" s="85"/>
    </row>
    <row r="255" customFormat="false" ht="12.75" hidden="true" customHeight="true" outlineLevel="0" collapsed="false">
      <c r="A255" s="85" t="n">
        <v>1007288</v>
      </c>
      <c r="B255" s="85" t="s">
        <v>4425</v>
      </c>
      <c r="C255" s="85"/>
      <c r="D255" s="85"/>
      <c r="E255" s="85" t="s">
        <v>357</v>
      </c>
      <c r="F255" s="85" t="s">
        <v>388</v>
      </c>
      <c r="G255" s="85" t="n">
        <v>75008</v>
      </c>
      <c r="H255" s="85" t="s">
        <v>36</v>
      </c>
      <c r="I255" s="85" t="n">
        <v>145619759</v>
      </c>
      <c r="K255" s="85"/>
      <c r="L255" s="85"/>
      <c r="M255" s="86"/>
      <c r="N255" s="87"/>
      <c r="O255" s="87"/>
      <c r="P255" s="88" t="n">
        <v>0</v>
      </c>
      <c r="Q255" s="89"/>
      <c r="R255" s="88" t="n">
        <v>0</v>
      </c>
      <c r="S255" s="89"/>
      <c r="T255" s="88"/>
      <c r="U255" s="89"/>
      <c r="V255" s="88"/>
      <c r="W255" s="89"/>
      <c r="X255" s="86"/>
      <c r="Y255" s="85"/>
      <c r="Z255" s="85"/>
    </row>
    <row r="256" customFormat="false" ht="12.75" hidden="true" customHeight="true" outlineLevel="0" collapsed="false">
      <c r="A256" s="85" t="n">
        <v>1007308</v>
      </c>
      <c r="B256" s="85" t="s">
        <v>4426</v>
      </c>
      <c r="C256" s="85"/>
      <c r="D256" s="85"/>
      <c r="E256" s="85" t="s">
        <v>1124</v>
      </c>
      <c r="F256" s="85" t="s">
        <v>4427</v>
      </c>
      <c r="G256" s="85" t="n">
        <v>75007</v>
      </c>
      <c r="H256" s="85" t="s">
        <v>36</v>
      </c>
      <c r="I256" s="85" t="n">
        <v>175433838</v>
      </c>
      <c r="K256" s="85"/>
      <c r="L256" s="85"/>
      <c r="M256" s="86"/>
      <c r="N256" s="87"/>
      <c r="O256" s="87"/>
      <c r="P256" s="88" t="n">
        <v>0</v>
      </c>
      <c r="Q256" s="89"/>
      <c r="R256" s="88" t="n">
        <v>0</v>
      </c>
      <c r="S256" s="89"/>
      <c r="T256" s="88"/>
      <c r="U256" s="89"/>
      <c r="V256" s="88"/>
      <c r="W256" s="89"/>
      <c r="X256" s="86"/>
      <c r="Y256" s="85"/>
      <c r="Z256" s="85"/>
    </row>
    <row r="257" customFormat="false" ht="12.75" hidden="true" customHeight="true" outlineLevel="0" collapsed="false">
      <c r="A257" s="85" t="n">
        <v>1008119</v>
      </c>
      <c r="B257" s="85" t="s">
        <v>4428</v>
      </c>
      <c r="C257" s="85"/>
      <c r="D257" s="85"/>
      <c r="E257" s="85" t="s">
        <v>1536</v>
      </c>
      <c r="F257" s="85" t="s">
        <v>4429</v>
      </c>
      <c r="G257" s="85" t="n">
        <v>75015</v>
      </c>
      <c r="H257" s="85" t="s">
        <v>36</v>
      </c>
      <c r="I257" s="85" t="n">
        <v>143370101</v>
      </c>
      <c r="K257" s="85"/>
      <c r="L257" s="85"/>
      <c r="M257" s="86"/>
      <c r="N257" s="87"/>
      <c r="O257" s="87"/>
      <c r="P257" s="88" t="n">
        <v>0</v>
      </c>
      <c r="Q257" s="89"/>
      <c r="R257" s="88" t="n">
        <v>0</v>
      </c>
      <c r="S257" s="89"/>
      <c r="T257" s="88"/>
      <c r="U257" s="89"/>
      <c r="V257" s="88"/>
      <c r="W257" s="89"/>
      <c r="X257" s="86"/>
      <c r="Y257" s="85"/>
      <c r="Z257" s="85"/>
    </row>
    <row r="258" customFormat="false" ht="12.75" hidden="true" customHeight="true" outlineLevel="0" collapsed="false">
      <c r="A258" s="85" t="n">
        <v>1015662</v>
      </c>
      <c r="B258" s="85" t="s">
        <v>4430</v>
      </c>
      <c r="C258" s="85"/>
      <c r="D258" s="85"/>
      <c r="E258" s="85" t="s">
        <v>34</v>
      </c>
      <c r="F258" s="85" t="s">
        <v>4431</v>
      </c>
      <c r="G258" s="85" t="n">
        <v>75016</v>
      </c>
      <c r="H258" s="85" t="s">
        <v>36</v>
      </c>
      <c r="I258" s="85" t="n">
        <v>147436179</v>
      </c>
      <c r="K258" s="85"/>
      <c r="L258" s="85"/>
      <c r="M258" s="86"/>
      <c r="N258" s="87"/>
      <c r="O258" s="87"/>
      <c r="P258" s="88" t="n">
        <v>0</v>
      </c>
      <c r="Q258" s="89"/>
      <c r="R258" s="88" t="n">
        <v>0</v>
      </c>
      <c r="S258" s="89"/>
      <c r="T258" s="88"/>
      <c r="U258" s="89"/>
      <c r="V258" s="88"/>
      <c r="W258" s="89"/>
      <c r="X258" s="86"/>
      <c r="Y258" s="85"/>
      <c r="Z258" s="85"/>
    </row>
    <row r="259" customFormat="false" ht="12.75" hidden="true" customHeight="true" outlineLevel="0" collapsed="false">
      <c r="A259" s="85" t="n">
        <v>1153297</v>
      </c>
      <c r="B259" s="85" t="s">
        <v>4432</v>
      </c>
      <c r="C259" s="85"/>
      <c r="D259" s="85"/>
      <c r="E259" s="85" t="s">
        <v>1124</v>
      </c>
      <c r="F259" s="85" t="s">
        <v>1309</v>
      </c>
      <c r="G259" s="85" t="n">
        <v>75007</v>
      </c>
      <c r="H259" s="85" t="s">
        <v>36</v>
      </c>
      <c r="I259" s="85" t="n">
        <v>144423928</v>
      </c>
      <c r="K259" s="85"/>
      <c r="L259" s="85"/>
      <c r="M259" s="86"/>
      <c r="N259" s="87"/>
      <c r="O259" s="87"/>
      <c r="P259" s="88" t="n">
        <v>0</v>
      </c>
      <c r="Q259" s="89"/>
      <c r="R259" s="88" t="n">
        <v>0</v>
      </c>
      <c r="S259" s="89"/>
      <c r="T259" s="88"/>
      <c r="U259" s="89"/>
      <c r="V259" s="88"/>
      <c r="W259" s="89"/>
      <c r="X259" s="86"/>
      <c r="Y259" s="85"/>
      <c r="Z259" s="85"/>
    </row>
    <row r="260" customFormat="false" ht="12.75" hidden="true" customHeight="true" outlineLevel="0" collapsed="false">
      <c r="A260" s="85" t="n">
        <v>1153303</v>
      </c>
      <c r="B260" s="85" t="s">
        <v>4433</v>
      </c>
      <c r="C260" s="85"/>
      <c r="D260" s="85"/>
      <c r="E260" s="85" t="s">
        <v>1124</v>
      </c>
      <c r="F260" s="85" t="s">
        <v>1492</v>
      </c>
      <c r="G260" s="85" t="n">
        <v>75352</v>
      </c>
      <c r="H260" s="85" t="s">
        <v>4434</v>
      </c>
      <c r="I260" s="85" t="n">
        <v>145680858</v>
      </c>
      <c r="K260" s="85"/>
      <c r="L260" s="85"/>
      <c r="M260" s="86"/>
      <c r="N260" s="87"/>
      <c r="O260" s="87"/>
      <c r="P260" s="88" t="n">
        <v>0</v>
      </c>
      <c r="Q260" s="89"/>
      <c r="R260" s="88" t="n">
        <v>0</v>
      </c>
      <c r="S260" s="89"/>
      <c r="T260" s="88"/>
      <c r="U260" s="89"/>
      <c r="V260" s="88"/>
      <c r="W260" s="89"/>
      <c r="X260" s="86"/>
      <c r="Y260" s="85"/>
      <c r="Z260" s="85"/>
    </row>
    <row r="261" customFormat="false" ht="12.75" hidden="true" customHeight="true" outlineLevel="0" collapsed="false">
      <c r="A261" s="85" t="n">
        <v>1153311</v>
      </c>
      <c r="B261" s="85" t="s">
        <v>4435</v>
      </c>
      <c r="C261" s="85"/>
      <c r="D261" s="85"/>
      <c r="E261" s="85" t="s">
        <v>1124</v>
      </c>
      <c r="F261" s="85" t="s">
        <v>1188</v>
      </c>
      <c r="G261" s="85" t="n">
        <v>75355</v>
      </c>
      <c r="H261" s="85" t="s">
        <v>4434</v>
      </c>
      <c r="I261" s="85" t="n">
        <v>140635826</v>
      </c>
      <c r="K261" s="85"/>
      <c r="L261" s="85"/>
      <c r="M261" s="86"/>
      <c r="N261" s="87"/>
      <c r="O261" s="87"/>
      <c r="P261" s="88" t="n">
        <v>0</v>
      </c>
      <c r="Q261" s="89"/>
      <c r="R261" s="88" t="n">
        <v>0</v>
      </c>
      <c r="S261" s="89"/>
      <c r="T261" s="88"/>
      <c r="U261" s="89"/>
      <c r="V261" s="88"/>
      <c r="W261" s="89"/>
      <c r="X261" s="86"/>
      <c r="Y261" s="85"/>
      <c r="Z261" s="85"/>
    </row>
    <row r="262" customFormat="false" ht="12.75" hidden="true" customHeight="true" outlineLevel="0" collapsed="false">
      <c r="A262" s="85" t="n">
        <v>1203955</v>
      </c>
      <c r="B262" s="85" t="s">
        <v>4436</v>
      </c>
      <c r="C262" s="85"/>
      <c r="D262" s="85"/>
      <c r="E262" s="85" t="s">
        <v>1536</v>
      </c>
      <c r="F262" s="85" t="s">
        <v>4437</v>
      </c>
      <c r="G262" s="85" t="n">
        <v>75015</v>
      </c>
      <c r="H262" s="85" t="s">
        <v>36</v>
      </c>
      <c r="I262" s="85" t="n">
        <v>142188888</v>
      </c>
      <c r="K262" s="85"/>
      <c r="L262" s="85"/>
      <c r="M262" s="86"/>
      <c r="N262" s="87"/>
      <c r="O262" s="87"/>
      <c r="P262" s="88" t="n">
        <v>0</v>
      </c>
      <c r="Q262" s="89"/>
      <c r="R262" s="88" t="n">
        <v>0</v>
      </c>
      <c r="S262" s="89"/>
      <c r="T262" s="88"/>
      <c r="U262" s="89"/>
      <c r="V262" s="88"/>
      <c r="W262" s="89"/>
      <c r="X262" s="86"/>
      <c r="Y262" s="85"/>
      <c r="Z262" s="85"/>
    </row>
    <row r="263" customFormat="false" ht="12.75" hidden="true" customHeight="true" outlineLevel="0" collapsed="false">
      <c r="A263" s="85" t="n">
        <v>1203971</v>
      </c>
      <c r="B263" s="85" t="s">
        <v>4438</v>
      </c>
      <c r="C263" s="85"/>
      <c r="D263" s="85"/>
      <c r="E263" s="85" t="s">
        <v>3238</v>
      </c>
      <c r="F263" s="85" t="s">
        <v>3381</v>
      </c>
      <c r="G263" s="85" t="n">
        <v>75015</v>
      </c>
      <c r="H263" s="85" t="s">
        <v>36</v>
      </c>
      <c r="I263" s="85" t="n">
        <v>153681690</v>
      </c>
      <c r="K263" s="85"/>
      <c r="L263" s="85"/>
      <c r="M263" s="86"/>
      <c r="N263" s="87"/>
      <c r="O263" s="87"/>
      <c r="P263" s="88" t="n">
        <v>0</v>
      </c>
      <c r="Q263" s="89"/>
      <c r="R263" s="88" t="n">
        <v>0</v>
      </c>
      <c r="S263" s="89"/>
      <c r="T263" s="88"/>
      <c r="U263" s="89"/>
      <c r="V263" s="88"/>
      <c r="W263" s="89"/>
      <c r="X263" s="86"/>
      <c r="Y263" s="85"/>
      <c r="Z263" s="85"/>
    </row>
    <row r="264" customFormat="false" ht="12.75" hidden="true" customHeight="true" outlineLevel="0" collapsed="false">
      <c r="A264" s="85" t="n">
        <v>1373197</v>
      </c>
      <c r="B264" s="85" t="s">
        <v>4439</v>
      </c>
      <c r="C264" s="85"/>
      <c r="D264" s="85"/>
      <c r="E264" s="85" t="s">
        <v>1536</v>
      </c>
      <c r="F264" s="85" t="s">
        <v>1997</v>
      </c>
      <c r="G264" s="85" t="n">
        <v>75015</v>
      </c>
      <c r="H264" s="85" t="s">
        <v>36</v>
      </c>
      <c r="I264" s="85" t="n">
        <v>140613860</v>
      </c>
      <c r="K264" s="85"/>
      <c r="L264" s="85"/>
      <c r="M264" s="86"/>
      <c r="N264" s="87"/>
      <c r="O264" s="87"/>
      <c r="P264" s="88" t="n">
        <v>0</v>
      </c>
      <c r="Q264" s="89"/>
      <c r="R264" s="88" t="n">
        <v>0</v>
      </c>
      <c r="S264" s="89"/>
      <c r="T264" s="88"/>
      <c r="U264" s="89"/>
      <c r="V264" s="88"/>
      <c r="W264" s="89"/>
      <c r="X264" s="86"/>
      <c r="Y264" s="85"/>
      <c r="Z264" s="85"/>
    </row>
    <row r="265" customFormat="false" ht="12.75" hidden="true" customHeight="true" outlineLevel="0" collapsed="false">
      <c r="A265" s="85" t="n">
        <v>1403801</v>
      </c>
      <c r="B265" s="85" t="s">
        <v>4440</v>
      </c>
      <c r="C265" s="85"/>
      <c r="D265" s="85"/>
      <c r="E265" s="85" t="s">
        <v>2672</v>
      </c>
      <c r="F265" s="85" t="s">
        <v>4441</v>
      </c>
      <c r="G265" s="85" t="n">
        <v>75008</v>
      </c>
      <c r="H265" s="85" t="s">
        <v>36</v>
      </c>
      <c r="I265" s="85" t="n">
        <v>142256821</v>
      </c>
      <c r="K265" s="85"/>
      <c r="L265" s="85"/>
      <c r="M265" s="86"/>
      <c r="N265" s="87"/>
      <c r="O265" s="87"/>
      <c r="P265" s="88" t="n">
        <v>0</v>
      </c>
      <c r="Q265" s="89"/>
      <c r="R265" s="88" t="n">
        <v>0</v>
      </c>
      <c r="S265" s="89"/>
      <c r="T265" s="88"/>
      <c r="U265" s="89"/>
      <c r="V265" s="88"/>
      <c r="W265" s="89"/>
      <c r="X265" s="86"/>
      <c r="Y265" s="85"/>
      <c r="Z265" s="85"/>
    </row>
    <row r="266" customFormat="false" ht="12.75" hidden="true" customHeight="true" outlineLevel="0" collapsed="false">
      <c r="A266" s="85" t="n">
        <v>1403845</v>
      </c>
      <c r="B266" s="85" t="s">
        <v>4442</v>
      </c>
      <c r="C266" s="85"/>
      <c r="D266" s="85"/>
      <c r="E266" s="85" t="s">
        <v>645</v>
      </c>
      <c r="F266" s="85" t="s">
        <v>4443</v>
      </c>
      <c r="G266" s="85" t="n">
        <v>75907</v>
      </c>
      <c r="H266" s="85" t="s">
        <v>4444</v>
      </c>
      <c r="I266" s="85" t="n">
        <v>156229972</v>
      </c>
      <c r="K266" s="85"/>
      <c r="L266" s="85"/>
      <c r="M266" s="86"/>
      <c r="N266" s="87"/>
      <c r="O266" s="87"/>
      <c r="P266" s="88" t="n">
        <v>0</v>
      </c>
      <c r="Q266" s="89"/>
      <c r="R266" s="88" t="n">
        <v>0</v>
      </c>
      <c r="S266" s="89"/>
      <c r="T266" s="88"/>
      <c r="U266" s="89"/>
      <c r="V266" s="88"/>
      <c r="W266" s="89"/>
      <c r="X266" s="86"/>
      <c r="Y266" s="85"/>
      <c r="Z266" s="85"/>
    </row>
    <row r="267" customFormat="false" ht="12.75" hidden="true" customHeight="true" outlineLevel="0" collapsed="false">
      <c r="A267" s="85" t="n">
        <v>1403849</v>
      </c>
      <c r="B267" s="85" t="s">
        <v>4445</v>
      </c>
      <c r="C267" s="85"/>
      <c r="D267" s="85"/>
      <c r="E267" s="85" t="s">
        <v>645</v>
      </c>
      <c r="F267" s="85" t="s">
        <v>989</v>
      </c>
      <c r="G267" s="85" t="n">
        <v>75015</v>
      </c>
      <c r="H267" s="85" t="s">
        <v>36</v>
      </c>
      <c r="I267" s="85" t="n">
        <v>140604900</v>
      </c>
      <c r="K267" s="85"/>
      <c r="L267" s="85"/>
      <c r="M267" s="86"/>
      <c r="N267" s="87"/>
      <c r="O267" s="87"/>
      <c r="P267" s="88" t="n">
        <v>0</v>
      </c>
      <c r="Q267" s="89"/>
      <c r="R267" s="88" t="n">
        <v>0</v>
      </c>
      <c r="S267" s="89"/>
      <c r="T267" s="88"/>
      <c r="U267" s="89"/>
      <c r="V267" s="88"/>
      <c r="W267" s="89"/>
      <c r="X267" s="86"/>
      <c r="Y267" s="85"/>
      <c r="Z267" s="85"/>
    </row>
    <row r="268" customFormat="false" ht="12.75" hidden="true" customHeight="true" outlineLevel="0" collapsed="false">
      <c r="A268" s="85" t="n">
        <v>1403855</v>
      </c>
      <c r="B268" s="85" t="s">
        <v>4446</v>
      </c>
      <c r="C268" s="85"/>
      <c r="D268" s="85"/>
      <c r="E268" s="85" t="s">
        <v>2400</v>
      </c>
      <c r="F268" s="85" t="s">
        <v>2536</v>
      </c>
      <c r="G268" s="85" t="n">
        <v>75017</v>
      </c>
      <c r="H268" s="85" t="s">
        <v>36</v>
      </c>
      <c r="I268" s="85" t="n">
        <v>140548535</v>
      </c>
      <c r="K268" s="85"/>
      <c r="L268" s="85"/>
      <c r="M268" s="86"/>
      <c r="N268" s="87"/>
      <c r="O268" s="87"/>
      <c r="P268" s="88" t="n">
        <v>0</v>
      </c>
      <c r="Q268" s="89"/>
      <c r="R268" s="88" t="n">
        <v>0</v>
      </c>
      <c r="S268" s="89"/>
      <c r="T268" s="88"/>
      <c r="U268" s="89"/>
      <c r="V268" s="88"/>
      <c r="W268" s="89"/>
      <c r="X268" s="86"/>
      <c r="Y268" s="85"/>
      <c r="Z268" s="85"/>
    </row>
    <row r="269" customFormat="false" ht="12.75" hidden="true" customHeight="true" outlineLevel="0" collapsed="false">
      <c r="A269" s="85" t="n">
        <v>1413077</v>
      </c>
      <c r="B269" s="85" t="s">
        <v>4447</v>
      </c>
      <c r="C269" s="85"/>
      <c r="D269" s="85"/>
      <c r="E269" s="85" t="s">
        <v>3621</v>
      </c>
      <c r="F269" s="85" t="s">
        <v>3664</v>
      </c>
      <c r="G269" s="85" t="n">
        <v>92200</v>
      </c>
      <c r="H269" s="85" t="s">
        <v>3932</v>
      </c>
      <c r="I269" s="85" t="n">
        <v>146375403</v>
      </c>
      <c r="K269" s="85"/>
      <c r="L269" s="85"/>
      <c r="M269" s="86"/>
      <c r="N269" s="87"/>
      <c r="O269" s="87"/>
      <c r="P269" s="88" t="n">
        <v>0</v>
      </c>
      <c r="Q269" s="89"/>
      <c r="R269" s="88" t="n">
        <v>0</v>
      </c>
      <c r="S269" s="89"/>
      <c r="T269" s="88"/>
      <c r="U269" s="89"/>
      <c r="V269" s="88"/>
      <c r="W269" s="89"/>
      <c r="X269" s="86"/>
      <c r="Y269" s="85"/>
      <c r="Z269" s="85"/>
    </row>
    <row r="270" customFormat="false" ht="12.75" hidden="true" customHeight="true" outlineLevel="0" collapsed="false">
      <c r="A270" s="85" t="n">
        <v>1453708</v>
      </c>
      <c r="B270" s="85" t="s">
        <v>4448</v>
      </c>
      <c r="C270" s="85"/>
      <c r="D270" s="85"/>
      <c r="E270" s="85" t="s">
        <v>2672</v>
      </c>
      <c r="F270" s="85" t="s">
        <v>4449</v>
      </c>
      <c r="G270" s="85" t="n">
        <v>75017</v>
      </c>
      <c r="H270" s="85" t="s">
        <v>36</v>
      </c>
      <c r="I270" s="85" t="n">
        <v>145741250</v>
      </c>
      <c r="K270" s="85"/>
      <c r="L270" s="85"/>
      <c r="M270" s="86"/>
      <c r="N270" s="87"/>
      <c r="O270" s="87"/>
      <c r="P270" s="88" t="n">
        <v>0</v>
      </c>
      <c r="Q270" s="89"/>
      <c r="R270" s="88" t="n">
        <v>0</v>
      </c>
      <c r="S270" s="89"/>
      <c r="T270" s="88"/>
      <c r="U270" s="89"/>
      <c r="V270" s="88"/>
      <c r="W270" s="89"/>
      <c r="X270" s="86"/>
      <c r="Y270" s="85"/>
      <c r="Z270" s="85"/>
    </row>
    <row r="271" customFormat="false" ht="12.75" hidden="true" customHeight="true" outlineLevel="0" collapsed="false">
      <c r="A271" s="85" t="n">
        <v>1453970</v>
      </c>
      <c r="B271" s="85" t="s">
        <v>4450</v>
      </c>
      <c r="C271" s="85"/>
      <c r="D271" s="85"/>
      <c r="E271" s="85" t="s">
        <v>2672</v>
      </c>
      <c r="F271" s="85" t="s">
        <v>4451</v>
      </c>
      <c r="G271" s="85" t="n">
        <v>75017</v>
      </c>
      <c r="H271" s="85" t="s">
        <v>36</v>
      </c>
      <c r="I271" s="85" t="n">
        <v>144404808</v>
      </c>
      <c r="K271" s="85"/>
      <c r="L271" s="85"/>
      <c r="M271" s="86"/>
      <c r="N271" s="87"/>
      <c r="O271" s="87"/>
      <c r="P271" s="88" t="n">
        <v>0</v>
      </c>
      <c r="Q271" s="89"/>
      <c r="R271" s="88" t="n">
        <v>0</v>
      </c>
      <c r="S271" s="89"/>
      <c r="T271" s="88"/>
      <c r="U271" s="89"/>
      <c r="V271" s="88"/>
      <c r="W271" s="89"/>
      <c r="X271" s="86"/>
      <c r="Y271" s="85"/>
      <c r="Z271" s="85"/>
    </row>
    <row r="272" customFormat="false" ht="12.75" hidden="true" customHeight="true" outlineLevel="0" collapsed="false">
      <c r="A272" s="85" t="n">
        <v>1483805</v>
      </c>
      <c r="B272" s="85" t="s">
        <v>4452</v>
      </c>
      <c r="C272" s="85"/>
      <c r="D272" s="85"/>
      <c r="E272" s="85" t="s">
        <v>2132</v>
      </c>
      <c r="F272" s="85" t="s">
        <v>2219</v>
      </c>
      <c r="G272" s="85" t="n">
        <v>75116</v>
      </c>
      <c r="H272" s="85" t="s">
        <v>36</v>
      </c>
      <c r="I272" s="85" t="n">
        <v>145248388</v>
      </c>
      <c r="K272" s="85"/>
      <c r="L272" s="85"/>
      <c r="M272" s="86"/>
      <c r="N272" s="87"/>
      <c r="O272" s="87"/>
      <c r="P272" s="88" t="n">
        <v>0</v>
      </c>
      <c r="Q272" s="89"/>
      <c r="R272" s="88" t="n">
        <v>0</v>
      </c>
      <c r="S272" s="89"/>
      <c r="T272" s="88"/>
      <c r="U272" s="89"/>
      <c r="V272" s="88"/>
      <c r="W272" s="89"/>
      <c r="X272" s="86"/>
      <c r="Y272" s="85"/>
      <c r="Z272" s="85"/>
    </row>
    <row r="273" customFormat="false" ht="12.75" hidden="true" customHeight="true" outlineLevel="0" collapsed="false">
      <c r="A273" s="85" t="n">
        <v>1511651</v>
      </c>
      <c r="B273" s="85" t="s">
        <v>4453</v>
      </c>
      <c r="C273" s="85"/>
      <c r="D273" s="85"/>
      <c r="E273" s="85" t="s">
        <v>2672</v>
      </c>
      <c r="F273" s="85" t="s">
        <v>4454</v>
      </c>
      <c r="G273" s="85" t="n">
        <v>75008</v>
      </c>
      <c r="H273" s="85" t="s">
        <v>36</v>
      </c>
      <c r="I273" s="85" t="n">
        <v>143123430</v>
      </c>
      <c r="K273" s="85"/>
      <c r="L273" s="85"/>
      <c r="M273" s="86"/>
      <c r="N273" s="87"/>
      <c r="O273" s="87"/>
      <c r="P273" s="88" t="n">
        <v>0</v>
      </c>
      <c r="Q273" s="89"/>
      <c r="R273" s="88" t="n">
        <v>0</v>
      </c>
      <c r="S273" s="89"/>
      <c r="T273" s="88"/>
      <c r="U273" s="89"/>
      <c r="V273" s="88"/>
      <c r="W273" s="89"/>
      <c r="X273" s="86"/>
      <c r="Y273" s="85"/>
      <c r="Z273" s="85"/>
    </row>
    <row r="274" customFormat="false" ht="12.75" hidden="true" customHeight="true" outlineLevel="0" collapsed="false">
      <c r="A274" s="85" t="n">
        <v>1514163</v>
      </c>
      <c r="B274" s="85" t="s">
        <v>4432</v>
      </c>
      <c r="C274" s="85"/>
      <c r="D274" s="85"/>
      <c r="E274" s="85" t="s">
        <v>1124</v>
      </c>
      <c r="F274" s="85" t="s">
        <v>1135</v>
      </c>
      <c r="G274" s="85" t="n">
        <v>75700</v>
      </c>
      <c r="H274" s="85" t="s">
        <v>4434</v>
      </c>
      <c r="I274" s="85" t="n">
        <v>156060615</v>
      </c>
      <c r="K274" s="85"/>
      <c r="L274" s="85"/>
      <c r="M274" s="86"/>
      <c r="N274" s="87"/>
      <c r="O274" s="87"/>
      <c r="P274" s="88" t="n">
        <v>0</v>
      </c>
      <c r="Q274" s="89"/>
      <c r="R274" s="88" t="n">
        <v>0</v>
      </c>
      <c r="S274" s="89"/>
      <c r="T274" s="88"/>
      <c r="U274" s="89"/>
      <c r="V274" s="88"/>
      <c r="W274" s="89"/>
      <c r="X274" s="86"/>
      <c r="Y274" s="85"/>
      <c r="Z274" s="85"/>
    </row>
    <row r="275" customFormat="false" ht="12.75" hidden="true" customHeight="true" outlineLevel="0" collapsed="false">
      <c r="A275" s="85" t="n">
        <v>1514219</v>
      </c>
      <c r="B275" s="85" t="s">
        <v>4455</v>
      </c>
      <c r="C275" s="85"/>
      <c r="D275" s="85"/>
      <c r="E275" s="85" t="s">
        <v>2400</v>
      </c>
      <c r="F275" s="85" t="s">
        <v>2628</v>
      </c>
      <c r="G275" s="85" t="n">
        <v>75017</v>
      </c>
      <c r="H275" s="85" t="s">
        <v>36</v>
      </c>
      <c r="I275" s="85" t="n">
        <v>184175114</v>
      </c>
      <c r="K275" s="85"/>
      <c r="L275" s="85"/>
      <c r="M275" s="86"/>
      <c r="N275" s="87"/>
      <c r="O275" s="87"/>
      <c r="P275" s="88" t="n">
        <v>0</v>
      </c>
      <c r="Q275" s="89"/>
      <c r="R275" s="88" t="n">
        <v>0</v>
      </c>
      <c r="S275" s="89"/>
      <c r="T275" s="88"/>
      <c r="U275" s="89"/>
      <c r="V275" s="88"/>
      <c r="W275" s="89"/>
      <c r="X275" s="86"/>
      <c r="Y275" s="85"/>
      <c r="Z275" s="85"/>
    </row>
    <row r="276" customFormat="false" ht="12.75" hidden="true" customHeight="true" outlineLevel="0" collapsed="false">
      <c r="A276" s="85" t="n">
        <v>1514294</v>
      </c>
      <c r="B276" s="85" t="s">
        <v>4456</v>
      </c>
      <c r="C276" s="85"/>
      <c r="D276" s="85"/>
      <c r="E276" s="85" t="s">
        <v>2400</v>
      </c>
      <c r="F276" s="85" t="s">
        <v>2583</v>
      </c>
      <c r="G276" s="85" t="n">
        <v>75017</v>
      </c>
      <c r="H276" s="85" t="s">
        <v>36</v>
      </c>
      <c r="I276" s="85" t="n">
        <v>156900825</v>
      </c>
      <c r="K276" s="85"/>
      <c r="L276" s="85"/>
      <c r="M276" s="86"/>
      <c r="N276" s="87"/>
      <c r="O276" s="87"/>
      <c r="P276" s="88" t="n">
        <v>0</v>
      </c>
      <c r="Q276" s="89"/>
      <c r="R276" s="88" t="n">
        <v>0</v>
      </c>
      <c r="S276" s="89"/>
      <c r="T276" s="88"/>
      <c r="U276" s="89"/>
      <c r="V276" s="88"/>
      <c r="W276" s="89"/>
      <c r="X276" s="86"/>
      <c r="Y276" s="85"/>
      <c r="Z276" s="85"/>
    </row>
    <row r="277" customFormat="false" ht="12.75" hidden="true" customHeight="true" outlineLevel="0" collapsed="false">
      <c r="A277" s="85" t="n">
        <v>1526305</v>
      </c>
      <c r="B277" s="85" t="s">
        <v>4457</v>
      </c>
      <c r="C277" s="85"/>
      <c r="D277" s="85"/>
      <c r="E277" s="85" t="s">
        <v>1124</v>
      </c>
      <c r="F277" s="85" t="s">
        <v>4458</v>
      </c>
      <c r="G277" s="85" t="n">
        <v>75007</v>
      </c>
      <c r="H277" s="85" t="s">
        <v>36</v>
      </c>
      <c r="I277" s="85" t="n">
        <v>142848970</v>
      </c>
      <c r="K277" s="85"/>
      <c r="L277" s="85"/>
      <c r="M277" s="86"/>
      <c r="N277" s="87"/>
      <c r="O277" s="87"/>
      <c r="P277" s="88" t="n">
        <v>0</v>
      </c>
      <c r="Q277" s="89"/>
      <c r="R277" s="88" t="n">
        <v>0</v>
      </c>
      <c r="S277" s="89"/>
      <c r="T277" s="88"/>
      <c r="U277" s="89"/>
      <c r="V277" s="88"/>
      <c r="W277" s="89"/>
      <c r="X277" s="86"/>
      <c r="Y277" s="85"/>
      <c r="Z277" s="85"/>
    </row>
    <row r="278" customFormat="false" ht="12.75" hidden="true" customHeight="true" outlineLevel="0" collapsed="false">
      <c r="A278" s="85" t="n">
        <v>1563445</v>
      </c>
      <c r="B278" s="85" t="s">
        <v>4459</v>
      </c>
      <c r="C278" s="85"/>
      <c r="D278" s="85"/>
      <c r="E278" s="85" t="s">
        <v>3621</v>
      </c>
      <c r="F278" s="85" t="s">
        <v>3685</v>
      </c>
      <c r="G278" s="85" t="n">
        <v>92523</v>
      </c>
      <c r="H278" s="85" t="s">
        <v>4460</v>
      </c>
      <c r="I278" s="85" t="n">
        <v>141430450</v>
      </c>
      <c r="K278" s="85"/>
      <c r="L278" s="85"/>
      <c r="M278" s="86"/>
      <c r="N278" s="87"/>
      <c r="O278" s="87"/>
      <c r="P278" s="88" t="n">
        <v>0</v>
      </c>
      <c r="Q278" s="89"/>
      <c r="R278" s="88" t="n">
        <v>0</v>
      </c>
      <c r="S278" s="89"/>
      <c r="T278" s="88"/>
      <c r="U278" s="89"/>
      <c r="V278" s="88"/>
      <c r="W278" s="89"/>
      <c r="X278" s="86"/>
      <c r="Y278" s="85"/>
      <c r="Z278" s="85"/>
    </row>
    <row r="279" customFormat="false" ht="12.75" hidden="true" customHeight="true" outlineLevel="0" collapsed="false">
      <c r="A279" s="85" t="n">
        <v>1643807</v>
      </c>
      <c r="B279" s="85" t="s">
        <v>4461</v>
      </c>
      <c r="C279" s="85"/>
      <c r="D279" s="85"/>
      <c r="E279" s="85" t="s">
        <v>1536</v>
      </c>
      <c r="F279" s="85" t="s">
        <v>2036</v>
      </c>
      <c r="G279" s="85" t="n">
        <v>75725</v>
      </c>
      <c r="H279" s="85" t="s">
        <v>4444</v>
      </c>
      <c r="I279" s="85" t="n">
        <v>156586300</v>
      </c>
      <c r="K279" s="85"/>
      <c r="L279" s="85"/>
      <c r="M279" s="86"/>
      <c r="N279" s="87"/>
      <c r="O279" s="87"/>
      <c r="P279" s="88" t="n">
        <v>0</v>
      </c>
      <c r="Q279" s="89"/>
      <c r="R279" s="88" t="n">
        <v>0</v>
      </c>
      <c r="S279" s="89"/>
      <c r="T279" s="88"/>
      <c r="U279" s="89"/>
      <c r="V279" s="88"/>
      <c r="W279" s="89"/>
      <c r="X279" s="86"/>
      <c r="Y279" s="85"/>
      <c r="Z279" s="85"/>
    </row>
    <row r="280" customFormat="false" ht="12.75" hidden="true" customHeight="true" outlineLevel="0" collapsed="false">
      <c r="A280" s="85" t="n">
        <v>1663979</v>
      </c>
      <c r="B280" s="85" t="s">
        <v>4462</v>
      </c>
      <c r="C280" s="85"/>
      <c r="D280" s="85"/>
      <c r="E280" s="85" t="s">
        <v>357</v>
      </c>
      <c r="F280" s="85" t="s">
        <v>4463</v>
      </c>
      <c r="G280" s="85" t="n">
        <v>75008</v>
      </c>
      <c r="H280" s="85" t="s">
        <v>36</v>
      </c>
      <c r="I280" s="85" t="n">
        <v>142256031</v>
      </c>
      <c r="K280" s="85"/>
      <c r="L280" s="85"/>
      <c r="M280" s="86"/>
      <c r="N280" s="87"/>
      <c r="O280" s="87"/>
      <c r="P280" s="88" t="n">
        <v>0</v>
      </c>
      <c r="Q280" s="89"/>
      <c r="R280" s="88" t="n">
        <v>0</v>
      </c>
      <c r="S280" s="89"/>
      <c r="T280" s="88"/>
      <c r="U280" s="89"/>
      <c r="V280" s="88"/>
      <c r="W280" s="89"/>
      <c r="X280" s="86"/>
      <c r="Y280" s="85"/>
      <c r="Z280" s="85"/>
    </row>
    <row r="281" customFormat="false" ht="12.75" hidden="true" customHeight="true" outlineLevel="0" collapsed="false">
      <c r="A281" s="85" t="n">
        <v>1673799</v>
      </c>
      <c r="B281" s="85" t="s">
        <v>4464</v>
      </c>
      <c r="C281" s="85"/>
      <c r="D281" s="85"/>
      <c r="E281" s="85" t="s">
        <v>1536</v>
      </c>
      <c r="F281" s="85" t="s">
        <v>1586</v>
      </c>
      <c r="G281" s="85" t="n">
        <v>75743</v>
      </c>
      <c r="H281" s="85" t="s">
        <v>4444</v>
      </c>
      <c r="I281" s="85" t="n">
        <v>144494824</v>
      </c>
      <c r="K281" s="85"/>
      <c r="L281" s="85"/>
      <c r="M281" s="86"/>
      <c r="N281" s="87"/>
      <c r="O281" s="87"/>
      <c r="P281" s="88" t="n">
        <v>0</v>
      </c>
      <c r="Q281" s="89"/>
      <c r="R281" s="88" t="n">
        <v>0</v>
      </c>
      <c r="S281" s="89"/>
      <c r="T281" s="88"/>
      <c r="U281" s="89"/>
      <c r="V281" s="88"/>
      <c r="W281" s="89"/>
      <c r="X281" s="86"/>
      <c r="Y281" s="85"/>
      <c r="Z281" s="85"/>
    </row>
    <row r="282" customFormat="false" ht="12.75" hidden="true" customHeight="true" outlineLevel="0" collapsed="false">
      <c r="A282" s="85" t="n">
        <v>1703429</v>
      </c>
      <c r="B282" s="85" t="s">
        <v>4465</v>
      </c>
      <c r="C282" s="85"/>
      <c r="D282" s="85"/>
      <c r="E282" s="85" t="s">
        <v>1536</v>
      </c>
      <c r="F282" s="85" t="s">
        <v>4466</v>
      </c>
      <c r="G282" s="85" t="n">
        <v>75015</v>
      </c>
      <c r="H282" s="85" t="s">
        <v>36</v>
      </c>
      <c r="I282" s="85" t="n">
        <v>153695370</v>
      </c>
      <c r="K282" s="85"/>
      <c r="L282" s="85"/>
      <c r="M282" s="86"/>
      <c r="N282" s="87"/>
      <c r="O282" s="87"/>
      <c r="P282" s="88" t="n">
        <v>0</v>
      </c>
      <c r="Q282" s="89"/>
      <c r="R282" s="88" t="n">
        <v>0</v>
      </c>
      <c r="S282" s="89"/>
      <c r="T282" s="88"/>
      <c r="U282" s="89"/>
      <c r="V282" s="88"/>
      <c r="W282" s="89"/>
      <c r="X282" s="86"/>
      <c r="Y282" s="85"/>
      <c r="Z282" s="85"/>
    </row>
    <row r="283" customFormat="false" ht="12.75" hidden="true" customHeight="true" outlineLevel="0" collapsed="false">
      <c r="A283" s="85" t="n">
        <v>1713378</v>
      </c>
      <c r="B283" s="85" t="s">
        <v>4467</v>
      </c>
      <c r="C283" s="85"/>
      <c r="D283" s="85"/>
      <c r="E283" s="85" t="s">
        <v>357</v>
      </c>
      <c r="F283" s="85" t="s">
        <v>4468</v>
      </c>
      <c r="G283" s="85" t="n">
        <v>75008</v>
      </c>
      <c r="H283" s="85" t="s">
        <v>36</v>
      </c>
      <c r="I283" s="85" t="n">
        <v>155352424</v>
      </c>
      <c r="K283" s="85"/>
      <c r="L283" s="85"/>
      <c r="M283" s="86"/>
      <c r="N283" s="87"/>
      <c r="O283" s="87"/>
      <c r="P283" s="88" t="n">
        <v>0</v>
      </c>
      <c r="Q283" s="89"/>
      <c r="R283" s="88" t="n">
        <v>0</v>
      </c>
      <c r="S283" s="89"/>
      <c r="T283" s="88"/>
      <c r="U283" s="89"/>
      <c r="V283" s="88"/>
      <c r="W283" s="89"/>
      <c r="X283" s="86"/>
      <c r="Y283" s="85"/>
      <c r="Z283" s="85"/>
    </row>
    <row r="284" customFormat="false" ht="12.75" hidden="true" customHeight="true" outlineLevel="0" collapsed="false">
      <c r="A284" s="85" t="n">
        <v>1743785</v>
      </c>
      <c r="B284" s="85" t="s">
        <v>4469</v>
      </c>
      <c r="C284" s="85"/>
      <c r="D284" s="85"/>
      <c r="E284" s="85" t="s">
        <v>1124</v>
      </c>
      <c r="F284" s="85" t="s">
        <v>4470</v>
      </c>
      <c r="G284" s="85" t="n">
        <v>75015</v>
      </c>
      <c r="H284" s="85" t="s">
        <v>36</v>
      </c>
      <c r="I284" s="85" t="n">
        <v>153697127</v>
      </c>
      <c r="K284" s="85"/>
      <c r="L284" s="85"/>
      <c r="M284" s="86"/>
      <c r="N284" s="87"/>
      <c r="O284" s="87"/>
      <c r="P284" s="88" t="n">
        <v>0</v>
      </c>
      <c r="Q284" s="89"/>
      <c r="R284" s="88" t="n">
        <v>0</v>
      </c>
      <c r="S284" s="89"/>
      <c r="T284" s="88"/>
      <c r="U284" s="89"/>
      <c r="V284" s="88"/>
      <c r="W284" s="89"/>
      <c r="X284" s="86"/>
      <c r="Y284" s="85"/>
      <c r="Z284" s="85"/>
    </row>
    <row r="285" customFormat="false" ht="12.75" hidden="true" customHeight="true" outlineLevel="0" collapsed="false">
      <c r="A285" s="85" t="n">
        <v>1753124</v>
      </c>
      <c r="B285" s="85" t="s">
        <v>4471</v>
      </c>
      <c r="C285" s="85"/>
      <c r="D285" s="85"/>
      <c r="E285" s="85" t="s">
        <v>1124</v>
      </c>
      <c r="F285" s="85" t="s">
        <v>1511</v>
      </c>
      <c r="G285" s="85" t="n">
        <v>75007</v>
      </c>
      <c r="H285" s="85" t="s">
        <v>36</v>
      </c>
      <c r="I285" s="85" t="n">
        <v>144429255</v>
      </c>
      <c r="K285" s="85"/>
      <c r="L285" s="85"/>
      <c r="M285" s="86"/>
      <c r="N285" s="87"/>
      <c r="O285" s="87"/>
      <c r="P285" s="88" t="n">
        <v>0</v>
      </c>
      <c r="Q285" s="89"/>
      <c r="R285" s="88" t="n">
        <v>0</v>
      </c>
      <c r="S285" s="89"/>
      <c r="T285" s="88"/>
      <c r="U285" s="89"/>
      <c r="V285" s="88"/>
      <c r="W285" s="89"/>
      <c r="X285" s="86"/>
      <c r="Y285" s="85"/>
      <c r="Z285" s="85"/>
    </row>
    <row r="286" customFormat="false" ht="12.75" hidden="true" customHeight="true" outlineLevel="0" collapsed="false">
      <c r="A286" s="85" t="n">
        <v>1803009</v>
      </c>
      <c r="B286" s="85" t="s">
        <v>4472</v>
      </c>
      <c r="C286" s="85"/>
      <c r="D286" s="85"/>
      <c r="E286" s="85" t="s">
        <v>3401</v>
      </c>
      <c r="F286" s="85" t="s">
        <v>4473</v>
      </c>
      <c r="G286" s="85" t="n">
        <v>92300</v>
      </c>
      <c r="H286" s="85" t="s">
        <v>3403</v>
      </c>
      <c r="I286" s="85" t="n">
        <v>141497700</v>
      </c>
      <c r="K286" s="85"/>
      <c r="L286" s="85"/>
      <c r="M286" s="86"/>
      <c r="N286" s="87"/>
      <c r="O286" s="87"/>
      <c r="P286" s="88" t="n">
        <v>0</v>
      </c>
      <c r="Q286" s="89"/>
      <c r="R286" s="88" t="n">
        <v>0</v>
      </c>
      <c r="S286" s="89"/>
      <c r="T286" s="88"/>
      <c r="U286" s="89"/>
      <c r="V286" s="88"/>
      <c r="W286" s="89"/>
      <c r="X286" s="86"/>
      <c r="Y286" s="85"/>
      <c r="Z286" s="85"/>
    </row>
    <row r="287" customFormat="false" ht="12.75" hidden="true" customHeight="true" outlineLevel="0" collapsed="false">
      <c r="A287" s="85" t="n">
        <v>1813450</v>
      </c>
      <c r="B287" s="85" t="s">
        <v>4474</v>
      </c>
      <c r="C287" s="85"/>
      <c r="D287" s="85"/>
      <c r="E287" s="85" t="s">
        <v>1124</v>
      </c>
      <c r="F287" s="85" t="s">
        <v>4475</v>
      </c>
      <c r="G287" s="85" t="n">
        <v>75007</v>
      </c>
      <c r="H287" s="85" t="s">
        <v>36</v>
      </c>
      <c r="I287" s="85" t="n">
        <v>153101270</v>
      </c>
      <c r="K287" s="85"/>
      <c r="L287" s="85"/>
      <c r="M287" s="86"/>
      <c r="N287" s="87"/>
      <c r="O287" s="87"/>
      <c r="P287" s="88" t="n">
        <v>0</v>
      </c>
      <c r="Q287" s="89"/>
      <c r="R287" s="88" t="n">
        <v>0</v>
      </c>
      <c r="S287" s="89"/>
      <c r="T287" s="88"/>
      <c r="U287" s="89"/>
      <c r="V287" s="88"/>
      <c r="W287" s="89"/>
      <c r="X287" s="86"/>
      <c r="Y287" s="85"/>
      <c r="Z287" s="85"/>
    </row>
    <row r="288" customFormat="false" ht="12.75" hidden="true" customHeight="true" outlineLevel="0" collapsed="false">
      <c r="A288" s="85" t="n">
        <v>1813622</v>
      </c>
      <c r="B288" s="85" t="s">
        <v>4476</v>
      </c>
      <c r="C288" s="85"/>
      <c r="D288" s="85"/>
      <c r="E288" s="85" t="s">
        <v>3401</v>
      </c>
      <c r="F288" s="85" t="s">
        <v>3402</v>
      </c>
      <c r="G288" s="85" t="n">
        <v>92306</v>
      </c>
      <c r="H288" s="85" t="s">
        <v>4477</v>
      </c>
      <c r="I288" s="85" t="n">
        <v>155633232</v>
      </c>
      <c r="K288" s="85"/>
      <c r="L288" s="85"/>
      <c r="M288" s="86"/>
      <c r="N288" s="87"/>
      <c r="O288" s="87"/>
      <c r="P288" s="88" t="n">
        <v>0</v>
      </c>
      <c r="Q288" s="89"/>
      <c r="R288" s="88" t="n">
        <v>0</v>
      </c>
      <c r="S288" s="89"/>
      <c r="T288" s="88"/>
      <c r="U288" s="89"/>
      <c r="V288" s="88"/>
      <c r="W288" s="89"/>
      <c r="X288" s="86"/>
      <c r="Y288" s="85"/>
      <c r="Z288" s="85"/>
    </row>
    <row r="289" customFormat="false" ht="12.75" hidden="true" customHeight="true" outlineLevel="0" collapsed="false">
      <c r="A289" s="85" t="n">
        <v>1853875</v>
      </c>
      <c r="B289" s="85" t="s">
        <v>4478</v>
      </c>
      <c r="C289" s="85"/>
      <c r="D289" s="85"/>
      <c r="E289" s="85" t="s">
        <v>645</v>
      </c>
      <c r="F289" s="85" t="s">
        <v>917</v>
      </c>
      <c r="G289" s="85" t="n">
        <v>75015</v>
      </c>
      <c r="H289" s="85" t="s">
        <v>36</v>
      </c>
      <c r="I289" s="85" t="n">
        <v>143176504</v>
      </c>
      <c r="K289" s="85"/>
      <c r="L289" s="85"/>
      <c r="M289" s="86"/>
      <c r="N289" s="87"/>
      <c r="O289" s="87"/>
      <c r="P289" s="88" t="n">
        <v>0</v>
      </c>
      <c r="Q289" s="89"/>
      <c r="R289" s="88" t="n">
        <v>0</v>
      </c>
      <c r="S289" s="89"/>
      <c r="T289" s="88"/>
      <c r="U289" s="89"/>
      <c r="V289" s="88"/>
      <c r="W289" s="89"/>
      <c r="X289" s="86"/>
      <c r="Y289" s="85"/>
      <c r="Z289" s="85"/>
    </row>
    <row r="290" customFormat="false" ht="12.75" hidden="true" customHeight="true" outlineLevel="0" collapsed="false">
      <c r="A290" s="85" t="n">
        <v>1873867</v>
      </c>
      <c r="B290" s="85" t="s">
        <v>4479</v>
      </c>
      <c r="C290" s="85"/>
      <c r="D290" s="85"/>
      <c r="E290" s="85" t="s">
        <v>1124</v>
      </c>
      <c r="F290" s="85" t="s">
        <v>4480</v>
      </c>
      <c r="G290" s="85" t="n">
        <v>75007</v>
      </c>
      <c r="H290" s="85" t="s">
        <v>36</v>
      </c>
      <c r="I290" s="85" t="n">
        <v>142757312</v>
      </c>
      <c r="K290" s="85"/>
      <c r="L290" s="85"/>
      <c r="M290" s="86"/>
      <c r="N290" s="87"/>
      <c r="O290" s="87"/>
      <c r="P290" s="88" t="n">
        <v>0</v>
      </c>
      <c r="Q290" s="89"/>
      <c r="R290" s="88" t="n">
        <v>0</v>
      </c>
      <c r="S290" s="89"/>
      <c r="T290" s="88"/>
      <c r="U290" s="89"/>
      <c r="V290" s="88"/>
      <c r="W290" s="89"/>
      <c r="X290" s="86"/>
      <c r="Y290" s="85"/>
      <c r="Z290" s="85"/>
    </row>
    <row r="291" customFormat="false" ht="12.75" hidden="true" customHeight="true" outlineLevel="0" collapsed="false">
      <c r="A291" s="85" t="n">
        <v>1893042</v>
      </c>
      <c r="B291" s="85" t="s">
        <v>4481</v>
      </c>
      <c r="C291" s="85"/>
      <c r="D291" s="85"/>
      <c r="E291" s="85" t="s">
        <v>357</v>
      </c>
      <c r="F291" s="85" t="s">
        <v>4482</v>
      </c>
      <c r="G291" s="85" t="n">
        <v>75008</v>
      </c>
      <c r="H291" s="85" t="s">
        <v>36</v>
      </c>
      <c r="I291" s="85" t="n">
        <v>145635531</v>
      </c>
      <c r="K291" s="85"/>
      <c r="L291" s="85"/>
      <c r="M291" s="86"/>
      <c r="N291" s="87"/>
      <c r="O291" s="87"/>
      <c r="P291" s="88" t="n">
        <v>0</v>
      </c>
      <c r="Q291" s="89"/>
      <c r="R291" s="88" t="n">
        <v>0</v>
      </c>
      <c r="S291" s="89"/>
      <c r="T291" s="88"/>
      <c r="U291" s="89"/>
      <c r="V291" s="88"/>
      <c r="W291" s="89"/>
      <c r="X291" s="86"/>
      <c r="Y291" s="85"/>
      <c r="Z291" s="85"/>
    </row>
    <row r="292" customFormat="false" ht="12.75" hidden="true" customHeight="true" outlineLevel="0" collapsed="false">
      <c r="A292" s="85" t="n">
        <v>1933363</v>
      </c>
      <c r="B292" s="85" t="s">
        <v>4483</v>
      </c>
      <c r="C292" s="85"/>
      <c r="D292" s="85"/>
      <c r="E292" s="85" t="s">
        <v>3238</v>
      </c>
      <c r="F292" s="85" t="s">
        <v>4484</v>
      </c>
      <c r="G292" s="85" t="n">
        <v>75015</v>
      </c>
      <c r="H292" s="85" t="s">
        <v>36</v>
      </c>
      <c r="I292" s="85" t="n">
        <v>158453250</v>
      </c>
      <c r="K292" s="85"/>
      <c r="L292" s="85"/>
      <c r="M292" s="86"/>
      <c r="N292" s="87"/>
      <c r="O292" s="87"/>
      <c r="P292" s="88" t="n">
        <v>0</v>
      </c>
      <c r="Q292" s="89"/>
      <c r="R292" s="88" t="n">
        <v>0</v>
      </c>
      <c r="S292" s="89"/>
      <c r="T292" s="88"/>
      <c r="U292" s="89"/>
      <c r="V292" s="88"/>
      <c r="W292" s="89"/>
      <c r="X292" s="86"/>
      <c r="Y292" s="85"/>
      <c r="Z292" s="85"/>
    </row>
    <row r="293" customFormat="false" ht="12.75" hidden="true" customHeight="true" outlineLevel="0" collapsed="false">
      <c r="A293" s="85" t="n">
        <v>1933528</v>
      </c>
      <c r="B293" s="85" t="s">
        <v>4485</v>
      </c>
      <c r="C293" s="85"/>
      <c r="D293" s="85"/>
      <c r="E293" s="85" t="s">
        <v>2400</v>
      </c>
      <c r="F293" s="85" t="s">
        <v>4486</v>
      </c>
      <c r="G293" s="85" t="n">
        <v>75017</v>
      </c>
      <c r="H293" s="85" t="s">
        <v>36</v>
      </c>
      <c r="I293" s="85" t="n">
        <v>144297980</v>
      </c>
      <c r="K293" s="85"/>
      <c r="L293" s="85"/>
      <c r="M293" s="86"/>
      <c r="N293" s="87"/>
      <c r="O293" s="87"/>
      <c r="P293" s="88" t="n">
        <v>0</v>
      </c>
      <c r="Q293" s="89"/>
      <c r="R293" s="88" t="n">
        <v>0</v>
      </c>
      <c r="S293" s="89"/>
      <c r="T293" s="88"/>
      <c r="U293" s="89"/>
      <c r="V293" s="88"/>
      <c r="W293" s="89"/>
      <c r="X293" s="86"/>
      <c r="Y293" s="85"/>
      <c r="Z293" s="85"/>
    </row>
    <row r="294" customFormat="false" ht="12.75" hidden="true" customHeight="true" outlineLevel="0" collapsed="false">
      <c r="A294" s="85" t="n">
        <v>1933683</v>
      </c>
      <c r="B294" s="85" t="s">
        <v>4487</v>
      </c>
      <c r="C294" s="85"/>
      <c r="D294" s="85"/>
      <c r="E294" s="85" t="s">
        <v>2928</v>
      </c>
      <c r="F294" s="85" t="s">
        <v>4488</v>
      </c>
      <c r="G294" s="85" t="n">
        <v>75116</v>
      </c>
      <c r="H294" s="85" t="s">
        <v>36</v>
      </c>
      <c r="I294" s="85" t="n">
        <v>144960000</v>
      </c>
      <c r="K294" s="85"/>
      <c r="L294" s="85"/>
      <c r="M294" s="86"/>
      <c r="N294" s="87"/>
      <c r="O294" s="87"/>
      <c r="P294" s="88" t="n">
        <v>0</v>
      </c>
      <c r="Q294" s="89"/>
      <c r="R294" s="88" t="n">
        <v>0</v>
      </c>
      <c r="S294" s="89"/>
      <c r="T294" s="88"/>
      <c r="U294" s="89"/>
      <c r="V294" s="88"/>
      <c r="W294" s="89"/>
      <c r="X294" s="86"/>
      <c r="Y294" s="85"/>
      <c r="Z294" s="85"/>
    </row>
    <row r="295" customFormat="false" ht="12.75" hidden="true" customHeight="true" outlineLevel="0" collapsed="false">
      <c r="A295" s="85" t="n">
        <v>1943584</v>
      </c>
      <c r="B295" s="85" t="s">
        <v>4489</v>
      </c>
      <c r="C295" s="85"/>
      <c r="D295" s="85"/>
      <c r="E295" s="85" t="s">
        <v>357</v>
      </c>
      <c r="F295" s="85" t="s">
        <v>4490</v>
      </c>
      <c r="G295" s="85" t="n">
        <v>75008</v>
      </c>
      <c r="H295" s="85" t="s">
        <v>36</v>
      </c>
      <c r="I295" s="85" t="n">
        <v>153230920</v>
      </c>
      <c r="K295" s="85"/>
      <c r="L295" s="85"/>
      <c r="M295" s="86"/>
      <c r="N295" s="87"/>
      <c r="O295" s="87"/>
      <c r="P295" s="88" t="n">
        <v>0</v>
      </c>
      <c r="Q295" s="89"/>
      <c r="R295" s="88" t="n">
        <v>0</v>
      </c>
      <c r="S295" s="89"/>
      <c r="T295" s="88"/>
      <c r="U295" s="89"/>
      <c r="V295" s="88"/>
      <c r="W295" s="89"/>
      <c r="X295" s="86"/>
      <c r="Y295" s="85"/>
      <c r="Z295" s="85"/>
    </row>
    <row r="296" customFormat="false" ht="12.75" hidden="true" customHeight="true" outlineLevel="0" collapsed="false">
      <c r="A296" s="85" t="n">
        <v>1943936</v>
      </c>
      <c r="B296" s="85" t="s">
        <v>4491</v>
      </c>
      <c r="C296" s="85"/>
      <c r="D296" s="85"/>
      <c r="E296" s="85" t="s">
        <v>3401</v>
      </c>
      <c r="F296" s="85" t="s">
        <v>3545</v>
      </c>
      <c r="G296" s="85" t="n">
        <v>92309</v>
      </c>
      <c r="H296" s="85" t="s">
        <v>4477</v>
      </c>
      <c r="I296" s="85" t="n">
        <v>182248419</v>
      </c>
      <c r="K296" s="85"/>
      <c r="L296" s="85"/>
      <c r="M296" s="86"/>
      <c r="N296" s="87"/>
      <c r="O296" s="87"/>
      <c r="P296" s="88" t="n">
        <v>0</v>
      </c>
      <c r="Q296" s="89"/>
      <c r="R296" s="88" t="n">
        <v>0</v>
      </c>
      <c r="S296" s="89"/>
      <c r="T296" s="88"/>
      <c r="U296" s="89"/>
      <c r="V296" s="88"/>
      <c r="W296" s="89"/>
      <c r="X296" s="86"/>
      <c r="Y296" s="85"/>
      <c r="Z296" s="85"/>
    </row>
    <row r="297" customFormat="false" ht="12.75" hidden="false" customHeight="true" outlineLevel="0" collapsed="false">
      <c r="A297" s="85" t="n">
        <v>1953399</v>
      </c>
      <c r="B297" s="85" t="s">
        <v>4492</v>
      </c>
      <c r="C297" s="85"/>
      <c r="D297" s="85"/>
      <c r="E297" s="85" t="s">
        <v>2928</v>
      </c>
      <c r="F297" s="85" t="s">
        <v>3023</v>
      </c>
      <c r="G297" s="85" t="n">
        <v>75116</v>
      </c>
      <c r="H297" s="85" t="s">
        <v>36</v>
      </c>
      <c r="I297" s="85" t="n">
        <v>153750655</v>
      </c>
      <c r="K297" s="85"/>
      <c r="L297" s="85"/>
      <c r="M297" s="86"/>
      <c r="N297" s="87"/>
      <c r="O297" s="87"/>
      <c r="P297" s="88" t="n">
        <v>0</v>
      </c>
      <c r="Q297" s="89"/>
      <c r="R297" s="88" t="n">
        <v>0</v>
      </c>
      <c r="S297" s="89"/>
      <c r="T297" s="88"/>
      <c r="U297" s="89"/>
      <c r="V297" s="88"/>
      <c r="W297" s="89"/>
      <c r="X297" s="86"/>
      <c r="Y297" s="85"/>
      <c r="Z297" s="85"/>
    </row>
    <row r="298" customFormat="false" ht="12.75" hidden="true" customHeight="true" outlineLevel="0" collapsed="false">
      <c r="A298" s="85" t="n">
        <v>2000329</v>
      </c>
      <c r="B298" s="85" t="s">
        <v>4493</v>
      </c>
      <c r="C298" s="85"/>
      <c r="D298" s="85"/>
      <c r="E298" s="85" t="s">
        <v>645</v>
      </c>
      <c r="F298" s="85" t="s">
        <v>4494</v>
      </c>
      <c r="G298" s="85" t="n">
        <v>75015</v>
      </c>
      <c r="H298" s="85" t="s">
        <v>36</v>
      </c>
      <c r="I298" s="85" t="n">
        <v>144189560</v>
      </c>
      <c r="K298" s="85"/>
      <c r="L298" s="85"/>
      <c r="M298" s="86"/>
      <c r="N298" s="87"/>
      <c r="O298" s="87"/>
      <c r="P298" s="88" t="n">
        <v>0</v>
      </c>
      <c r="Q298" s="89"/>
      <c r="R298" s="88" t="n">
        <v>0</v>
      </c>
      <c r="S298" s="89"/>
      <c r="T298" s="88"/>
      <c r="U298" s="89"/>
      <c r="V298" s="88"/>
      <c r="W298" s="89"/>
      <c r="X298" s="86"/>
      <c r="Y298" s="85"/>
      <c r="Z298" s="85"/>
    </row>
    <row r="299" customFormat="false" ht="12.75" hidden="true" customHeight="true" outlineLevel="0" collapsed="false">
      <c r="A299" s="85" t="n">
        <v>2000516</v>
      </c>
      <c r="B299" s="85" t="s">
        <v>4495</v>
      </c>
      <c r="C299" s="85"/>
      <c r="D299" s="85"/>
      <c r="E299" s="85" t="s">
        <v>645</v>
      </c>
      <c r="F299" s="85" t="s">
        <v>4496</v>
      </c>
      <c r="G299" s="85" t="n">
        <v>75015</v>
      </c>
      <c r="H299" s="85" t="s">
        <v>36</v>
      </c>
      <c r="I299" s="85" t="n">
        <v>967182791</v>
      </c>
      <c r="K299" s="85" t="n">
        <v>1</v>
      </c>
      <c r="L299" s="85"/>
      <c r="M299" s="86"/>
      <c r="N299" s="87"/>
      <c r="O299" s="87"/>
      <c r="P299" s="88" t="n">
        <v>0</v>
      </c>
      <c r="Q299" s="89"/>
      <c r="R299" s="88" t="n">
        <v>0</v>
      </c>
      <c r="S299" s="89"/>
      <c r="T299" s="88"/>
      <c r="U299" s="89"/>
      <c r="V299" s="88"/>
      <c r="W299" s="89"/>
      <c r="X299" s="86"/>
      <c r="Y299" s="85"/>
      <c r="Z299" s="85" t="s">
        <v>3955</v>
      </c>
    </row>
    <row r="300" customFormat="false" ht="12.75" hidden="true" customHeight="true" outlineLevel="0" collapsed="false">
      <c r="A300" s="85" t="n">
        <v>2002423</v>
      </c>
      <c r="B300" s="85" t="s">
        <v>4497</v>
      </c>
      <c r="C300" s="85"/>
      <c r="D300" s="85"/>
      <c r="E300" s="85" t="s">
        <v>34</v>
      </c>
      <c r="F300" s="85" t="s">
        <v>4498</v>
      </c>
      <c r="G300" s="85" t="n">
        <v>75016</v>
      </c>
      <c r="H300" s="85" t="s">
        <v>36</v>
      </c>
      <c r="I300" s="85" t="n">
        <v>173797928</v>
      </c>
      <c r="K300" s="85"/>
      <c r="L300" s="85"/>
      <c r="M300" s="86"/>
      <c r="N300" s="87"/>
      <c r="O300" s="87"/>
      <c r="P300" s="88" t="n">
        <v>0</v>
      </c>
      <c r="Q300" s="89"/>
      <c r="R300" s="88" t="n">
        <v>0</v>
      </c>
      <c r="S300" s="89"/>
      <c r="T300" s="88"/>
      <c r="U300" s="89"/>
      <c r="V300" s="88"/>
      <c r="W300" s="89"/>
      <c r="X300" s="86"/>
      <c r="Y300" s="85"/>
      <c r="Z300" s="85"/>
    </row>
    <row r="301" customFormat="false" ht="12.75" hidden="true" customHeight="true" outlineLevel="0" collapsed="false">
      <c r="A301" s="85" t="n">
        <v>2002443</v>
      </c>
      <c r="B301" s="85" t="s">
        <v>4499</v>
      </c>
      <c r="C301" s="85"/>
      <c r="D301" s="85"/>
      <c r="E301" s="85" t="s">
        <v>1124</v>
      </c>
      <c r="F301" s="85" t="s">
        <v>4458</v>
      </c>
      <c r="G301" s="85" t="n">
        <v>75007</v>
      </c>
      <c r="H301" s="85" t="s">
        <v>36</v>
      </c>
      <c r="I301" s="85" t="n">
        <v>142848970</v>
      </c>
      <c r="K301" s="85"/>
      <c r="L301" s="85"/>
      <c r="M301" s="86"/>
      <c r="N301" s="87"/>
      <c r="O301" s="87"/>
      <c r="P301" s="88" t="n">
        <v>0</v>
      </c>
      <c r="Q301" s="89"/>
      <c r="R301" s="88" t="n">
        <v>0</v>
      </c>
      <c r="S301" s="89"/>
      <c r="T301" s="88"/>
      <c r="U301" s="89"/>
      <c r="V301" s="88"/>
      <c r="W301" s="89"/>
      <c r="X301" s="86"/>
      <c r="Y301" s="85" t="s">
        <v>4500</v>
      </c>
      <c r="Z301" s="85"/>
    </row>
    <row r="302" customFormat="false" ht="12.75" hidden="true" customHeight="true" outlineLevel="0" collapsed="false">
      <c r="A302" s="85" t="n">
        <v>2003685</v>
      </c>
      <c r="B302" s="85" t="s">
        <v>4501</v>
      </c>
      <c r="C302" s="85"/>
      <c r="D302" s="85"/>
      <c r="E302" s="85" t="s">
        <v>645</v>
      </c>
      <c r="F302" s="85" t="s">
        <v>4502</v>
      </c>
      <c r="G302" s="85" t="n">
        <v>75015</v>
      </c>
      <c r="H302" s="85" t="s">
        <v>36</v>
      </c>
      <c r="I302" s="85" t="n">
        <v>145720589</v>
      </c>
      <c r="K302" s="85"/>
      <c r="L302" s="85"/>
      <c r="M302" s="86"/>
      <c r="N302" s="87"/>
      <c r="O302" s="87"/>
      <c r="P302" s="88" t="n">
        <v>0</v>
      </c>
      <c r="Q302" s="89"/>
      <c r="R302" s="88" t="n">
        <v>0</v>
      </c>
      <c r="S302" s="89"/>
      <c r="T302" s="88"/>
      <c r="U302" s="89"/>
      <c r="V302" s="88"/>
      <c r="W302" s="89"/>
      <c r="X302" s="86"/>
      <c r="Y302" s="85"/>
      <c r="Z302" s="85"/>
    </row>
    <row r="303" customFormat="false" ht="12.75" hidden="true" customHeight="true" outlineLevel="0" collapsed="false">
      <c r="A303" s="85" t="n">
        <v>2004053</v>
      </c>
      <c r="B303" s="85" t="s">
        <v>4503</v>
      </c>
      <c r="C303" s="85"/>
      <c r="D303" s="85"/>
      <c r="E303" s="85" t="s">
        <v>357</v>
      </c>
      <c r="F303" s="85" t="s">
        <v>4504</v>
      </c>
      <c r="G303" s="85" t="n">
        <v>75008</v>
      </c>
      <c r="H303" s="85" t="s">
        <v>36</v>
      </c>
      <c r="I303" s="85"/>
      <c r="K303" s="85"/>
      <c r="L303" s="85"/>
      <c r="M303" s="86"/>
      <c r="N303" s="87"/>
      <c r="O303" s="87"/>
      <c r="P303" s="88" t="n">
        <v>0</v>
      </c>
      <c r="Q303" s="89"/>
      <c r="R303" s="88" t="n">
        <v>0</v>
      </c>
      <c r="S303" s="89"/>
      <c r="T303" s="88"/>
      <c r="U303" s="89"/>
      <c r="V303" s="88"/>
      <c r="W303" s="89"/>
      <c r="X303" s="86"/>
      <c r="Y303" s="85" t="s">
        <v>4505</v>
      </c>
      <c r="Z303" s="85"/>
    </row>
    <row r="304" customFormat="false" ht="12.75" hidden="true" customHeight="true" outlineLevel="0" collapsed="false">
      <c r="A304" s="85" t="n">
        <v>2005665</v>
      </c>
      <c r="B304" s="85" t="s">
        <v>4506</v>
      </c>
      <c r="C304" s="85"/>
      <c r="D304" s="85"/>
      <c r="E304" s="85" t="s">
        <v>3401</v>
      </c>
      <c r="F304" s="85" t="s">
        <v>4507</v>
      </c>
      <c r="G304" s="85" t="n">
        <v>92300</v>
      </c>
      <c r="H304" s="85" t="s">
        <v>3403</v>
      </c>
      <c r="I304" s="85" t="n">
        <v>142000124</v>
      </c>
      <c r="K304" s="85"/>
      <c r="L304" s="85"/>
      <c r="M304" s="86"/>
      <c r="N304" s="87"/>
      <c r="O304" s="87"/>
      <c r="P304" s="88" t="n">
        <v>0</v>
      </c>
      <c r="Q304" s="89"/>
      <c r="R304" s="88" t="n">
        <v>0</v>
      </c>
      <c r="S304" s="89"/>
      <c r="T304" s="88"/>
      <c r="U304" s="89"/>
      <c r="V304" s="88"/>
      <c r="W304" s="89"/>
      <c r="X304" s="86"/>
      <c r="Y304" s="85"/>
      <c r="Z304" s="85"/>
    </row>
    <row r="305" customFormat="false" ht="12.75" hidden="true" customHeight="true" outlineLevel="0" collapsed="false">
      <c r="A305" s="85" t="n">
        <v>2006190</v>
      </c>
      <c r="B305" s="85" t="s">
        <v>4508</v>
      </c>
      <c r="C305" s="85"/>
      <c r="D305" s="85"/>
      <c r="E305" s="85" t="s">
        <v>3621</v>
      </c>
      <c r="F305" s="85" t="s">
        <v>3682</v>
      </c>
      <c r="G305" s="85" t="n">
        <v>92200</v>
      </c>
      <c r="H305" s="85" t="s">
        <v>3932</v>
      </c>
      <c r="I305" s="85" t="n">
        <v>177375934</v>
      </c>
      <c r="K305" s="85"/>
      <c r="L305" s="85"/>
      <c r="M305" s="86"/>
      <c r="N305" s="87"/>
      <c r="O305" s="87"/>
      <c r="P305" s="88" t="n">
        <v>0</v>
      </c>
      <c r="Q305" s="89"/>
      <c r="R305" s="88" t="n">
        <v>0</v>
      </c>
      <c r="S305" s="89"/>
      <c r="T305" s="88"/>
      <c r="U305" s="89"/>
      <c r="V305" s="88"/>
      <c r="W305" s="89"/>
      <c r="X305" s="86"/>
      <c r="Y305" s="85"/>
      <c r="Z305" s="85"/>
    </row>
    <row r="306" customFormat="false" ht="12.75" hidden="true" customHeight="true" outlineLevel="0" collapsed="false">
      <c r="A306" s="85" t="n">
        <v>2006258</v>
      </c>
      <c r="B306" s="85" t="s">
        <v>4509</v>
      </c>
      <c r="C306" s="85"/>
      <c r="D306" s="85"/>
      <c r="E306" s="85" t="s">
        <v>2672</v>
      </c>
      <c r="F306" s="85" t="s">
        <v>4510</v>
      </c>
      <c r="G306" s="85" t="n">
        <v>75008</v>
      </c>
      <c r="H306" s="85" t="s">
        <v>36</v>
      </c>
      <c r="I306" s="85"/>
      <c r="K306" s="85"/>
      <c r="L306" s="85"/>
      <c r="M306" s="86"/>
      <c r="N306" s="87"/>
      <c r="O306" s="87"/>
      <c r="P306" s="88" t="n">
        <v>0</v>
      </c>
      <c r="Q306" s="89"/>
      <c r="R306" s="88" t="n">
        <v>0</v>
      </c>
      <c r="S306" s="89"/>
      <c r="T306" s="88"/>
      <c r="U306" s="89"/>
      <c r="V306" s="88"/>
      <c r="W306" s="89"/>
      <c r="X306" s="86"/>
      <c r="Y306" s="85"/>
      <c r="Z306" s="85"/>
    </row>
    <row r="307" customFormat="false" ht="12.75" hidden="true" customHeight="true" outlineLevel="0" collapsed="false">
      <c r="A307" s="85" t="n">
        <v>2006578</v>
      </c>
      <c r="B307" s="85" t="s">
        <v>4511</v>
      </c>
      <c r="C307" s="85"/>
      <c r="D307" s="85"/>
      <c r="E307" s="85" t="s">
        <v>2672</v>
      </c>
      <c r="F307" s="85" t="s">
        <v>4512</v>
      </c>
      <c r="G307" s="85" t="n">
        <v>75008</v>
      </c>
      <c r="H307" s="85" t="s">
        <v>36</v>
      </c>
      <c r="I307" s="85"/>
      <c r="K307" s="85"/>
      <c r="L307" s="85"/>
      <c r="M307" s="86"/>
      <c r="N307" s="87"/>
      <c r="O307" s="87"/>
      <c r="P307" s="88" t="n">
        <v>0</v>
      </c>
      <c r="Q307" s="89"/>
      <c r="R307" s="88" t="n">
        <v>0</v>
      </c>
      <c r="S307" s="89"/>
      <c r="T307" s="88"/>
      <c r="U307" s="89"/>
      <c r="V307" s="88"/>
      <c r="W307" s="89"/>
      <c r="X307" s="86"/>
      <c r="Y307" s="85"/>
      <c r="Z307" s="85"/>
    </row>
    <row r="308" customFormat="false" ht="12.75" hidden="true" customHeight="true" outlineLevel="0" collapsed="false">
      <c r="A308" s="85" t="n">
        <v>2007219</v>
      </c>
      <c r="B308" s="85" t="s">
        <v>4513</v>
      </c>
      <c r="C308" s="85"/>
      <c r="D308" s="85"/>
      <c r="E308" s="85" t="s">
        <v>2132</v>
      </c>
      <c r="F308" s="85" t="s">
        <v>4514</v>
      </c>
      <c r="G308" s="85" t="n">
        <v>75116</v>
      </c>
      <c r="H308" s="85" t="s">
        <v>36</v>
      </c>
      <c r="I308" s="85"/>
      <c r="K308" s="85"/>
      <c r="L308" s="85"/>
      <c r="M308" s="86"/>
      <c r="N308" s="87"/>
      <c r="O308" s="87"/>
      <c r="P308" s="88" t="n">
        <v>0</v>
      </c>
      <c r="Q308" s="89"/>
      <c r="R308" s="88" t="n">
        <v>0</v>
      </c>
      <c r="S308" s="89"/>
      <c r="T308" s="88"/>
      <c r="U308" s="89"/>
      <c r="V308" s="88"/>
      <c r="W308" s="89"/>
      <c r="X308" s="86"/>
      <c r="Y308" s="85"/>
      <c r="Z308" s="85"/>
    </row>
    <row r="309" customFormat="false" ht="12.75" hidden="true" customHeight="true" outlineLevel="0" collapsed="false">
      <c r="A309" s="85" t="n">
        <v>2014855</v>
      </c>
      <c r="B309" s="85" t="s">
        <v>4515</v>
      </c>
      <c r="C309" s="85"/>
      <c r="D309" s="85"/>
      <c r="E309" s="85" t="s">
        <v>357</v>
      </c>
      <c r="F309" s="85" t="s">
        <v>4516</v>
      </c>
      <c r="G309" s="85" t="n">
        <v>75001</v>
      </c>
      <c r="H309" s="85" t="s">
        <v>36</v>
      </c>
      <c r="I309" s="85" t="n">
        <v>140060202</v>
      </c>
      <c r="K309" s="85"/>
      <c r="L309" s="85"/>
      <c r="M309" s="86"/>
      <c r="N309" s="87"/>
      <c r="O309" s="87"/>
      <c r="P309" s="88" t="n">
        <v>0</v>
      </c>
      <c r="Q309" s="89"/>
      <c r="R309" s="88" t="n">
        <v>0</v>
      </c>
      <c r="S309" s="89"/>
      <c r="T309" s="88"/>
      <c r="U309" s="89"/>
      <c r="V309" s="88"/>
      <c r="W309" s="89"/>
      <c r="X309" s="86"/>
      <c r="Y309" s="85"/>
      <c r="Z309" s="85"/>
    </row>
    <row r="310" customFormat="false" ht="12.75" hidden="true" customHeight="true" outlineLevel="0" collapsed="false">
      <c r="A310" s="85" t="n">
        <v>2048126</v>
      </c>
      <c r="B310" s="85" t="s">
        <v>4517</v>
      </c>
      <c r="C310" s="85"/>
      <c r="D310" s="85"/>
      <c r="E310" s="85" t="s">
        <v>3621</v>
      </c>
      <c r="F310" s="85" t="s">
        <v>4518</v>
      </c>
      <c r="G310" s="85" t="n">
        <v>92200</v>
      </c>
      <c r="H310" s="85" t="s">
        <v>3932</v>
      </c>
      <c r="I310" s="85" t="n">
        <v>146240517</v>
      </c>
      <c r="K310" s="85"/>
      <c r="L310" s="85"/>
      <c r="M310" s="86"/>
      <c r="N310" s="87"/>
      <c r="O310" s="87"/>
      <c r="P310" s="88" t="n">
        <v>0</v>
      </c>
      <c r="Q310" s="89"/>
      <c r="R310" s="88" t="n">
        <v>0</v>
      </c>
      <c r="S310" s="89"/>
      <c r="T310" s="88"/>
      <c r="U310" s="89"/>
      <c r="V310" s="88"/>
      <c r="W310" s="89"/>
      <c r="X310" s="86" t="n">
        <v>7</v>
      </c>
      <c r="Y310" s="85" t="s">
        <v>3964</v>
      </c>
      <c r="Z310" s="85"/>
    </row>
    <row r="311" customFormat="false" ht="12.75" hidden="true" customHeight="true" outlineLevel="0" collapsed="false">
      <c r="A311" s="85" t="n">
        <v>2051563</v>
      </c>
      <c r="B311" s="85" t="s">
        <v>4519</v>
      </c>
      <c r="C311" s="85"/>
      <c r="D311" s="85"/>
      <c r="E311" s="85" t="s">
        <v>357</v>
      </c>
      <c r="F311" s="85" t="s">
        <v>4520</v>
      </c>
      <c r="G311" s="85" t="n">
        <v>75001</v>
      </c>
      <c r="H311" s="85" t="s">
        <v>36</v>
      </c>
      <c r="I311" s="85" t="n">
        <v>142608614</v>
      </c>
      <c r="K311" s="85"/>
      <c r="L311" s="85"/>
      <c r="M311" s="86"/>
      <c r="N311" s="87"/>
      <c r="O311" s="87"/>
      <c r="P311" s="88" t="n">
        <v>0</v>
      </c>
      <c r="Q311" s="89"/>
      <c r="R311" s="88" t="n">
        <v>0</v>
      </c>
      <c r="S311" s="89"/>
      <c r="T311" s="88"/>
      <c r="U311" s="89"/>
      <c r="V311" s="88"/>
      <c r="W311" s="89"/>
      <c r="X311" s="86" t="n">
        <v>10</v>
      </c>
      <c r="Y311" s="85"/>
      <c r="Z311" s="85"/>
    </row>
    <row r="312" customFormat="false" ht="12.75" hidden="true" customHeight="true" outlineLevel="0" collapsed="false">
      <c r="A312" s="85" t="n">
        <v>2052001</v>
      </c>
      <c r="B312" s="85" t="s">
        <v>4521</v>
      </c>
      <c r="C312" s="85"/>
      <c r="D312" s="85"/>
      <c r="E312" s="85" t="s">
        <v>1124</v>
      </c>
      <c r="F312" s="85" t="s">
        <v>4522</v>
      </c>
      <c r="G312" s="85" t="n">
        <v>75007</v>
      </c>
      <c r="H312" s="85" t="s">
        <v>36</v>
      </c>
      <c r="I312" s="85" t="n">
        <v>145517844</v>
      </c>
      <c r="K312" s="85"/>
      <c r="L312" s="85"/>
      <c r="M312" s="86"/>
      <c r="N312" s="87"/>
      <c r="O312" s="87"/>
      <c r="P312" s="88" t="n">
        <v>0</v>
      </c>
      <c r="Q312" s="89"/>
      <c r="R312" s="88" t="n">
        <v>0</v>
      </c>
      <c r="S312" s="89"/>
      <c r="T312" s="88"/>
      <c r="U312" s="89"/>
      <c r="V312" s="88"/>
      <c r="W312" s="89"/>
      <c r="X312" s="86" t="n">
        <v>10</v>
      </c>
      <c r="Y312" s="85" t="s">
        <v>3922</v>
      </c>
      <c r="Z312" s="85"/>
    </row>
    <row r="313" customFormat="false" ht="12.75" hidden="true" customHeight="true" outlineLevel="0" collapsed="false">
      <c r="A313" s="85" t="n">
        <v>2053398</v>
      </c>
      <c r="B313" s="85" t="s">
        <v>4523</v>
      </c>
      <c r="C313" s="85"/>
      <c r="D313" s="85"/>
      <c r="E313" s="85" t="s">
        <v>1124</v>
      </c>
      <c r="F313" s="85" t="s">
        <v>4524</v>
      </c>
      <c r="G313" s="85" t="n">
        <v>75015</v>
      </c>
      <c r="H313" s="85" t="s">
        <v>36</v>
      </c>
      <c r="I313" s="85" t="n">
        <v>143068184</v>
      </c>
      <c r="K313" s="85"/>
      <c r="L313" s="85"/>
      <c r="M313" s="86"/>
      <c r="N313" s="87"/>
      <c r="O313" s="87"/>
      <c r="P313" s="88" t="n">
        <v>0</v>
      </c>
      <c r="Q313" s="89"/>
      <c r="R313" s="88" t="n">
        <v>0</v>
      </c>
      <c r="S313" s="89"/>
      <c r="T313" s="88"/>
      <c r="U313" s="89"/>
      <c r="V313" s="88"/>
      <c r="W313" s="89"/>
      <c r="X313" s="86" t="n">
        <v>7</v>
      </c>
      <c r="Y313" s="85"/>
      <c r="Z313" s="85"/>
    </row>
    <row r="314" customFormat="false" ht="12.75" hidden="true" customHeight="true" outlineLevel="0" collapsed="false">
      <c r="A314" s="85" t="n">
        <v>2053508</v>
      </c>
      <c r="B314" s="85" t="s">
        <v>4525</v>
      </c>
      <c r="C314" s="85"/>
      <c r="D314" s="85"/>
      <c r="E314" s="85" t="s">
        <v>3238</v>
      </c>
      <c r="F314" s="85" t="s">
        <v>4526</v>
      </c>
      <c r="G314" s="85" t="n">
        <v>75015</v>
      </c>
      <c r="H314" s="85" t="s">
        <v>36</v>
      </c>
      <c r="I314" s="85" t="n">
        <v>148284689</v>
      </c>
      <c r="K314" s="85"/>
      <c r="L314" s="85"/>
      <c r="M314" s="86"/>
      <c r="N314" s="87"/>
      <c r="O314" s="87"/>
      <c r="P314" s="88" t="n">
        <v>0</v>
      </c>
      <c r="Q314" s="89"/>
      <c r="R314" s="88" t="n">
        <v>0</v>
      </c>
      <c r="S314" s="89"/>
      <c r="T314" s="88"/>
      <c r="U314" s="89"/>
      <c r="V314" s="88"/>
      <c r="W314" s="89"/>
      <c r="X314" s="86" t="n">
        <v>10</v>
      </c>
      <c r="Y314" s="85"/>
      <c r="Z314" s="85"/>
    </row>
    <row r="315" customFormat="false" ht="12.75" hidden="true" customHeight="true" outlineLevel="0" collapsed="false">
      <c r="A315" s="85" t="n">
        <v>2053691</v>
      </c>
      <c r="B315" s="85" t="s">
        <v>4527</v>
      </c>
      <c r="C315" s="85"/>
      <c r="D315" s="85"/>
      <c r="E315" s="85" t="s">
        <v>2928</v>
      </c>
      <c r="F315" s="85" t="s">
        <v>4528</v>
      </c>
      <c r="G315" s="85" t="n">
        <v>75116</v>
      </c>
      <c r="H315" s="85" t="s">
        <v>36</v>
      </c>
      <c r="I315" s="85" t="n">
        <v>140671928</v>
      </c>
      <c r="K315" s="85"/>
      <c r="L315" s="85"/>
      <c r="M315" s="86"/>
      <c r="N315" s="87"/>
      <c r="O315" s="87"/>
      <c r="P315" s="88" t="n">
        <v>0</v>
      </c>
      <c r="Q315" s="89"/>
      <c r="R315" s="88" t="n">
        <v>0</v>
      </c>
      <c r="S315" s="89"/>
      <c r="T315" s="88"/>
      <c r="U315" s="89"/>
      <c r="V315" s="88"/>
      <c r="W315" s="89"/>
      <c r="X315" s="86" t="n">
        <v>4</v>
      </c>
      <c r="Y315" s="85" t="s">
        <v>3908</v>
      </c>
      <c r="Z315" s="85"/>
    </row>
    <row r="316" customFormat="false" ht="12.75" hidden="true" customHeight="true" outlineLevel="0" collapsed="false">
      <c r="A316" s="85" t="n">
        <v>2053749</v>
      </c>
      <c r="B316" s="85" t="s">
        <v>4529</v>
      </c>
      <c r="C316" s="85"/>
      <c r="D316" s="85"/>
      <c r="E316" s="85" t="s">
        <v>2132</v>
      </c>
      <c r="F316" s="85" t="s">
        <v>4530</v>
      </c>
      <c r="G316" s="85" t="n">
        <v>75016</v>
      </c>
      <c r="H316" s="85" t="s">
        <v>36</v>
      </c>
      <c r="I316" s="85" t="n">
        <v>177350338</v>
      </c>
      <c r="K316" s="85"/>
      <c r="L316" s="85"/>
      <c r="M316" s="86"/>
      <c r="N316" s="87"/>
      <c r="O316" s="87"/>
      <c r="P316" s="88" t="n">
        <v>0</v>
      </c>
      <c r="Q316" s="89"/>
      <c r="R316" s="88" t="n">
        <v>0</v>
      </c>
      <c r="S316" s="89"/>
      <c r="T316" s="88"/>
      <c r="U316" s="89"/>
      <c r="V316" s="88"/>
      <c r="W316" s="89"/>
      <c r="X316" s="86" t="n">
        <v>3</v>
      </c>
      <c r="Y316" s="85" t="s">
        <v>4531</v>
      </c>
      <c r="Z316" s="85"/>
    </row>
    <row r="317" customFormat="false" ht="12.75" hidden="true" customHeight="true" outlineLevel="0" collapsed="false">
      <c r="A317" s="85" t="n">
        <v>2053796</v>
      </c>
      <c r="B317" s="85" t="s">
        <v>4532</v>
      </c>
      <c r="C317" s="85"/>
      <c r="D317" s="85"/>
      <c r="E317" s="85" t="s">
        <v>2132</v>
      </c>
      <c r="F317" s="85" t="s">
        <v>4533</v>
      </c>
      <c r="G317" s="85" t="n">
        <v>75016</v>
      </c>
      <c r="H317" s="85" t="s">
        <v>36</v>
      </c>
      <c r="I317" s="85" t="n">
        <v>142882232</v>
      </c>
      <c r="K317" s="85" t="n">
        <v>1</v>
      </c>
      <c r="L317" s="85"/>
      <c r="M317" s="86"/>
      <c r="N317" s="87"/>
      <c r="O317" s="87"/>
      <c r="P317" s="88" t="n">
        <v>0</v>
      </c>
      <c r="Q317" s="89"/>
      <c r="R317" s="88" t="n">
        <v>0</v>
      </c>
      <c r="S317" s="89"/>
      <c r="T317" s="88"/>
      <c r="U317" s="89"/>
      <c r="V317" s="88"/>
      <c r="W317" s="89"/>
      <c r="X317" s="86" t="n">
        <v>8</v>
      </c>
      <c r="Y317" s="85" t="s">
        <v>3922</v>
      </c>
      <c r="Z317" s="85"/>
    </row>
    <row r="318" customFormat="false" ht="12.75" hidden="true" customHeight="true" outlineLevel="0" collapsed="false">
      <c r="A318" s="85" t="n">
        <v>2053885</v>
      </c>
      <c r="B318" s="85" t="s">
        <v>4534</v>
      </c>
      <c r="C318" s="85"/>
      <c r="D318" s="85"/>
      <c r="E318" s="85" t="s">
        <v>2928</v>
      </c>
      <c r="F318" s="85" t="s">
        <v>4535</v>
      </c>
      <c r="G318" s="85" t="n">
        <v>75116</v>
      </c>
      <c r="H318" s="85" t="s">
        <v>36</v>
      </c>
      <c r="I318" s="85" t="n">
        <v>953237475</v>
      </c>
      <c r="K318" s="85"/>
      <c r="L318" s="85"/>
      <c r="M318" s="86"/>
      <c r="N318" s="87"/>
      <c r="O318" s="87"/>
      <c r="P318" s="88" t="n">
        <v>0</v>
      </c>
      <c r="Q318" s="89"/>
      <c r="R318" s="88" t="n">
        <v>0</v>
      </c>
      <c r="S318" s="89"/>
      <c r="T318" s="88"/>
      <c r="U318" s="89"/>
      <c r="V318" s="88"/>
      <c r="W318" s="89"/>
      <c r="X318" s="86" t="n">
        <v>10</v>
      </c>
      <c r="Y318" s="85"/>
      <c r="Z318" s="85"/>
    </row>
    <row r="319" customFormat="false" ht="12.75" hidden="true" customHeight="true" outlineLevel="0" collapsed="false">
      <c r="A319" s="85" t="n">
        <v>2053911</v>
      </c>
      <c r="B319" s="85" t="s">
        <v>4536</v>
      </c>
      <c r="C319" s="85"/>
      <c r="D319" s="85"/>
      <c r="E319" s="85" t="s">
        <v>2400</v>
      </c>
      <c r="F319" s="85" t="s">
        <v>4537</v>
      </c>
      <c r="G319" s="85" t="n">
        <v>75017</v>
      </c>
      <c r="H319" s="85" t="s">
        <v>36</v>
      </c>
      <c r="I319" s="85" t="n">
        <v>145740517</v>
      </c>
      <c r="K319" s="85"/>
      <c r="L319" s="85"/>
      <c r="M319" s="86"/>
      <c r="N319" s="87"/>
      <c r="O319" s="87"/>
      <c r="P319" s="88" t="n">
        <v>0</v>
      </c>
      <c r="Q319" s="89"/>
      <c r="R319" s="88" t="n">
        <v>0</v>
      </c>
      <c r="S319" s="89"/>
      <c r="T319" s="88"/>
      <c r="U319" s="89"/>
      <c r="V319" s="88"/>
      <c r="W319" s="89"/>
      <c r="X319" s="86" t="n">
        <v>7</v>
      </c>
      <c r="Y319" s="85"/>
      <c r="Z319" s="85"/>
    </row>
    <row r="320" customFormat="false" ht="12.75" hidden="true" customHeight="true" outlineLevel="0" collapsed="false">
      <c r="A320" s="85" t="n">
        <v>2054040</v>
      </c>
      <c r="B320" s="85" t="s">
        <v>4538</v>
      </c>
      <c r="C320" s="85"/>
      <c r="D320" s="85"/>
      <c r="E320" s="85" t="s">
        <v>2400</v>
      </c>
      <c r="F320" s="85" t="s">
        <v>4539</v>
      </c>
      <c r="G320" s="85" t="n">
        <v>75017</v>
      </c>
      <c r="H320" s="85" t="s">
        <v>36</v>
      </c>
      <c r="I320" s="85" t="n">
        <v>143808746</v>
      </c>
      <c r="K320" s="85"/>
      <c r="L320" s="85"/>
      <c r="M320" s="86"/>
      <c r="N320" s="87"/>
      <c r="O320" s="87"/>
      <c r="P320" s="88" t="n">
        <v>0</v>
      </c>
      <c r="Q320" s="89"/>
      <c r="R320" s="88" t="n">
        <v>0</v>
      </c>
      <c r="S320" s="89"/>
      <c r="T320" s="88"/>
      <c r="U320" s="89"/>
      <c r="V320" s="88"/>
      <c r="W320" s="89"/>
      <c r="X320" s="86" t="n">
        <v>10</v>
      </c>
      <c r="Y320" s="85"/>
      <c r="Z320" s="85"/>
    </row>
    <row r="321" customFormat="false" ht="12.75" hidden="true" customHeight="true" outlineLevel="0" collapsed="false">
      <c r="A321" s="85" t="n">
        <v>2054145</v>
      </c>
      <c r="B321" s="85" t="s">
        <v>4540</v>
      </c>
      <c r="C321" s="85"/>
      <c r="D321" s="85"/>
      <c r="E321" s="85" t="s">
        <v>2672</v>
      </c>
      <c r="F321" s="85" t="s">
        <v>4541</v>
      </c>
      <c r="G321" s="85" t="n">
        <v>75017</v>
      </c>
      <c r="H321" s="85" t="s">
        <v>36</v>
      </c>
      <c r="I321" s="85" t="n">
        <v>140682433</v>
      </c>
      <c r="K321" s="85"/>
      <c r="L321" s="85"/>
      <c r="M321" s="86"/>
      <c r="N321" s="87"/>
      <c r="O321" s="87"/>
      <c r="P321" s="88" t="n">
        <v>0</v>
      </c>
      <c r="Q321" s="89"/>
      <c r="R321" s="88" t="n">
        <v>0</v>
      </c>
      <c r="S321" s="89"/>
      <c r="T321" s="88"/>
      <c r="U321" s="89"/>
      <c r="V321" s="88"/>
      <c r="W321" s="89"/>
      <c r="X321" s="86" t="n">
        <v>10</v>
      </c>
      <c r="Y321" s="85"/>
      <c r="Z321" s="85"/>
    </row>
    <row r="322" customFormat="false" ht="12.75" hidden="true" customHeight="true" outlineLevel="0" collapsed="false">
      <c r="A322" s="85" t="n">
        <v>2054171</v>
      </c>
      <c r="B322" s="85" t="s">
        <v>4542</v>
      </c>
      <c r="C322" s="85"/>
      <c r="D322" s="85"/>
      <c r="E322" s="85" t="s">
        <v>2672</v>
      </c>
      <c r="F322" s="85" t="s">
        <v>4543</v>
      </c>
      <c r="G322" s="85" t="n">
        <v>75017</v>
      </c>
      <c r="H322" s="85" t="s">
        <v>36</v>
      </c>
      <c r="I322" s="85" t="n">
        <v>143803525</v>
      </c>
      <c r="K322" s="85"/>
      <c r="L322" s="85"/>
      <c r="M322" s="86"/>
      <c r="N322" s="87"/>
      <c r="O322" s="87"/>
      <c r="P322" s="88" t="n">
        <v>0</v>
      </c>
      <c r="Q322" s="89"/>
      <c r="R322" s="88" t="n">
        <v>0</v>
      </c>
      <c r="S322" s="89"/>
      <c r="T322" s="88"/>
      <c r="U322" s="89"/>
      <c r="V322" s="88"/>
      <c r="W322" s="89"/>
      <c r="X322" s="86" t="n">
        <v>7</v>
      </c>
      <c r="Y322" s="85"/>
      <c r="Z322" s="85"/>
    </row>
    <row r="323" customFormat="false" ht="12.75" hidden="true" customHeight="true" outlineLevel="0" collapsed="false">
      <c r="A323" s="85" t="n">
        <v>2188066</v>
      </c>
      <c r="B323" s="85" t="s">
        <v>4544</v>
      </c>
      <c r="C323" s="85"/>
      <c r="D323" s="85"/>
      <c r="E323" s="85" t="s">
        <v>1124</v>
      </c>
      <c r="F323" s="85" t="s">
        <v>4545</v>
      </c>
      <c r="G323" s="85" t="n">
        <v>75006</v>
      </c>
      <c r="H323" s="85" t="s">
        <v>36</v>
      </c>
      <c r="I323" s="85" t="n">
        <v>147348888</v>
      </c>
      <c r="K323" s="85"/>
      <c r="L323" s="85"/>
      <c r="M323" s="86"/>
      <c r="N323" s="87"/>
      <c r="O323" s="87"/>
      <c r="P323" s="88" t="n">
        <v>0</v>
      </c>
      <c r="Q323" s="89"/>
      <c r="R323" s="88" t="n">
        <v>0</v>
      </c>
      <c r="S323" s="89"/>
      <c r="T323" s="88"/>
      <c r="U323" s="89"/>
      <c r="V323" s="88"/>
      <c r="W323" s="89"/>
      <c r="X323" s="86" t="n">
        <v>10</v>
      </c>
      <c r="Y323" s="85"/>
      <c r="Z323" s="85"/>
    </row>
    <row r="324" customFormat="false" ht="12.75" hidden="true" customHeight="true" outlineLevel="0" collapsed="false">
      <c r="A324" s="85" t="n">
        <v>2188438</v>
      </c>
      <c r="B324" s="85" t="s">
        <v>4546</v>
      </c>
      <c r="C324" s="85"/>
      <c r="D324" s="85"/>
      <c r="E324" s="85" t="s">
        <v>1124</v>
      </c>
      <c r="F324" s="85" t="s">
        <v>4547</v>
      </c>
      <c r="G324" s="85" t="n">
        <v>75007</v>
      </c>
      <c r="H324" s="85" t="s">
        <v>36</v>
      </c>
      <c r="I324" s="85" t="n">
        <v>147348051</v>
      </c>
      <c r="K324" s="85"/>
      <c r="L324" s="85"/>
      <c r="M324" s="86"/>
      <c r="N324" s="87"/>
      <c r="O324" s="87"/>
      <c r="P324" s="88" t="n">
        <v>0</v>
      </c>
      <c r="Q324" s="89"/>
      <c r="R324" s="88" t="n">
        <v>0</v>
      </c>
      <c r="S324" s="89"/>
      <c r="T324" s="88"/>
      <c r="U324" s="89"/>
      <c r="V324" s="88"/>
      <c r="W324" s="89"/>
      <c r="X324" s="86" t="n">
        <v>8</v>
      </c>
      <c r="Y324" s="85"/>
      <c r="Z324" s="85"/>
    </row>
    <row r="325" customFormat="false" ht="12.75" hidden="true" customHeight="true" outlineLevel="0" collapsed="false">
      <c r="A325" s="85" t="n">
        <v>2188459</v>
      </c>
      <c r="B325" s="85" t="s">
        <v>4548</v>
      </c>
      <c r="C325" s="85"/>
      <c r="D325" s="85"/>
      <c r="E325" s="85" t="s">
        <v>1124</v>
      </c>
      <c r="F325" s="85" t="s">
        <v>4549</v>
      </c>
      <c r="G325" s="85" t="n">
        <v>75007</v>
      </c>
      <c r="H325" s="85" t="s">
        <v>36</v>
      </c>
      <c r="I325" s="85" t="n">
        <v>147051259</v>
      </c>
      <c r="K325" s="85"/>
      <c r="L325" s="85"/>
      <c r="M325" s="86"/>
      <c r="N325" s="87"/>
      <c r="O325" s="87"/>
      <c r="P325" s="88" t="n">
        <v>0</v>
      </c>
      <c r="Q325" s="89"/>
      <c r="R325" s="88" t="n">
        <v>0</v>
      </c>
      <c r="S325" s="89"/>
      <c r="T325" s="88"/>
      <c r="U325" s="89"/>
      <c r="V325" s="88"/>
      <c r="W325" s="89"/>
      <c r="X325" s="86" t="n">
        <v>10</v>
      </c>
      <c r="Y325" s="85"/>
      <c r="Z325" s="85"/>
    </row>
    <row r="326" customFormat="false" ht="12.75" hidden="true" customHeight="true" outlineLevel="0" collapsed="false">
      <c r="A326" s="85" t="n">
        <v>2188511</v>
      </c>
      <c r="B326" s="85" t="s">
        <v>4550</v>
      </c>
      <c r="C326" s="85"/>
      <c r="D326" s="85"/>
      <c r="E326" s="85" t="s">
        <v>1124</v>
      </c>
      <c r="F326" s="85" t="s">
        <v>4551</v>
      </c>
      <c r="G326" s="85" t="n">
        <v>75007</v>
      </c>
      <c r="H326" s="85" t="s">
        <v>36</v>
      </c>
      <c r="I326" s="85" t="n">
        <v>145488142</v>
      </c>
      <c r="K326" s="85"/>
      <c r="L326" s="85"/>
      <c r="M326" s="86"/>
      <c r="N326" s="87"/>
      <c r="O326" s="87"/>
      <c r="P326" s="88" t="n">
        <v>0</v>
      </c>
      <c r="Q326" s="89"/>
      <c r="R326" s="88" t="n">
        <v>0</v>
      </c>
      <c r="S326" s="89"/>
      <c r="T326" s="88"/>
      <c r="U326" s="89"/>
      <c r="V326" s="88"/>
      <c r="W326" s="89"/>
      <c r="X326" s="86" t="n">
        <v>10</v>
      </c>
      <c r="Y326" s="85"/>
      <c r="Z326" s="85"/>
    </row>
    <row r="327" customFormat="false" ht="12.75" hidden="true" customHeight="true" outlineLevel="0" collapsed="false">
      <c r="A327" s="85" t="n">
        <v>2188684</v>
      </c>
      <c r="B327" s="85" t="s">
        <v>4552</v>
      </c>
      <c r="C327" s="85"/>
      <c r="D327" s="85"/>
      <c r="E327" s="85" t="s">
        <v>2672</v>
      </c>
      <c r="F327" s="85" t="s">
        <v>4553</v>
      </c>
      <c r="G327" s="85" t="n">
        <v>75008</v>
      </c>
      <c r="H327" s="85" t="s">
        <v>36</v>
      </c>
      <c r="I327" s="85" t="n">
        <v>142271697</v>
      </c>
      <c r="K327" s="85"/>
      <c r="L327" s="85"/>
      <c r="M327" s="86"/>
      <c r="N327" s="87"/>
      <c r="O327" s="87"/>
      <c r="P327" s="88" t="n">
        <v>0</v>
      </c>
      <c r="Q327" s="89"/>
      <c r="R327" s="88" t="n">
        <v>0</v>
      </c>
      <c r="S327" s="89"/>
      <c r="T327" s="88"/>
      <c r="U327" s="89"/>
      <c r="V327" s="88"/>
      <c r="W327" s="89"/>
      <c r="X327" s="86" t="n">
        <v>9</v>
      </c>
      <c r="Y327" s="85"/>
      <c r="Z327" s="85"/>
    </row>
    <row r="328" customFormat="false" ht="12.75" hidden="true" customHeight="true" outlineLevel="0" collapsed="false">
      <c r="A328" s="85" t="n">
        <v>2188815</v>
      </c>
      <c r="B328" s="85" t="s">
        <v>4554</v>
      </c>
      <c r="C328" s="85"/>
      <c r="D328" s="85"/>
      <c r="E328" s="85" t="s">
        <v>357</v>
      </c>
      <c r="F328" s="85" t="s">
        <v>4555</v>
      </c>
      <c r="G328" s="85" t="n">
        <v>75008</v>
      </c>
      <c r="H328" s="85" t="s">
        <v>36</v>
      </c>
      <c r="I328" s="85" t="n">
        <v>142661328</v>
      </c>
      <c r="K328" s="85"/>
      <c r="L328" s="85"/>
      <c r="M328" s="86"/>
      <c r="N328" s="87"/>
      <c r="O328" s="87"/>
      <c r="P328" s="88" t="n">
        <v>0</v>
      </c>
      <c r="Q328" s="89"/>
      <c r="R328" s="88" t="n">
        <v>0</v>
      </c>
      <c r="S328" s="89"/>
      <c r="T328" s="88"/>
      <c r="U328" s="89"/>
      <c r="V328" s="88"/>
      <c r="W328" s="89"/>
      <c r="X328" s="86" t="n">
        <v>6</v>
      </c>
      <c r="Y328" s="85" t="s">
        <v>4045</v>
      </c>
      <c r="Z328" s="85"/>
    </row>
    <row r="329" customFormat="false" ht="12.75" hidden="true" customHeight="true" outlineLevel="0" collapsed="false">
      <c r="A329" s="85" t="n">
        <v>2188841</v>
      </c>
      <c r="B329" s="85" t="s">
        <v>4556</v>
      </c>
      <c r="C329" s="85"/>
      <c r="D329" s="85"/>
      <c r="E329" s="85" t="s">
        <v>357</v>
      </c>
      <c r="F329" s="85" t="s">
        <v>4557</v>
      </c>
      <c r="G329" s="85" t="n">
        <v>75008</v>
      </c>
      <c r="H329" s="85" t="s">
        <v>36</v>
      </c>
      <c r="I329" s="85" t="n">
        <v>145637067</v>
      </c>
      <c r="K329" s="85"/>
      <c r="L329" s="85"/>
      <c r="M329" s="86"/>
      <c r="N329" s="87"/>
      <c r="O329" s="87"/>
      <c r="P329" s="88" t="n">
        <v>0</v>
      </c>
      <c r="Q329" s="89"/>
      <c r="R329" s="88" t="n">
        <v>0</v>
      </c>
      <c r="S329" s="89"/>
      <c r="T329" s="88"/>
      <c r="U329" s="89"/>
      <c r="V329" s="88"/>
      <c r="W329" s="89"/>
      <c r="X329" s="86" t="n">
        <v>8</v>
      </c>
      <c r="Y329" s="85" t="s">
        <v>4104</v>
      </c>
      <c r="Z329" s="85"/>
    </row>
    <row r="330" customFormat="false" ht="12.75" hidden="true" customHeight="true" outlineLevel="0" collapsed="false">
      <c r="A330" s="85" t="n">
        <v>2191854</v>
      </c>
      <c r="B330" s="85" t="s">
        <v>4558</v>
      </c>
      <c r="C330" s="85"/>
      <c r="D330" s="85"/>
      <c r="E330" s="85" t="s">
        <v>645</v>
      </c>
      <c r="F330" s="85" t="s">
        <v>4559</v>
      </c>
      <c r="G330" s="85" t="n">
        <v>75015</v>
      </c>
      <c r="H330" s="85" t="s">
        <v>36</v>
      </c>
      <c r="I330" s="85" t="n">
        <v>145775462</v>
      </c>
      <c r="K330" s="85"/>
      <c r="L330" s="85"/>
      <c r="M330" s="86"/>
      <c r="N330" s="87"/>
      <c r="O330" s="87"/>
      <c r="P330" s="88" t="n">
        <v>0</v>
      </c>
      <c r="Q330" s="89"/>
      <c r="R330" s="88" t="n">
        <v>0</v>
      </c>
      <c r="S330" s="89"/>
      <c r="T330" s="88"/>
      <c r="U330" s="89"/>
      <c r="V330" s="88"/>
      <c r="W330" s="89"/>
      <c r="X330" s="86" t="n">
        <v>9</v>
      </c>
      <c r="Y330" s="85" t="s">
        <v>3926</v>
      </c>
      <c r="Z330" s="85"/>
    </row>
    <row r="331" customFormat="false" ht="12.75" hidden="true" customHeight="true" outlineLevel="0" collapsed="false">
      <c r="A331" s="85" t="n">
        <v>2192135</v>
      </c>
      <c r="B331" s="85" t="s">
        <v>4560</v>
      </c>
      <c r="C331" s="85"/>
      <c r="D331" s="85"/>
      <c r="E331" s="85" t="s">
        <v>1124</v>
      </c>
      <c r="F331" s="85" t="s">
        <v>4561</v>
      </c>
      <c r="G331" s="85" t="n">
        <v>75015</v>
      </c>
      <c r="H331" s="85" t="s">
        <v>36</v>
      </c>
      <c r="I331" s="85" t="n">
        <v>145671808</v>
      </c>
      <c r="K331" s="85"/>
      <c r="L331" s="85"/>
      <c r="M331" s="86"/>
      <c r="N331" s="87"/>
      <c r="O331" s="87"/>
      <c r="P331" s="88" t="n">
        <v>0</v>
      </c>
      <c r="Q331" s="89"/>
      <c r="R331" s="88" t="n">
        <v>0</v>
      </c>
      <c r="S331" s="89"/>
      <c r="T331" s="88"/>
      <c r="U331" s="89"/>
      <c r="V331" s="88"/>
      <c r="W331" s="89"/>
      <c r="X331" s="86" t="n">
        <v>9</v>
      </c>
      <c r="Y331" s="85" t="s">
        <v>4403</v>
      </c>
      <c r="Z331" s="85"/>
    </row>
    <row r="332" customFormat="false" ht="12.75" hidden="true" customHeight="true" outlineLevel="0" collapsed="false">
      <c r="A332" s="85" t="n">
        <v>2192245</v>
      </c>
      <c r="B332" s="85" t="s">
        <v>4562</v>
      </c>
      <c r="C332" s="85"/>
      <c r="D332" s="85"/>
      <c r="E332" s="85" t="s">
        <v>1536</v>
      </c>
      <c r="F332" s="85" t="s">
        <v>4563</v>
      </c>
      <c r="G332" s="85" t="n">
        <v>75015</v>
      </c>
      <c r="H332" s="85" t="s">
        <v>36</v>
      </c>
      <c r="I332" s="85" t="n">
        <v>142509098</v>
      </c>
      <c r="K332" s="85"/>
      <c r="L332" s="85"/>
      <c r="M332" s="86"/>
      <c r="N332" s="87"/>
      <c r="O332" s="87"/>
      <c r="P332" s="88" t="n">
        <v>0</v>
      </c>
      <c r="Q332" s="89"/>
      <c r="R332" s="88" t="n">
        <v>0</v>
      </c>
      <c r="S332" s="89"/>
      <c r="T332" s="88"/>
      <c r="U332" s="89"/>
      <c r="V332" s="88"/>
      <c r="W332" s="89"/>
      <c r="X332" s="86" t="n">
        <v>10</v>
      </c>
      <c r="Y332" s="85" t="s">
        <v>4564</v>
      </c>
      <c r="Z332" s="85"/>
    </row>
    <row r="333" customFormat="false" ht="12.75" hidden="true" customHeight="true" outlineLevel="0" collapsed="false">
      <c r="A333" s="85" t="n">
        <v>2192287</v>
      </c>
      <c r="B333" s="85" t="s">
        <v>4565</v>
      </c>
      <c r="C333" s="85"/>
      <c r="D333" s="85"/>
      <c r="E333" s="85" t="s">
        <v>1536</v>
      </c>
      <c r="F333" s="85" t="s">
        <v>4566</v>
      </c>
      <c r="G333" s="85" t="n">
        <v>75015</v>
      </c>
      <c r="H333" s="85" t="s">
        <v>36</v>
      </c>
      <c r="I333" s="85" t="n">
        <v>143065132</v>
      </c>
      <c r="K333" s="85"/>
      <c r="L333" s="85"/>
      <c r="M333" s="86"/>
      <c r="N333" s="87"/>
      <c r="O333" s="87"/>
      <c r="P333" s="88" t="n">
        <v>0</v>
      </c>
      <c r="Q333" s="89"/>
      <c r="R333" s="88" t="n">
        <v>0</v>
      </c>
      <c r="S333" s="89"/>
      <c r="T333" s="88"/>
      <c r="U333" s="89"/>
      <c r="V333" s="88"/>
      <c r="W333" s="89"/>
      <c r="X333" s="86" t="n">
        <v>10</v>
      </c>
      <c r="Y333" s="85"/>
      <c r="Z333" s="85"/>
    </row>
    <row r="334" customFormat="false" ht="12.75" hidden="true" customHeight="true" outlineLevel="0" collapsed="false">
      <c r="A334" s="85" t="n">
        <v>2192292</v>
      </c>
      <c r="B334" s="85" t="s">
        <v>4567</v>
      </c>
      <c r="C334" s="85"/>
      <c r="D334" s="85"/>
      <c r="E334" s="85" t="s">
        <v>1124</v>
      </c>
      <c r="F334" s="85" t="s">
        <v>4568</v>
      </c>
      <c r="G334" s="85" t="n">
        <v>75015</v>
      </c>
      <c r="H334" s="85" t="s">
        <v>36</v>
      </c>
      <c r="I334" s="85" t="n">
        <v>143060494</v>
      </c>
      <c r="K334" s="85"/>
      <c r="L334" s="85"/>
      <c r="M334" s="86"/>
      <c r="N334" s="87"/>
      <c r="O334" s="87"/>
      <c r="P334" s="88" t="n">
        <v>0</v>
      </c>
      <c r="Q334" s="89"/>
      <c r="R334" s="88" t="n">
        <v>0</v>
      </c>
      <c r="S334" s="89"/>
      <c r="T334" s="88"/>
      <c r="U334" s="89"/>
      <c r="V334" s="88"/>
      <c r="W334" s="89"/>
      <c r="X334" s="86" t="n">
        <v>9</v>
      </c>
      <c r="Y334" s="85"/>
      <c r="Z334" s="85"/>
    </row>
    <row r="335" customFormat="false" ht="12.75" hidden="true" customHeight="true" outlineLevel="0" collapsed="false">
      <c r="A335" s="85" t="n">
        <v>2192397</v>
      </c>
      <c r="B335" s="85" t="s">
        <v>4569</v>
      </c>
      <c r="C335" s="85"/>
      <c r="D335" s="85"/>
      <c r="E335" s="85" t="s">
        <v>1536</v>
      </c>
      <c r="F335" s="85" t="s">
        <v>4570</v>
      </c>
      <c r="G335" s="85" t="n">
        <v>75015</v>
      </c>
      <c r="H335" s="85" t="s">
        <v>36</v>
      </c>
      <c r="I335" s="85" t="n">
        <v>145486120</v>
      </c>
      <c r="K335" s="85"/>
      <c r="L335" s="85"/>
      <c r="M335" s="86"/>
      <c r="N335" s="87"/>
      <c r="O335" s="87"/>
      <c r="P335" s="88" t="n">
        <v>0</v>
      </c>
      <c r="Q335" s="89"/>
      <c r="R335" s="88" t="n">
        <v>0</v>
      </c>
      <c r="S335" s="89"/>
      <c r="T335" s="88"/>
      <c r="U335" s="89"/>
      <c r="V335" s="88"/>
      <c r="W335" s="89"/>
      <c r="X335" s="86" t="n">
        <v>10</v>
      </c>
      <c r="Y335" s="85" t="s">
        <v>3922</v>
      </c>
      <c r="Z335" s="85"/>
    </row>
    <row r="336" customFormat="false" ht="12.75" hidden="true" customHeight="true" outlineLevel="0" collapsed="false">
      <c r="A336" s="85" t="n">
        <v>2192512</v>
      </c>
      <c r="B336" s="85" t="s">
        <v>4571</v>
      </c>
      <c r="C336" s="85"/>
      <c r="D336" s="85"/>
      <c r="E336" s="85" t="s">
        <v>645</v>
      </c>
      <c r="F336" s="85" t="s">
        <v>4572</v>
      </c>
      <c r="G336" s="85" t="n">
        <v>75015</v>
      </c>
      <c r="H336" s="85" t="s">
        <v>36</v>
      </c>
      <c r="I336" s="85" t="n">
        <v>145671666</v>
      </c>
      <c r="K336" s="85" t="n">
        <v>1</v>
      </c>
      <c r="L336" s="85"/>
      <c r="M336" s="86"/>
      <c r="N336" s="87"/>
      <c r="O336" s="87"/>
      <c r="P336" s="88" t="n">
        <v>0</v>
      </c>
      <c r="Q336" s="89"/>
      <c r="R336" s="88" t="n">
        <v>0</v>
      </c>
      <c r="S336" s="89"/>
      <c r="T336" s="88"/>
      <c r="U336" s="89"/>
      <c r="V336" s="88"/>
      <c r="W336" s="89"/>
      <c r="X336" s="86" t="n">
        <v>10</v>
      </c>
      <c r="Y336" s="85"/>
      <c r="Z336" s="85"/>
    </row>
    <row r="337" customFormat="false" ht="12.75" hidden="true" customHeight="true" outlineLevel="0" collapsed="false">
      <c r="A337" s="85" t="n">
        <v>2192643</v>
      </c>
      <c r="B337" s="85" t="s">
        <v>2168</v>
      </c>
      <c r="C337" s="85"/>
      <c r="D337" s="85"/>
      <c r="E337" s="85" t="s">
        <v>2132</v>
      </c>
      <c r="F337" s="85" t="s">
        <v>2169</v>
      </c>
      <c r="G337" s="85" t="n">
        <v>75016</v>
      </c>
      <c r="H337" s="85" t="s">
        <v>36</v>
      </c>
      <c r="I337" s="85" t="n">
        <v>140506572</v>
      </c>
      <c r="K337" s="85"/>
      <c r="L337" s="85"/>
      <c r="M337" s="86"/>
      <c r="N337" s="87"/>
      <c r="O337" s="87"/>
      <c r="P337" s="88" t="n">
        <v>0</v>
      </c>
      <c r="Q337" s="89"/>
      <c r="R337" s="88" t="n">
        <v>0</v>
      </c>
      <c r="S337" s="89"/>
      <c r="T337" s="88"/>
      <c r="U337" s="89"/>
      <c r="V337" s="88"/>
      <c r="W337" s="89"/>
      <c r="X337" s="86" t="n">
        <v>10</v>
      </c>
      <c r="Y337" s="85" t="s">
        <v>3922</v>
      </c>
      <c r="Z337" s="85"/>
    </row>
    <row r="338" customFormat="false" ht="12.75" hidden="true" customHeight="true" outlineLevel="0" collapsed="false">
      <c r="A338" s="85" t="n">
        <v>2192664</v>
      </c>
      <c r="B338" s="85" t="s">
        <v>4573</v>
      </c>
      <c r="C338" s="85"/>
      <c r="D338" s="85"/>
      <c r="E338" s="85" t="s">
        <v>2132</v>
      </c>
      <c r="F338" s="85" t="s">
        <v>4574</v>
      </c>
      <c r="G338" s="85" t="n">
        <v>75016</v>
      </c>
      <c r="H338" s="85" t="s">
        <v>36</v>
      </c>
      <c r="I338" s="85" t="n">
        <v>145273817</v>
      </c>
      <c r="K338" s="85" t="n">
        <v>1</v>
      </c>
      <c r="L338" s="85"/>
      <c r="M338" s="86"/>
      <c r="N338" s="87"/>
      <c r="O338" s="87"/>
      <c r="P338" s="88" t="n">
        <v>0</v>
      </c>
      <c r="Q338" s="89"/>
      <c r="R338" s="88" t="n">
        <v>0</v>
      </c>
      <c r="S338" s="89"/>
      <c r="T338" s="88"/>
      <c r="U338" s="89"/>
      <c r="V338" s="88"/>
      <c r="W338" s="89"/>
      <c r="X338" s="86" t="n">
        <v>10</v>
      </c>
      <c r="Y338" s="85"/>
      <c r="Z338" s="85"/>
    </row>
    <row r="339" customFormat="false" ht="12.75" hidden="true" customHeight="true" outlineLevel="0" collapsed="false">
      <c r="A339" s="85" t="n">
        <v>2192821</v>
      </c>
      <c r="B339" s="85" t="s">
        <v>4575</v>
      </c>
      <c r="C339" s="85"/>
      <c r="D339" s="85"/>
      <c r="E339" s="85" t="s">
        <v>2928</v>
      </c>
      <c r="F339" s="85" t="s">
        <v>4576</v>
      </c>
      <c r="G339" s="85" t="n">
        <v>75116</v>
      </c>
      <c r="H339" s="85" t="s">
        <v>36</v>
      </c>
      <c r="I339" s="85" t="n">
        <v>147273598</v>
      </c>
      <c r="K339" s="85"/>
      <c r="L339" s="85"/>
      <c r="M339" s="86"/>
      <c r="N339" s="87"/>
      <c r="O339" s="87"/>
      <c r="P339" s="88" t="n">
        <v>0</v>
      </c>
      <c r="Q339" s="89"/>
      <c r="R339" s="88" t="n">
        <v>0</v>
      </c>
      <c r="S339" s="89"/>
      <c r="T339" s="88"/>
      <c r="U339" s="89"/>
      <c r="V339" s="88"/>
      <c r="W339" s="89"/>
      <c r="X339" s="86" t="n">
        <v>10</v>
      </c>
      <c r="Y339" s="85"/>
      <c r="Z339" s="85"/>
    </row>
    <row r="340" customFormat="false" ht="12.75" hidden="true" customHeight="true" outlineLevel="0" collapsed="false">
      <c r="A340" s="85" t="n">
        <v>2192905</v>
      </c>
      <c r="B340" s="85" t="s">
        <v>4577</v>
      </c>
      <c r="C340" s="85"/>
      <c r="D340" s="85"/>
      <c r="E340" s="85" t="s">
        <v>2928</v>
      </c>
      <c r="F340" s="85" t="s">
        <v>4578</v>
      </c>
      <c r="G340" s="85" t="n">
        <v>75116</v>
      </c>
      <c r="H340" s="85" t="s">
        <v>36</v>
      </c>
      <c r="I340" s="85" t="n">
        <v>145006066</v>
      </c>
      <c r="K340" s="85"/>
      <c r="L340" s="85"/>
      <c r="M340" s="86"/>
      <c r="N340" s="87"/>
      <c r="O340" s="87"/>
      <c r="P340" s="88" t="n">
        <v>0</v>
      </c>
      <c r="Q340" s="89"/>
      <c r="R340" s="88" t="n">
        <v>0</v>
      </c>
      <c r="S340" s="89"/>
      <c r="T340" s="88"/>
      <c r="U340" s="89"/>
      <c r="V340" s="88"/>
      <c r="W340" s="89"/>
      <c r="X340" s="86" t="n">
        <v>10</v>
      </c>
      <c r="Y340" s="85"/>
      <c r="Z340" s="85"/>
    </row>
    <row r="341" customFormat="false" ht="12.75" hidden="true" customHeight="true" outlineLevel="0" collapsed="false">
      <c r="A341" s="85" t="n">
        <v>2192926</v>
      </c>
      <c r="B341" s="85" t="s">
        <v>251</v>
      </c>
      <c r="C341" s="85"/>
      <c r="D341" s="85"/>
      <c r="E341" s="85" t="s">
        <v>34</v>
      </c>
      <c r="F341" s="85" t="s">
        <v>252</v>
      </c>
      <c r="G341" s="85" t="n">
        <v>75016</v>
      </c>
      <c r="H341" s="85" t="s">
        <v>36</v>
      </c>
      <c r="I341" s="85" t="n">
        <v>146478290</v>
      </c>
      <c r="K341" s="85"/>
      <c r="L341" s="85"/>
      <c r="M341" s="86"/>
      <c r="N341" s="87"/>
      <c r="O341" s="87"/>
      <c r="P341" s="88" t="n">
        <v>0</v>
      </c>
      <c r="Q341" s="89"/>
      <c r="R341" s="88" t="n">
        <v>0</v>
      </c>
      <c r="S341" s="89"/>
      <c r="T341" s="88"/>
      <c r="U341" s="89"/>
      <c r="V341" s="88"/>
      <c r="W341" s="89"/>
      <c r="X341" s="86" t="n">
        <v>5</v>
      </c>
      <c r="Y341" s="85"/>
      <c r="Z341" s="85"/>
    </row>
    <row r="342" customFormat="false" ht="12.75" hidden="true" customHeight="true" outlineLevel="0" collapsed="false">
      <c r="A342" s="85" t="n">
        <v>2193076</v>
      </c>
      <c r="B342" s="85" t="s">
        <v>4579</v>
      </c>
      <c r="C342" s="85"/>
      <c r="D342" s="85"/>
      <c r="E342" s="85" t="s">
        <v>2928</v>
      </c>
      <c r="F342" s="85" t="s">
        <v>4580</v>
      </c>
      <c r="G342" s="85" t="n">
        <v>75116</v>
      </c>
      <c r="H342" s="85" t="s">
        <v>36</v>
      </c>
      <c r="I342" s="85" t="n">
        <v>147208352</v>
      </c>
      <c r="K342" s="85"/>
      <c r="L342" s="85"/>
      <c r="M342" s="86" t="n">
        <v>1</v>
      </c>
      <c r="N342" s="87" t="n">
        <v>44631</v>
      </c>
      <c r="O342" s="87"/>
      <c r="P342" s="88" t="n">
        <v>0</v>
      </c>
      <c r="Q342" s="89"/>
      <c r="R342" s="88" t="n">
        <v>0</v>
      </c>
      <c r="S342" s="89"/>
      <c r="T342" s="88"/>
      <c r="U342" s="89"/>
      <c r="V342" s="88"/>
      <c r="W342" s="89"/>
      <c r="X342" s="86" t="n">
        <v>10</v>
      </c>
      <c r="Y342" s="85" t="s">
        <v>4045</v>
      </c>
      <c r="Z342" s="85"/>
    </row>
    <row r="343" customFormat="false" ht="12.75" hidden="true" customHeight="true" outlineLevel="0" collapsed="false">
      <c r="A343" s="85" t="n">
        <v>2193390</v>
      </c>
      <c r="B343" s="85" t="s">
        <v>4581</v>
      </c>
      <c r="C343" s="85"/>
      <c r="D343" s="85"/>
      <c r="E343" s="85" t="s">
        <v>2672</v>
      </c>
      <c r="F343" s="85" t="s">
        <v>4582</v>
      </c>
      <c r="G343" s="85" t="n">
        <v>75017</v>
      </c>
      <c r="H343" s="85" t="s">
        <v>36</v>
      </c>
      <c r="I343" s="85" t="n">
        <v>143801196</v>
      </c>
      <c r="K343" s="85"/>
      <c r="L343" s="85"/>
      <c r="M343" s="86"/>
      <c r="N343" s="87"/>
      <c r="O343" s="87"/>
      <c r="P343" s="88" t="n">
        <v>0</v>
      </c>
      <c r="Q343" s="89"/>
      <c r="R343" s="88" t="n">
        <v>0</v>
      </c>
      <c r="S343" s="89"/>
      <c r="T343" s="88"/>
      <c r="U343" s="89"/>
      <c r="V343" s="88"/>
      <c r="W343" s="89"/>
      <c r="X343" s="86" t="n">
        <v>8</v>
      </c>
      <c r="Y343" s="85"/>
      <c r="Z343" s="85"/>
    </row>
    <row r="344" customFormat="false" ht="12.75" hidden="true" customHeight="true" outlineLevel="0" collapsed="false">
      <c r="A344" s="85" t="n">
        <v>2193579</v>
      </c>
      <c r="B344" s="85" t="s">
        <v>4583</v>
      </c>
      <c r="C344" s="85"/>
      <c r="D344" s="85"/>
      <c r="E344" s="85" t="s">
        <v>2400</v>
      </c>
      <c r="F344" s="85" t="s">
        <v>4584</v>
      </c>
      <c r="G344" s="85" t="n">
        <v>75017</v>
      </c>
      <c r="H344" s="85" t="s">
        <v>36</v>
      </c>
      <c r="I344" s="85" t="n">
        <v>147636860</v>
      </c>
      <c r="K344" s="85"/>
      <c r="L344" s="85"/>
      <c r="M344" s="86"/>
      <c r="N344" s="87"/>
      <c r="O344" s="87"/>
      <c r="P344" s="88" t="n">
        <v>0</v>
      </c>
      <c r="Q344" s="89"/>
      <c r="R344" s="88" t="n">
        <v>0</v>
      </c>
      <c r="S344" s="89"/>
      <c r="T344" s="88"/>
      <c r="U344" s="89"/>
      <c r="V344" s="88"/>
      <c r="W344" s="89"/>
      <c r="X344" s="86" t="n">
        <v>10</v>
      </c>
      <c r="Y344" s="85" t="s">
        <v>4585</v>
      </c>
      <c r="Z344" s="85"/>
    </row>
    <row r="345" customFormat="false" ht="12.75" hidden="true" customHeight="true" outlineLevel="0" collapsed="false">
      <c r="A345" s="85" t="n">
        <v>2193715</v>
      </c>
      <c r="B345" s="85" t="s">
        <v>4586</v>
      </c>
      <c r="C345" s="85"/>
      <c r="D345" s="85"/>
      <c r="E345" s="85" t="s">
        <v>2400</v>
      </c>
      <c r="F345" s="85" t="s">
        <v>4587</v>
      </c>
      <c r="G345" s="85" t="n">
        <v>75017</v>
      </c>
      <c r="H345" s="85" t="s">
        <v>36</v>
      </c>
      <c r="I345" s="85" t="n">
        <v>147637394</v>
      </c>
      <c r="K345" s="85"/>
      <c r="L345" s="85"/>
      <c r="M345" s="86"/>
      <c r="N345" s="87"/>
      <c r="O345" s="87"/>
      <c r="P345" s="88" t="n">
        <v>0</v>
      </c>
      <c r="Q345" s="89"/>
      <c r="R345" s="88" t="n">
        <v>0</v>
      </c>
      <c r="S345" s="89"/>
      <c r="T345" s="88"/>
      <c r="U345" s="89"/>
      <c r="V345" s="88"/>
      <c r="W345" s="89"/>
      <c r="X345" s="86" t="n">
        <v>10</v>
      </c>
      <c r="Y345" s="85"/>
      <c r="Z345" s="85"/>
    </row>
    <row r="346" customFormat="false" ht="12.75" hidden="true" customHeight="true" outlineLevel="0" collapsed="false">
      <c r="A346" s="85" t="n">
        <v>2193762</v>
      </c>
      <c r="B346" s="85" t="s">
        <v>4588</v>
      </c>
      <c r="C346" s="85"/>
      <c r="D346" s="85"/>
      <c r="E346" s="85" t="s">
        <v>2400</v>
      </c>
      <c r="F346" s="85" t="s">
        <v>4589</v>
      </c>
      <c r="G346" s="85" t="n">
        <v>75017</v>
      </c>
      <c r="H346" s="85" t="s">
        <v>36</v>
      </c>
      <c r="I346" s="85" t="n">
        <v>145772191</v>
      </c>
      <c r="K346" s="85"/>
      <c r="L346" s="85"/>
      <c r="M346" s="86"/>
      <c r="N346" s="87"/>
      <c r="O346" s="87"/>
      <c r="P346" s="88" t="n">
        <v>0</v>
      </c>
      <c r="Q346" s="89"/>
      <c r="R346" s="88" t="n">
        <v>0</v>
      </c>
      <c r="S346" s="89"/>
      <c r="T346" s="88"/>
      <c r="U346" s="89"/>
      <c r="V346" s="88"/>
      <c r="W346" s="89"/>
      <c r="X346" s="86" t="n">
        <v>8</v>
      </c>
      <c r="Y346" s="85" t="s">
        <v>4531</v>
      </c>
      <c r="Z346" s="85"/>
    </row>
    <row r="347" customFormat="false" ht="12.75" hidden="true" customHeight="true" outlineLevel="0" collapsed="false">
      <c r="A347" s="85" t="n">
        <v>2193804</v>
      </c>
      <c r="B347" s="85" t="s">
        <v>4590</v>
      </c>
      <c r="C347" s="85"/>
      <c r="D347" s="85"/>
      <c r="E347" s="85" t="s">
        <v>2672</v>
      </c>
      <c r="F347" s="85" t="s">
        <v>4591</v>
      </c>
      <c r="G347" s="85" t="n">
        <v>75017</v>
      </c>
      <c r="H347" s="85" t="s">
        <v>36</v>
      </c>
      <c r="I347" s="85" t="n">
        <v>145741743</v>
      </c>
      <c r="K347" s="85"/>
      <c r="L347" s="85"/>
      <c r="M347" s="86"/>
      <c r="N347" s="87"/>
      <c r="O347" s="87"/>
      <c r="P347" s="88" t="n">
        <v>0</v>
      </c>
      <c r="Q347" s="89"/>
      <c r="R347" s="88" t="n">
        <v>0</v>
      </c>
      <c r="S347" s="89"/>
      <c r="T347" s="88"/>
      <c r="U347" s="89"/>
      <c r="V347" s="88"/>
      <c r="W347" s="89"/>
      <c r="X347" s="86" t="n">
        <v>10</v>
      </c>
      <c r="Y347" s="85"/>
      <c r="Z347" s="85"/>
    </row>
    <row r="348" customFormat="false" ht="12.75" hidden="true" customHeight="true" outlineLevel="0" collapsed="false">
      <c r="A348" s="85" t="n">
        <v>2227932</v>
      </c>
      <c r="B348" s="85" t="s">
        <v>4592</v>
      </c>
      <c r="C348" s="85"/>
      <c r="D348" s="85"/>
      <c r="E348" s="85" t="s">
        <v>3401</v>
      </c>
      <c r="F348" s="85" t="s">
        <v>4593</v>
      </c>
      <c r="G348" s="85" t="n">
        <v>92300</v>
      </c>
      <c r="H348" s="85" t="s">
        <v>3403</v>
      </c>
      <c r="I348" s="85" t="n">
        <v>147572449</v>
      </c>
      <c r="K348" s="85"/>
      <c r="L348" s="85"/>
      <c r="M348" s="86"/>
      <c r="N348" s="87"/>
      <c r="O348" s="87"/>
      <c r="P348" s="88" t="n">
        <v>0</v>
      </c>
      <c r="Q348" s="89"/>
      <c r="R348" s="88" t="n">
        <v>0</v>
      </c>
      <c r="S348" s="89"/>
      <c r="T348" s="88"/>
      <c r="U348" s="89"/>
      <c r="V348" s="88"/>
      <c r="W348" s="89"/>
      <c r="X348" s="86" t="n">
        <v>10</v>
      </c>
      <c r="Y348" s="85"/>
      <c r="Z348" s="85"/>
    </row>
    <row r="349" customFormat="false" ht="12.75" hidden="true" customHeight="true" outlineLevel="0" collapsed="false">
      <c r="A349" s="85" t="n">
        <v>2228061</v>
      </c>
      <c r="B349" s="85" t="s">
        <v>4594</v>
      </c>
      <c r="C349" s="85"/>
      <c r="D349" s="85"/>
      <c r="E349" s="85" t="s">
        <v>3401</v>
      </c>
      <c r="F349" s="85" t="s">
        <v>4595</v>
      </c>
      <c r="G349" s="85" t="n">
        <v>92300</v>
      </c>
      <c r="H349" s="85" t="s">
        <v>3403</v>
      </c>
      <c r="I349" s="85" t="n">
        <v>147575952</v>
      </c>
      <c r="K349" s="85"/>
      <c r="L349" s="85"/>
      <c r="M349" s="86"/>
      <c r="N349" s="87"/>
      <c r="O349" s="87"/>
      <c r="P349" s="88" t="n">
        <v>0</v>
      </c>
      <c r="Q349" s="89"/>
      <c r="R349" s="88" t="n">
        <v>0</v>
      </c>
      <c r="S349" s="89"/>
      <c r="T349" s="88"/>
      <c r="U349" s="89"/>
      <c r="V349" s="88"/>
      <c r="W349" s="89"/>
      <c r="X349" s="86" t="n">
        <v>10</v>
      </c>
      <c r="Y349" s="85" t="s">
        <v>3989</v>
      </c>
      <c r="Z349" s="85"/>
    </row>
    <row r="350" customFormat="false" ht="12.75" hidden="true" customHeight="true" outlineLevel="0" collapsed="false">
      <c r="A350" s="85" t="n">
        <v>2228695</v>
      </c>
      <c r="B350" s="85" t="s">
        <v>4136</v>
      </c>
      <c r="C350" s="85"/>
      <c r="D350" s="85"/>
      <c r="E350" s="85" t="s">
        <v>3621</v>
      </c>
      <c r="F350" s="85" t="s">
        <v>4596</v>
      </c>
      <c r="G350" s="85" t="n">
        <v>92200</v>
      </c>
      <c r="H350" s="85" t="s">
        <v>3932</v>
      </c>
      <c r="I350" s="85" t="n">
        <v>146240382</v>
      </c>
      <c r="K350" s="85"/>
      <c r="L350" s="85"/>
      <c r="M350" s="86"/>
      <c r="N350" s="87"/>
      <c r="O350" s="87"/>
      <c r="P350" s="88" t="n">
        <v>0</v>
      </c>
      <c r="Q350" s="89"/>
      <c r="R350" s="88" t="n">
        <v>0</v>
      </c>
      <c r="S350" s="89"/>
      <c r="T350" s="88"/>
      <c r="U350" s="89"/>
      <c r="V350" s="88"/>
      <c r="W350" s="89"/>
      <c r="X350" s="86" t="n">
        <v>10</v>
      </c>
      <c r="Y350" s="85"/>
      <c r="Z350" s="85"/>
    </row>
    <row r="351" customFormat="false" ht="12.75" hidden="true" customHeight="true" outlineLevel="0" collapsed="false">
      <c r="A351" s="85" t="n">
        <v>2228852</v>
      </c>
      <c r="B351" s="85" t="s">
        <v>4597</v>
      </c>
      <c r="C351" s="85"/>
      <c r="D351" s="85"/>
      <c r="E351" s="85" t="s">
        <v>3621</v>
      </c>
      <c r="F351" s="85" t="s">
        <v>4598</v>
      </c>
      <c r="G351" s="85" t="n">
        <v>92200</v>
      </c>
      <c r="H351" s="85" t="s">
        <v>3932</v>
      </c>
      <c r="I351" s="85" t="n">
        <v>146374340</v>
      </c>
      <c r="K351" s="85"/>
      <c r="L351" s="85"/>
      <c r="M351" s="86"/>
      <c r="N351" s="87"/>
      <c r="O351" s="87"/>
      <c r="P351" s="88" t="n">
        <v>0</v>
      </c>
      <c r="Q351" s="89"/>
      <c r="R351" s="88" t="n">
        <v>0</v>
      </c>
      <c r="S351" s="89"/>
      <c r="T351" s="88"/>
      <c r="U351" s="89"/>
      <c r="V351" s="88"/>
      <c r="W351" s="89"/>
      <c r="X351" s="86" t="n">
        <v>10</v>
      </c>
      <c r="Y351" s="85" t="s">
        <v>3919</v>
      </c>
      <c r="Z351" s="85"/>
    </row>
    <row r="352" customFormat="false" ht="12.75" hidden="true" customHeight="true" outlineLevel="0" collapsed="false">
      <c r="A352" s="85" t="n">
        <v>2705944</v>
      </c>
      <c r="B352" s="85" t="s">
        <v>4599</v>
      </c>
      <c r="C352" s="85"/>
      <c r="D352" s="85"/>
      <c r="E352" s="85" t="s">
        <v>2400</v>
      </c>
      <c r="F352" s="85" t="s">
        <v>4600</v>
      </c>
      <c r="G352" s="85" t="n">
        <v>75017</v>
      </c>
      <c r="H352" s="85" t="s">
        <v>36</v>
      </c>
      <c r="I352" s="85" t="n">
        <v>147634002</v>
      </c>
      <c r="K352" s="85"/>
      <c r="L352" s="85"/>
      <c r="M352" s="86"/>
      <c r="N352" s="87"/>
      <c r="O352" s="87"/>
      <c r="P352" s="88" t="n">
        <v>0</v>
      </c>
      <c r="Q352" s="89"/>
      <c r="R352" s="88" t="n">
        <v>0</v>
      </c>
      <c r="S352" s="89"/>
      <c r="T352" s="88"/>
      <c r="U352" s="89"/>
      <c r="V352" s="88"/>
      <c r="W352" s="89"/>
      <c r="X352" s="86"/>
      <c r="Y352" s="85"/>
      <c r="Z352" s="85"/>
    </row>
    <row r="353" customFormat="false" ht="12.75" hidden="true" customHeight="true" outlineLevel="0" collapsed="false">
      <c r="A353" s="85" t="n">
        <v>2713468</v>
      </c>
      <c r="B353" s="85" t="s">
        <v>4601</v>
      </c>
      <c r="C353" s="85"/>
      <c r="D353" s="85"/>
      <c r="E353" s="85" t="s">
        <v>34</v>
      </c>
      <c r="F353" s="85" t="s">
        <v>4602</v>
      </c>
      <c r="G353" s="85" t="n">
        <v>75016</v>
      </c>
      <c r="H353" s="85" t="s">
        <v>36</v>
      </c>
      <c r="I353" s="85" t="n">
        <v>142152022</v>
      </c>
      <c r="K353" s="85" t="n">
        <v>1</v>
      </c>
      <c r="L353" s="85" t="n">
        <v>1</v>
      </c>
      <c r="M353" s="86"/>
      <c r="N353" s="87"/>
      <c r="O353" s="87"/>
      <c r="P353" s="88" t="n">
        <v>0</v>
      </c>
      <c r="Q353" s="89"/>
      <c r="R353" s="88" t="n">
        <v>0</v>
      </c>
      <c r="S353" s="89"/>
      <c r="T353" s="88"/>
      <c r="U353" s="89"/>
      <c r="V353" s="88"/>
      <c r="W353" s="89"/>
      <c r="X353" s="86"/>
      <c r="Y353" s="85" t="s">
        <v>3937</v>
      </c>
      <c r="Z353" s="85" t="s">
        <v>3911</v>
      </c>
    </row>
    <row r="354" customFormat="false" ht="12.75" hidden="true" customHeight="true" outlineLevel="0" collapsed="false">
      <c r="A354" s="85" t="n">
        <v>2713960</v>
      </c>
      <c r="B354" s="85" t="s">
        <v>4603</v>
      </c>
      <c r="C354" s="85"/>
      <c r="D354" s="85"/>
      <c r="E354" s="85" t="s">
        <v>2672</v>
      </c>
      <c r="F354" s="85" t="s">
        <v>4604</v>
      </c>
      <c r="G354" s="85" t="n">
        <v>75008</v>
      </c>
      <c r="H354" s="85" t="s">
        <v>36</v>
      </c>
      <c r="I354" s="85" t="n">
        <v>153776565</v>
      </c>
      <c r="K354" s="85"/>
      <c r="L354" s="85"/>
      <c r="M354" s="86"/>
      <c r="N354" s="87"/>
      <c r="O354" s="87"/>
      <c r="P354" s="88" t="n">
        <v>0</v>
      </c>
      <c r="Q354" s="89"/>
      <c r="R354" s="88" t="n">
        <v>0</v>
      </c>
      <c r="S354" s="89"/>
      <c r="T354" s="88"/>
      <c r="U354" s="89"/>
      <c r="V354" s="88"/>
      <c r="W354" s="89"/>
      <c r="X354" s="86"/>
      <c r="Y354" s="85" t="s">
        <v>4500</v>
      </c>
      <c r="Z354" s="85"/>
    </row>
    <row r="355" customFormat="false" ht="12.75" hidden="true" customHeight="true" outlineLevel="0" collapsed="false">
      <c r="A355" s="85" t="n">
        <v>2714079</v>
      </c>
      <c r="B355" s="85" t="s">
        <v>4603</v>
      </c>
      <c r="C355" s="85"/>
      <c r="D355" s="85"/>
      <c r="E355" s="85" t="s">
        <v>3238</v>
      </c>
      <c r="F355" s="85" t="s">
        <v>4605</v>
      </c>
      <c r="G355" s="85" t="n">
        <v>75015</v>
      </c>
      <c r="H355" s="85" t="s">
        <v>36</v>
      </c>
      <c r="I355" s="85" t="n">
        <v>156239060</v>
      </c>
      <c r="K355" s="85"/>
      <c r="L355" s="85" t="n">
        <v>1</v>
      </c>
      <c r="M355" s="86"/>
      <c r="N355" s="87"/>
      <c r="O355" s="87"/>
      <c r="P355" s="88" t="n">
        <v>0</v>
      </c>
      <c r="Q355" s="89"/>
      <c r="R355" s="88" t="n">
        <v>0</v>
      </c>
      <c r="S355" s="89"/>
      <c r="T355" s="88"/>
      <c r="U355" s="89"/>
      <c r="V355" s="88"/>
      <c r="W355" s="89"/>
      <c r="X355" s="86"/>
      <c r="Y355" s="85" t="s">
        <v>4500</v>
      </c>
      <c r="Z355" s="85"/>
    </row>
    <row r="356" customFormat="false" ht="12.75" hidden="true" customHeight="true" outlineLevel="0" collapsed="false">
      <c r="A356" s="85" t="n">
        <v>2714152</v>
      </c>
      <c r="B356" s="85" t="s">
        <v>4603</v>
      </c>
      <c r="C356" s="85"/>
      <c r="D356" s="85"/>
      <c r="E356" s="85" t="s">
        <v>645</v>
      </c>
      <c r="F356" s="85" t="s">
        <v>4606</v>
      </c>
      <c r="G356" s="85" t="n">
        <v>75015</v>
      </c>
      <c r="H356" s="85" t="s">
        <v>36</v>
      </c>
      <c r="I356" s="85" t="n">
        <v>145750240</v>
      </c>
      <c r="K356" s="85"/>
      <c r="L356" s="85" t="n">
        <v>1</v>
      </c>
      <c r="M356" s="86"/>
      <c r="N356" s="87"/>
      <c r="O356" s="87"/>
      <c r="P356" s="88" t="n">
        <v>0</v>
      </c>
      <c r="Q356" s="89"/>
      <c r="R356" s="88" t="n">
        <v>0</v>
      </c>
      <c r="S356" s="89"/>
      <c r="T356" s="88"/>
      <c r="U356" s="89"/>
      <c r="V356" s="88"/>
      <c r="W356" s="89"/>
      <c r="X356" s="86"/>
      <c r="Y356" s="85" t="s">
        <v>4500</v>
      </c>
      <c r="Z356" s="85"/>
    </row>
    <row r="357" customFormat="false" ht="12.75" hidden="true" customHeight="true" outlineLevel="0" collapsed="false">
      <c r="A357" s="85" t="n">
        <v>2714189</v>
      </c>
      <c r="B357" s="85" t="s">
        <v>4603</v>
      </c>
      <c r="C357" s="85"/>
      <c r="D357" s="85"/>
      <c r="E357" s="85" t="s">
        <v>645</v>
      </c>
      <c r="F357" s="85" t="s">
        <v>4607</v>
      </c>
      <c r="G357" s="85" t="n">
        <v>75015</v>
      </c>
      <c r="H357" s="85" t="s">
        <v>36</v>
      </c>
      <c r="I357" s="85" t="n">
        <v>145799486</v>
      </c>
      <c r="K357" s="85"/>
      <c r="L357" s="85" t="n">
        <v>1</v>
      </c>
      <c r="M357" s="86"/>
      <c r="N357" s="87"/>
      <c r="O357" s="87"/>
      <c r="P357" s="88" t="n">
        <v>0</v>
      </c>
      <c r="Q357" s="89"/>
      <c r="R357" s="88" t="n">
        <v>0</v>
      </c>
      <c r="S357" s="89"/>
      <c r="T357" s="88"/>
      <c r="U357" s="89"/>
      <c r="V357" s="88"/>
      <c r="W357" s="89"/>
      <c r="X357" s="86"/>
      <c r="Y357" s="85" t="s">
        <v>4500</v>
      </c>
      <c r="Z357" s="85"/>
    </row>
    <row r="358" customFormat="false" ht="12.75" hidden="true" customHeight="true" outlineLevel="0" collapsed="false">
      <c r="A358" s="85" t="n">
        <v>2714236</v>
      </c>
      <c r="B358" s="85" t="s">
        <v>4608</v>
      </c>
      <c r="C358" s="85"/>
      <c r="D358" s="85"/>
      <c r="E358" s="85" t="s">
        <v>2400</v>
      </c>
      <c r="F358" s="85" t="s">
        <v>4609</v>
      </c>
      <c r="G358" s="85" t="n">
        <v>75017</v>
      </c>
      <c r="H358" s="85" t="s">
        <v>36</v>
      </c>
      <c r="I358" s="85" t="n">
        <v>147630350</v>
      </c>
      <c r="K358" s="85"/>
      <c r="L358" s="85"/>
      <c r="M358" s="86"/>
      <c r="N358" s="87"/>
      <c r="O358" s="87"/>
      <c r="P358" s="88" t="n">
        <v>0</v>
      </c>
      <c r="Q358" s="89"/>
      <c r="R358" s="88" t="n">
        <v>0</v>
      </c>
      <c r="S358" s="89"/>
      <c r="T358" s="88"/>
      <c r="U358" s="89"/>
      <c r="V358" s="88"/>
      <c r="W358" s="89"/>
      <c r="X358" s="86"/>
      <c r="Y358" s="85"/>
      <c r="Z358" s="85"/>
    </row>
    <row r="359" customFormat="false" ht="12.75" hidden="true" customHeight="true" outlineLevel="0" collapsed="false">
      <c r="A359" s="85" t="n">
        <v>2714241</v>
      </c>
      <c r="B359" s="85" t="s">
        <v>4603</v>
      </c>
      <c r="C359" s="85"/>
      <c r="D359" s="85"/>
      <c r="E359" s="85" t="s">
        <v>2672</v>
      </c>
      <c r="F359" s="85" t="s">
        <v>4610</v>
      </c>
      <c r="G359" s="85" t="n">
        <v>75017</v>
      </c>
      <c r="H359" s="85" t="s">
        <v>36</v>
      </c>
      <c r="I359" s="85" t="n">
        <v>143804376</v>
      </c>
      <c r="K359" s="85"/>
      <c r="L359" s="85" t="n">
        <v>1</v>
      </c>
      <c r="M359" s="86"/>
      <c r="N359" s="87"/>
      <c r="O359" s="87"/>
      <c r="P359" s="88" t="n">
        <v>0</v>
      </c>
      <c r="Q359" s="89"/>
      <c r="R359" s="88" t="n">
        <v>0</v>
      </c>
      <c r="S359" s="89"/>
      <c r="T359" s="88"/>
      <c r="U359" s="89"/>
      <c r="V359" s="88"/>
      <c r="W359" s="89"/>
      <c r="X359" s="86"/>
      <c r="Y359" s="85" t="s">
        <v>4500</v>
      </c>
      <c r="Z359" s="85"/>
    </row>
    <row r="360" customFormat="false" ht="12.75" hidden="true" customHeight="true" outlineLevel="0" collapsed="false">
      <c r="A360" s="85" t="n">
        <v>2716144</v>
      </c>
      <c r="B360" s="85" t="s">
        <v>4603</v>
      </c>
      <c r="C360" s="85"/>
      <c r="D360" s="85"/>
      <c r="E360" s="85" t="s">
        <v>3621</v>
      </c>
      <c r="F360" s="85" t="s">
        <v>4611</v>
      </c>
      <c r="G360" s="85" t="n">
        <v>92200</v>
      </c>
      <c r="H360" s="85" t="s">
        <v>3932</v>
      </c>
      <c r="I360" s="85" t="n">
        <v>147452442</v>
      </c>
      <c r="K360" s="85"/>
      <c r="L360" s="85" t="n">
        <v>1</v>
      </c>
      <c r="M360" s="86"/>
      <c r="N360" s="87"/>
      <c r="O360" s="87"/>
      <c r="P360" s="88" t="n">
        <v>0</v>
      </c>
      <c r="Q360" s="89"/>
      <c r="R360" s="88" t="n">
        <v>0</v>
      </c>
      <c r="S360" s="89"/>
      <c r="T360" s="88"/>
      <c r="U360" s="89"/>
      <c r="V360" s="88"/>
      <c r="W360" s="89"/>
      <c r="X360" s="86"/>
      <c r="Y360" s="85" t="s">
        <v>4500</v>
      </c>
      <c r="Z360" s="85"/>
    </row>
    <row r="361" customFormat="false" ht="12.75" hidden="true" customHeight="true" outlineLevel="0" collapsed="false">
      <c r="A361" s="85" t="n">
        <v>2718136</v>
      </c>
      <c r="B361" s="85" t="s">
        <v>4603</v>
      </c>
      <c r="C361" s="85"/>
      <c r="D361" s="85"/>
      <c r="E361" s="85" t="s">
        <v>2400</v>
      </c>
      <c r="F361" s="85" t="s">
        <v>4612</v>
      </c>
      <c r="G361" s="85" t="n">
        <v>75017</v>
      </c>
      <c r="H361" s="85" t="s">
        <v>36</v>
      </c>
      <c r="I361" s="85" t="n">
        <v>143872360</v>
      </c>
      <c r="K361" s="85"/>
      <c r="L361" s="85" t="n">
        <v>1</v>
      </c>
      <c r="M361" s="86"/>
      <c r="N361" s="87"/>
      <c r="O361" s="87"/>
      <c r="P361" s="88" t="n">
        <v>0</v>
      </c>
      <c r="Q361" s="89"/>
      <c r="R361" s="88" t="n">
        <v>0</v>
      </c>
      <c r="S361" s="89"/>
      <c r="T361" s="88"/>
      <c r="U361" s="89"/>
      <c r="V361" s="88"/>
      <c r="W361" s="89"/>
      <c r="X361" s="86"/>
      <c r="Y361" s="85" t="s">
        <v>4500</v>
      </c>
      <c r="Z361" s="85"/>
    </row>
    <row r="362" customFormat="false" ht="12.75" hidden="true" customHeight="true" outlineLevel="0" collapsed="false">
      <c r="A362" s="85" t="n">
        <v>2720920</v>
      </c>
      <c r="B362" s="85" t="s">
        <v>4613</v>
      </c>
      <c r="C362" s="85"/>
      <c r="D362" s="85"/>
      <c r="E362" s="85" t="s">
        <v>357</v>
      </c>
      <c r="F362" s="85" t="s">
        <v>4614</v>
      </c>
      <c r="G362" s="85" t="n">
        <v>75008</v>
      </c>
      <c r="H362" s="85" t="s">
        <v>36</v>
      </c>
      <c r="I362" s="85" t="n">
        <v>140980030</v>
      </c>
      <c r="K362" s="85"/>
      <c r="L362" s="85" t="n">
        <v>1</v>
      </c>
      <c r="M362" s="86"/>
      <c r="N362" s="87"/>
      <c r="O362" s="87"/>
      <c r="P362" s="88" t="n">
        <v>0</v>
      </c>
      <c r="Q362" s="89"/>
      <c r="R362" s="88" t="n">
        <v>0</v>
      </c>
      <c r="S362" s="89"/>
      <c r="T362" s="88"/>
      <c r="U362" s="89"/>
      <c r="V362" s="88"/>
      <c r="W362" s="89"/>
      <c r="X362" s="86"/>
      <c r="Y362" s="85" t="s">
        <v>4500</v>
      </c>
      <c r="Z362" s="85"/>
    </row>
    <row r="363" customFormat="false" ht="12.75" hidden="true" customHeight="true" outlineLevel="0" collapsed="false">
      <c r="A363" s="85" t="n">
        <v>2737756</v>
      </c>
      <c r="B363" s="85" t="s">
        <v>4615</v>
      </c>
      <c r="C363" s="85"/>
      <c r="D363" s="85"/>
      <c r="E363" s="85" t="s">
        <v>2132</v>
      </c>
      <c r="F363" s="85" t="s">
        <v>4616</v>
      </c>
      <c r="G363" s="85" t="n">
        <v>75016</v>
      </c>
      <c r="H363" s="85" t="s">
        <v>36</v>
      </c>
      <c r="I363" s="85" t="n">
        <v>155746010</v>
      </c>
      <c r="K363" s="85"/>
      <c r="L363" s="85" t="n">
        <v>1</v>
      </c>
      <c r="M363" s="86"/>
      <c r="N363" s="87"/>
      <c r="O363" s="87"/>
      <c r="P363" s="88" t="n">
        <v>0</v>
      </c>
      <c r="Q363" s="89"/>
      <c r="R363" s="88" t="n">
        <v>0</v>
      </c>
      <c r="S363" s="89"/>
      <c r="T363" s="88"/>
      <c r="U363" s="89"/>
      <c r="V363" s="88"/>
      <c r="W363" s="89"/>
      <c r="X363" s="86"/>
      <c r="Y363" s="85" t="s">
        <v>4505</v>
      </c>
      <c r="Z363" s="85"/>
    </row>
    <row r="364" customFormat="false" ht="12.75" hidden="true" customHeight="true" outlineLevel="0" collapsed="false">
      <c r="A364" s="85" t="n">
        <v>2739030</v>
      </c>
      <c r="B364" s="85" t="s">
        <v>4617</v>
      </c>
      <c r="C364" s="85"/>
      <c r="D364" s="85"/>
      <c r="E364" s="85" t="s">
        <v>357</v>
      </c>
      <c r="F364" s="85" t="s">
        <v>4618</v>
      </c>
      <c r="G364" s="85" t="n">
        <v>75001</v>
      </c>
      <c r="H364" s="85" t="s">
        <v>36</v>
      </c>
      <c r="I364" s="85" t="n">
        <v>140200880</v>
      </c>
      <c r="K364" s="85"/>
      <c r="L364" s="85"/>
      <c r="M364" s="86"/>
      <c r="N364" s="87"/>
      <c r="O364" s="87"/>
      <c r="P364" s="88" t="n">
        <v>0</v>
      </c>
      <c r="Q364" s="89"/>
      <c r="R364" s="88" t="n">
        <v>0</v>
      </c>
      <c r="S364" s="89"/>
      <c r="T364" s="88"/>
      <c r="U364" s="89"/>
      <c r="V364" s="88"/>
      <c r="W364" s="89"/>
      <c r="X364" s="86"/>
      <c r="Y364" s="85"/>
      <c r="Z364" s="85"/>
    </row>
    <row r="365" customFormat="false" ht="12.75" hidden="true" customHeight="true" outlineLevel="0" collapsed="false">
      <c r="A365" s="85" t="n">
        <v>2750887</v>
      </c>
      <c r="B365" s="85" t="s">
        <v>4619</v>
      </c>
      <c r="C365" s="85"/>
      <c r="D365" s="85"/>
      <c r="E365" s="85" t="s">
        <v>645</v>
      </c>
      <c r="F365" s="85" t="s">
        <v>4620</v>
      </c>
      <c r="G365" s="85" t="n">
        <v>75015</v>
      </c>
      <c r="H365" s="85" t="s">
        <v>36</v>
      </c>
      <c r="I365" s="85"/>
      <c r="K365" s="85"/>
      <c r="L365" s="85"/>
      <c r="M365" s="86"/>
      <c r="N365" s="87"/>
      <c r="O365" s="87"/>
      <c r="P365" s="88" t="n">
        <v>0</v>
      </c>
      <c r="Q365" s="89"/>
      <c r="R365" s="88" t="n">
        <v>0</v>
      </c>
      <c r="S365" s="89"/>
      <c r="T365" s="88"/>
      <c r="U365" s="89"/>
      <c r="V365" s="88"/>
      <c r="W365" s="89"/>
      <c r="X365" s="86"/>
      <c r="Y365" s="85"/>
      <c r="Z365" s="85"/>
    </row>
    <row r="366" customFormat="false" ht="12.75" hidden="true" customHeight="true" outlineLevel="0" collapsed="false">
      <c r="A366" s="85" t="n">
        <v>2757259</v>
      </c>
      <c r="B366" s="85" t="s">
        <v>4617</v>
      </c>
      <c r="C366" s="85"/>
      <c r="D366" s="85"/>
      <c r="E366" s="85" t="s">
        <v>357</v>
      </c>
      <c r="F366" s="85" t="s">
        <v>4621</v>
      </c>
      <c r="G366" s="85" t="n">
        <v>75008</v>
      </c>
      <c r="H366" s="85" t="s">
        <v>36</v>
      </c>
      <c r="I366" s="85" t="n">
        <v>153965000</v>
      </c>
      <c r="K366" s="85"/>
      <c r="L366" s="85"/>
      <c r="M366" s="86"/>
      <c r="N366" s="87"/>
      <c r="O366" s="87"/>
      <c r="P366" s="88" t="n">
        <v>0</v>
      </c>
      <c r="Q366" s="89"/>
      <c r="R366" s="88" t="n">
        <v>0</v>
      </c>
      <c r="S366" s="89"/>
      <c r="T366" s="88"/>
      <c r="U366" s="89"/>
      <c r="V366" s="88"/>
      <c r="W366" s="89"/>
      <c r="X366" s="86"/>
      <c r="Y366" s="85"/>
      <c r="Z366" s="85"/>
    </row>
    <row r="367" customFormat="false" ht="12.75" hidden="true" customHeight="true" outlineLevel="0" collapsed="false">
      <c r="A367" s="85" t="n">
        <v>2759282</v>
      </c>
      <c r="B367" s="85" t="s">
        <v>4505</v>
      </c>
      <c r="C367" s="85"/>
      <c r="D367" s="85"/>
      <c r="E367" s="85" t="s">
        <v>2928</v>
      </c>
      <c r="F367" s="85" t="s">
        <v>4622</v>
      </c>
      <c r="G367" s="85" t="n">
        <v>75116</v>
      </c>
      <c r="H367" s="85" t="s">
        <v>36</v>
      </c>
      <c r="I367" s="85" t="n">
        <v>144059112</v>
      </c>
      <c r="K367" s="85"/>
      <c r="L367" s="85" t="n">
        <v>1</v>
      </c>
      <c r="M367" s="86"/>
      <c r="N367" s="87"/>
      <c r="O367" s="87"/>
      <c r="P367" s="88" t="n">
        <v>0</v>
      </c>
      <c r="Q367" s="89"/>
      <c r="R367" s="88" t="n">
        <v>0</v>
      </c>
      <c r="S367" s="89"/>
      <c r="T367" s="88"/>
      <c r="U367" s="89"/>
      <c r="V367" s="88"/>
      <c r="W367" s="89"/>
      <c r="X367" s="86"/>
      <c r="Y367" s="85" t="s">
        <v>4505</v>
      </c>
      <c r="Z367" s="85"/>
    </row>
    <row r="368" customFormat="false" ht="12.75" hidden="true" customHeight="true" outlineLevel="0" collapsed="false">
      <c r="A368" s="85" t="n">
        <v>2759319</v>
      </c>
      <c r="B368" s="85" t="s">
        <v>4623</v>
      </c>
      <c r="C368" s="85"/>
      <c r="D368" s="85"/>
      <c r="E368" s="85" t="s">
        <v>1124</v>
      </c>
      <c r="F368" s="85" t="s">
        <v>4075</v>
      </c>
      <c r="G368" s="85" t="n">
        <v>75015</v>
      </c>
      <c r="H368" s="85" t="s">
        <v>36</v>
      </c>
      <c r="I368" s="85" t="n">
        <v>142199220</v>
      </c>
      <c r="K368" s="85"/>
      <c r="L368" s="85"/>
      <c r="M368" s="86"/>
      <c r="N368" s="87"/>
      <c r="O368" s="87"/>
      <c r="P368" s="88" t="n">
        <v>0</v>
      </c>
      <c r="Q368" s="89"/>
      <c r="R368" s="88" t="n">
        <v>0</v>
      </c>
      <c r="S368" s="89"/>
      <c r="T368" s="88"/>
      <c r="U368" s="89"/>
      <c r="V368" s="88"/>
      <c r="W368" s="89"/>
      <c r="X368" s="86"/>
      <c r="Y368" s="85"/>
      <c r="Z368" s="85"/>
    </row>
    <row r="369" customFormat="false" ht="12.75" hidden="true" customHeight="true" outlineLevel="0" collapsed="false">
      <c r="A369" s="85" t="n">
        <v>2764072</v>
      </c>
      <c r="B369" s="85" t="s">
        <v>4624</v>
      </c>
      <c r="C369" s="85"/>
      <c r="D369" s="85"/>
      <c r="E369" s="85" t="s">
        <v>1124</v>
      </c>
      <c r="F369" s="85" t="s">
        <v>4625</v>
      </c>
      <c r="G369" s="85" t="n">
        <v>75006</v>
      </c>
      <c r="H369" s="85" t="s">
        <v>36</v>
      </c>
      <c r="I369" s="85" t="n">
        <v>142735127</v>
      </c>
      <c r="K369" s="85"/>
      <c r="L369" s="85"/>
      <c r="M369" s="86"/>
      <c r="N369" s="87"/>
      <c r="O369" s="87"/>
      <c r="P369" s="88" t="n">
        <v>0</v>
      </c>
      <c r="Q369" s="89"/>
      <c r="R369" s="88" t="n">
        <v>0</v>
      </c>
      <c r="S369" s="89"/>
      <c r="T369" s="88"/>
      <c r="U369" s="89"/>
      <c r="V369" s="88"/>
      <c r="W369" s="89"/>
      <c r="X369" s="86"/>
      <c r="Y369" s="85"/>
      <c r="Z369" s="85"/>
    </row>
    <row r="370" customFormat="false" ht="12.75" hidden="true" customHeight="true" outlineLevel="0" collapsed="false">
      <c r="A370" s="85" t="n">
        <v>2764753</v>
      </c>
      <c r="B370" s="85" t="s">
        <v>4613</v>
      </c>
      <c r="C370" s="85"/>
      <c r="D370" s="85"/>
      <c r="E370" s="85" t="s">
        <v>2132</v>
      </c>
      <c r="F370" s="85" t="s">
        <v>4626</v>
      </c>
      <c r="G370" s="85" t="n">
        <v>75016</v>
      </c>
      <c r="H370" s="85" t="s">
        <v>36</v>
      </c>
      <c r="I370" s="85" t="n">
        <v>145201752</v>
      </c>
      <c r="K370" s="85"/>
      <c r="L370" s="85"/>
      <c r="M370" s="86"/>
      <c r="N370" s="87"/>
      <c r="O370" s="87"/>
      <c r="P370" s="88" t="n">
        <v>0</v>
      </c>
      <c r="Q370" s="89"/>
      <c r="R370" s="88" t="n">
        <v>0</v>
      </c>
      <c r="S370" s="89"/>
      <c r="T370" s="88"/>
      <c r="U370" s="89"/>
      <c r="V370" s="88"/>
      <c r="W370" s="89"/>
      <c r="X370" s="86"/>
      <c r="Y370" s="85"/>
      <c r="Z370" s="85"/>
    </row>
    <row r="371" customFormat="false" ht="12.75" hidden="true" customHeight="true" outlineLevel="0" collapsed="false">
      <c r="A371" s="85" t="n">
        <v>2774981</v>
      </c>
      <c r="B371" s="85" t="s">
        <v>4505</v>
      </c>
      <c r="C371" s="85"/>
      <c r="D371" s="85"/>
      <c r="E371" s="85" t="s">
        <v>645</v>
      </c>
      <c r="F371" s="85" t="s">
        <v>4627</v>
      </c>
      <c r="G371" s="85" t="n">
        <v>75015</v>
      </c>
      <c r="H371" s="85" t="s">
        <v>36</v>
      </c>
      <c r="I371" s="85" t="n">
        <v>145770715</v>
      </c>
      <c r="K371" s="85"/>
      <c r="L371" s="85"/>
      <c r="M371" s="86"/>
      <c r="N371" s="87"/>
      <c r="O371" s="87"/>
      <c r="P371" s="88" t="n">
        <v>0</v>
      </c>
      <c r="Q371" s="89"/>
      <c r="R371" s="88" t="n">
        <v>0</v>
      </c>
      <c r="S371" s="89"/>
      <c r="T371" s="88"/>
      <c r="U371" s="89"/>
      <c r="V371" s="88"/>
      <c r="W371" s="89"/>
      <c r="X371" s="86"/>
      <c r="Y371" s="85"/>
      <c r="Z371" s="85"/>
    </row>
    <row r="372" customFormat="false" ht="12.75" hidden="true" customHeight="true" outlineLevel="0" collapsed="false">
      <c r="A372" s="85" t="n">
        <v>2776968</v>
      </c>
      <c r="B372" s="85" t="s">
        <v>4628</v>
      </c>
      <c r="C372" s="85"/>
      <c r="D372" s="85"/>
      <c r="E372" s="85" t="s">
        <v>3401</v>
      </c>
      <c r="F372" s="85" t="s">
        <v>4629</v>
      </c>
      <c r="G372" s="85" t="n">
        <v>92300</v>
      </c>
      <c r="H372" s="85" t="s">
        <v>3403</v>
      </c>
      <c r="I372" s="85" t="n">
        <v>141050123</v>
      </c>
      <c r="K372" s="85"/>
      <c r="L372" s="85"/>
      <c r="M372" s="86"/>
      <c r="N372" s="87"/>
      <c r="O372" s="87"/>
      <c r="P372" s="88" t="n">
        <v>0</v>
      </c>
      <c r="Q372" s="89"/>
      <c r="R372" s="88" t="n">
        <v>0</v>
      </c>
      <c r="S372" s="89"/>
      <c r="T372" s="88"/>
      <c r="U372" s="89"/>
      <c r="V372" s="88"/>
      <c r="W372" s="89"/>
      <c r="X372" s="86"/>
      <c r="Y372" s="85"/>
      <c r="Z372" s="85"/>
    </row>
    <row r="373" customFormat="false" ht="12.75" hidden="true" customHeight="true" outlineLevel="0" collapsed="false">
      <c r="A373" s="85" t="n">
        <v>2777359</v>
      </c>
      <c r="B373" s="85" t="s">
        <v>4505</v>
      </c>
      <c r="C373" s="85"/>
      <c r="D373" s="85"/>
      <c r="E373" s="85" t="s">
        <v>3401</v>
      </c>
      <c r="F373" s="85" t="s">
        <v>4630</v>
      </c>
      <c r="G373" s="85" t="n">
        <v>92300</v>
      </c>
      <c r="H373" s="85" t="s">
        <v>3403</v>
      </c>
      <c r="I373" s="85" t="n">
        <v>147371741</v>
      </c>
      <c r="K373" s="85"/>
      <c r="L373" s="85" t="n">
        <v>1</v>
      </c>
      <c r="M373" s="86"/>
      <c r="N373" s="87"/>
      <c r="O373" s="87"/>
      <c r="P373" s="88" t="n">
        <v>0</v>
      </c>
      <c r="Q373" s="89"/>
      <c r="R373" s="88" t="n">
        <v>0</v>
      </c>
      <c r="S373" s="89"/>
      <c r="T373" s="88"/>
      <c r="U373" s="89"/>
      <c r="V373" s="88"/>
      <c r="W373" s="89"/>
      <c r="X373" s="86"/>
      <c r="Y373" s="85" t="s">
        <v>4505</v>
      </c>
      <c r="Z373" s="85"/>
    </row>
    <row r="374" customFormat="false" ht="12.75" hidden="true" customHeight="true" outlineLevel="0" collapsed="false">
      <c r="A374" s="85" t="n">
        <v>2790338</v>
      </c>
      <c r="B374" s="85" t="s">
        <v>4631</v>
      </c>
      <c r="C374" s="85"/>
      <c r="D374" s="85"/>
      <c r="E374" s="85" t="s">
        <v>34</v>
      </c>
      <c r="F374" s="85" t="s">
        <v>4431</v>
      </c>
      <c r="G374" s="85" t="n">
        <v>75016</v>
      </c>
      <c r="H374" s="85" t="s">
        <v>36</v>
      </c>
      <c r="I374" s="85" t="n">
        <v>147436179</v>
      </c>
      <c r="K374" s="85" t="n">
        <v>1</v>
      </c>
      <c r="L374" s="85" t="n">
        <v>1</v>
      </c>
      <c r="M374" s="86"/>
      <c r="N374" s="87"/>
      <c r="O374" s="87"/>
      <c r="P374" s="88" t="n">
        <v>0</v>
      </c>
      <c r="Q374" s="89"/>
      <c r="R374" s="88" t="n">
        <v>0</v>
      </c>
      <c r="S374" s="89"/>
      <c r="T374" s="88"/>
      <c r="U374" s="89"/>
      <c r="V374" s="88"/>
      <c r="W374" s="89"/>
      <c r="X374" s="86"/>
      <c r="Y374" s="85" t="s">
        <v>4430</v>
      </c>
      <c r="Z374" s="85"/>
    </row>
    <row r="375" customFormat="false" ht="12.75" hidden="true" customHeight="true" outlineLevel="0" collapsed="false">
      <c r="A375" s="85" t="n">
        <v>2790390</v>
      </c>
      <c r="B375" s="85" t="s">
        <v>4632</v>
      </c>
      <c r="C375" s="85"/>
      <c r="D375" s="85"/>
      <c r="E375" s="85" t="s">
        <v>2400</v>
      </c>
      <c r="F375" s="85" t="s">
        <v>4633</v>
      </c>
      <c r="G375" s="85" t="n">
        <v>75017</v>
      </c>
      <c r="H375" s="85" t="s">
        <v>36</v>
      </c>
      <c r="I375" s="85" t="n">
        <v>140530799</v>
      </c>
      <c r="K375" s="85"/>
      <c r="L375" s="85"/>
      <c r="M375" s="86"/>
      <c r="N375" s="87"/>
      <c r="O375" s="87"/>
      <c r="P375" s="88" t="n">
        <v>0</v>
      </c>
      <c r="Q375" s="89"/>
      <c r="R375" s="88" t="n">
        <v>0</v>
      </c>
      <c r="S375" s="89"/>
      <c r="T375" s="88"/>
      <c r="U375" s="89"/>
      <c r="V375" s="88"/>
      <c r="W375" s="89"/>
      <c r="X375" s="86"/>
      <c r="Y375" s="85"/>
      <c r="Z375" s="85"/>
    </row>
    <row r="376" customFormat="false" ht="12.75" hidden="true" customHeight="true" outlineLevel="0" collapsed="false">
      <c r="A376" s="85" t="n">
        <v>2806337</v>
      </c>
      <c r="B376" s="85" t="s">
        <v>4515</v>
      </c>
      <c r="C376" s="85"/>
      <c r="D376" s="85"/>
      <c r="E376" s="85" t="s">
        <v>357</v>
      </c>
      <c r="F376" s="85" t="s">
        <v>4634</v>
      </c>
      <c r="G376" s="85" t="n">
        <v>75008</v>
      </c>
      <c r="H376" s="85" t="s">
        <v>36</v>
      </c>
      <c r="I376" s="85" t="n">
        <v>140060202</v>
      </c>
      <c r="K376" s="85"/>
      <c r="L376" s="85"/>
      <c r="M376" s="86"/>
      <c r="N376" s="87"/>
      <c r="O376" s="87"/>
      <c r="P376" s="88" t="n">
        <v>0</v>
      </c>
      <c r="Q376" s="89"/>
      <c r="R376" s="88" t="n">
        <v>0</v>
      </c>
      <c r="S376" s="89"/>
      <c r="T376" s="88"/>
      <c r="U376" s="89"/>
      <c r="V376" s="88"/>
      <c r="W376" s="89"/>
      <c r="X376" s="86"/>
      <c r="Y376" s="85"/>
      <c r="Z376" s="85"/>
    </row>
    <row r="377" customFormat="false" ht="12.75" hidden="true" customHeight="true" outlineLevel="0" collapsed="false">
      <c r="A377" s="85" t="n">
        <v>2812309</v>
      </c>
      <c r="B377" s="85" t="s">
        <v>4635</v>
      </c>
      <c r="C377" s="85"/>
      <c r="D377" s="85"/>
      <c r="E377" s="85" t="s">
        <v>3401</v>
      </c>
      <c r="F377" s="85" t="s">
        <v>4636</v>
      </c>
      <c r="G377" s="85" t="n">
        <v>92300</v>
      </c>
      <c r="H377" s="85" t="s">
        <v>3403</v>
      </c>
      <c r="I377" s="85" t="n">
        <v>141279160</v>
      </c>
      <c r="K377" s="85" t="n">
        <v>1</v>
      </c>
      <c r="L377" s="85" t="n">
        <v>1</v>
      </c>
      <c r="M377" s="86"/>
      <c r="N377" s="87"/>
      <c r="O377" s="87"/>
      <c r="P377" s="88" t="n">
        <v>0</v>
      </c>
      <c r="Q377" s="89"/>
      <c r="R377" s="88" t="n">
        <v>0</v>
      </c>
      <c r="S377" s="89"/>
      <c r="T377" s="88"/>
      <c r="U377" s="89"/>
      <c r="V377" s="88"/>
      <c r="W377" s="89"/>
      <c r="X377" s="86"/>
      <c r="Y377" s="85" t="s">
        <v>4637</v>
      </c>
      <c r="Z377" s="85"/>
    </row>
    <row r="378" customFormat="false" ht="12.75" hidden="true" customHeight="true" outlineLevel="0" collapsed="false">
      <c r="A378" s="85" t="n">
        <v>2816083</v>
      </c>
      <c r="B378" s="85" t="s">
        <v>4638</v>
      </c>
      <c r="C378" s="85"/>
      <c r="D378" s="85"/>
      <c r="E378" s="85" t="s">
        <v>3238</v>
      </c>
      <c r="F378" s="85" t="s">
        <v>4639</v>
      </c>
      <c r="G378" s="85" t="n">
        <v>75015</v>
      </c>
      <c r="H378" s="85" t="s">
        <v>36</v>
      </c>
      <c r="I378" s="85"/>
      <c r="K378" s="85"/>
      <c r="L378" s="85"/>
      <c r="M378" s="86"/>
      <c r="N378" s="87"/>
      <c r="O378" s="87"/>
      <c r="P378" s="88" t="n">
        <v>0</v>
      </c>
      <c r="Q378" s="89"/>
      <c r="R378" s="88" t="n">
        <v>0</v>
      </c>
      <c r="S378" s="89"/>
      <c r="T378" s="88"/>
      <c r="U378" s="89"/>
      <c r="V378" s="88"/>
      <c r="W378" s="89"/>
      <c r="X378" s="86"/>
      <c r="Y378" s="85"/>
      <c r="Z378" s="85"/>
    </row>
    <row r="379" customFormat="false" ht="12.75" hidden="true" customHeight="true" outlineLevel="0" collapsed="false">
      <c r="A379" s="85" t="n">
        <v>2816570</v>
      </c>
      <c r="B379" s="85" t="s">
        <v>4640</v>
      </c>
      <c r="C379" s="85"/>
      <c r="D379" s="85"/>
      <c r="E379" s="85" t="s">
        <v>645</v>
      </c>
      <c r="F379" s="85" t="s">
        <v>4641</v>
      </c>
      <c r="G379" s="85" t="n">
        <v>75015</v>
      </c>
      <c r="H379" s="85" t="s">
        <v>36</v>
      </c>
      <c r="I379" s="85" t="n">
        <v>143207022</v>
      </c>
      <c r="K379" s="85"/>
      <c r="L379" s="85"/>
      <c r="M379" s="86"/>
      <c r="N379" s="87"/>
      <c r="O379" s="87"/>
      <c r="P379" s="88" t="n">
        <v>0</v>
      </c>
      <c r="Q379" s="89"/>
      <c r="R379" s="88" t="n">
        <v>0</v>
      </c>
      <c r="S379" s="89"/>
      <c r="T379" s="88"/>
      <c r="U379" s="89"/>
      <c r="V379" s="88"/>
      <c r="W379" s="89"/>
      <c r="X379" s="86"/>
      <c r="Y379" s="85"/>
      <c r="Z379" s="85"/>
    </row>
    <row r="380" customFormat="false" ht="12.75" hidden="true" customHeight="true" outlineLevel="0" collapsed="false">
      <c r="A380" s="85" t="n">
        <v>2818269</v>
      </c>
      <c r="B380" s="85" t="s">
        <v>4642</v>
      </c>
      <c r="C380" s="85"/>
      <c r="D380" s="85"/>
      <c r="E380" s="85" t="s">
        <v>3401</v>
      </c>
      <c r="F380" s="85" t="s">
        <v>4643</v>
      </c>
      <c r="G380" s="85" t="n">
        <v>92300</v>
      </c>
      <c r="H380" s="85" t="s">
        <v>3403</v>
      </c>
      <c r="I380" s="85"/>
      <c r="K380" s="85"/>
      <c r="L380" s="85"/>
      <c r="M380" s="86"/>
      <c r="N380" s="87"/>
      <c r="O380" s="87"/>
      <c r="P380" s="88" t="n">
        <v>0</v>
      </c>
      <c r="Q380" s="89"/>
      <c r="R380" s="88" t="n">
        <v>0</v>
      </c>
      <c r="S380" s="89"/>
      <c r="T380" s="88"/>
      <c r="U380" s="89"/>
      <c r="V380" s="88"/>
      <c r="W380" s="89"/>
      <c r="X380" s="86"/>
      <c r="Y380" s="85"/>
      <c r="Z380" s="85"/>
    </row>
    <row r="381" customFormat="false" ht="12.75" hidden="true" customHeight="true" outlineLevel="0" collapsed="false">
      <c r="A381" s="85" t="n">
        <v>2823970</v>
      </c>
      <c r="B381" s="85" t="s">
        <v>4644</v>
      </c>
      <c r="C381" s="85"/>
      <c r="D381" s="85"/>
      <c r="E381" s="85" t="s">
        <v>357</v>
      </c>
      <c r="F381" s="85" t="s">
        <v>4645</v>
      </c>
      <c r="G381" s="85" t="n">
        <v>75008</v>
      </c>
      <c r="H381" s="85" t="s">
        <v>36</v>
      </c>
      <c r="I381" s="85" t="n">
        <v>149523500</v>
      </c>
      <c r="K381" s="85"/>
      <c r="L381" s="85"/>
      <c r="M381" s="86"/>
      <c r="N381" s="87"/>
      <c r="O381" s="87"/>
      <c r="P381" s="88" t="n">
        <v>0</v>
      </c>
      <c r="Q381" s="89"/>
      <c r="R381" s="88" t="n">
        <v>0</v>
      </c>
      <c r="S381" s="89"/>
      <c r="T381" s="88"/>
      <c r="U381" s="89"/>
      <c r="V381" s="88"/>
      <c r="W381" s="89"/>
      <c r="X381" s="86"/>
      <c r="Y381" s="85"/>
      <c r="Z381" s="85"/>
    </row>
    <row r="382" customFormat="false" ht="12.75" hidden="true" customHeight="true" outlineLevel="0" collapsed="false">
      <c r="A382" s="85" t="n">
        <v>2953279</v>
      </c>
      <c r="B382" s="85" t="s">
        <v>4500</v>
      </c>
      <c r="C382" s="85"/>
      <c r="D382" s="85"/>
      <c r="E382" s="85" t="s">
        <v>3621</v>
      </c>
      <c r="F382" s="85" t="s">
        <v>4646</v>
      </c>
      <c r="G382" s="85" t="n">
        <v>92200</v>
      </c>
      <c r="H382" s="85" t="s">
        <v>3932</v>
      </c>
      <c r="I382" s="85" t="n">
        <v>147452442</v>
      </c>
      <c r="K382" s="85"/>
      <c r="L382" s="85"/>
      <c r="M382" s="86"/>
      <c r="N382" s="87"/>
      <c r="O382" s="87"/>
      <c r="P382" s="88" t="n">
        <v>0</v>
      </c>
      <c r="Q382" s="89"/>
      <c r="R382" s="88" t="n">
        <v>0</v>
      </c>
      <c r="S382" s="89"/>
      <c r="T382" s="88"/>
      <c r="U382" s="89"/>
      <c r="V382" s="88"/>
      <c r="W382" s="89"/>
      <c r="X382" s="86"/>
      <c r="Y382" s="85"/>
      <c r="Z382" s="85"/>
    </row>
    <row r="383" customFormat="false" ht="12.75" hidden="true" customHeight="true" outlineLevel="0" collapsed="false">
      <c r="A383" s="85" t="n">
        <v>2956201</v>
      </c>
      <c r="B383" s="85" t="s">
        <v>4500</v>
      </c>
      <c r="C383" s="85"/>
      <c r="D383" s="85"/>
      <c r="E383" s="85" t="s">
        <v>3238</v>
      </c>
      <c r="F383" s="85" t="s">
        <v>4605</v>
      </c>
      <c r="G383" s="85" t="n">
        <v>75015</v>
      </c>
      <c r="H383" s="85" t="s">
        <v>36</v>
      </c>
      <c r="I383" s="85" t="n">
        <v>156239060</v>
      </c>
      <c r="K383" s="85"/>
      <c r="L383" s="85"/>
      <c r="M383" s="86"/>
      <c r="N383" s="87"/>
      <c r="O383" s="87"/>
      <c r="P383" s="88" t="n">
        <v>0</v>
      </c>
      <c r="Q383" s="89"/>
      <c r="R383" s="88" t="n">
        <v>0</v>
      </c>
      <c r="S383" s="89"/>
      <c r="T383" s="88"/>
      <c r="U383" s="89"/>
      <c r="V383" s="88"/>
      <c r="W383" s="89"/>
      <c r="X383" s="86"/>
      <c r="Y383" s="85"/>
      <c r="Z383" s="85"/>
    </row>
    <row r="384" customFormat="false" ht="12.75" hidden="true" customHeight="true" outlineLevel="0" collapsed="false">
      <c r="A384" s="85" t="n">
        <v>2957556</v>
      </c>
      <c r="B384" s="85" t="s">
        <v>4647</v>
      </c>
      <c r="C384" s="85"/>
      <c r="D384" s="85"/>
      <c r="E384" s="85" t="s">
        <v>357</v>
      </c>
      <c r="F384" s="85" t="s">
        <v>4648</v>
      </c>
      <c r="G384" s="85" t="n">
        <v>75008</v>
      </c>
      <c r="H384" s="85" t="s">
        <v>36</v>
      </c>
      <c r="I384" s="85" t="n">
        <v>140980030</v>
      </c>
      <c r="K384" s="85"/>
      <c r="L384" s="85"/>
      <c r="M384" s="86"/>
      <c r="N384" s="87"/>
      <c r="O384" s="87"/>
      <c r="P384" s="88" t="n">
        <v>0</v>
      </c>
      <c r="Q384" s="89"/>
      <c r="R384" s="88" t="n">
        <v>0</v>
      </c>
      <c r="S384" s="89"/>
      <c r="T384" s="88"/>
      <c r="U384" s="89"/>
      <c r="V384" s="88"/>
      <c r="W384" s="89"/>
      <c r="X384" s="86"/>
      <c r="Y384" s="85"/>
      <c r="Z384" s="85"/>
    </row>
    <row r="385" customFormat="false" ht="12.75" hidden="true" customHeight="true" outlineLevel="0" collapsed="false">
      <c r="A385" s="85" t="n">
        <v>2958371</v>
      </c>
      <c r="B385" s="85" t="s">
        <v>4500</v>
      </c>
      <c r="C385" s="85"/>
      <c r="D385" s="85"/>
      <c r="E385" s="85" t="s">
        <v>645</v>
      </c>
      <c r="F385" s="85" t="s">
        <v>4607</v>
      </c>
      <c r="G385" s="85" t="n">
        <v>75015</v>
      </c>
      <c r="H385" s="85" t="s">
        <v>36</v>
      </c>
      <c r="I385" s="85" t="n">
        <v>145799486</v>
      </c>
      <c r="K385" s="85"/>
      <c r="L385" s="85"/>
      <c r="M385" s="86"/>
      <c r="N385" s="87"/>
      <c r="O385" s="87"/>
      <c r="P385" s="88" t="n">
        <v>0</v>
      </c>
      <c r="Q385" s="89"/>
      <c r="R385" s="88" t="n">
        <v>0</v>
      </c>
      <c r="S385" s="89"/>
      <c r="T385" s="88"/>
      <c r="U385" s="89"/>
      <c r="V385" s="88"/>
      <c r="W385" s="89"/>
      <c r="X385" s="86"/>
      <c r="Y385" s="85"/>
      <c r="Z385" s="85"/>
    </row>
    <row r="386" customFormat="false" ht="12.75" hidden="true" customHeight="true" outlineLevel="0" collapsed="false">
      <c r="A386" s="85" t="n">
        <v>2958785</v>
      </c>
      <c r="B386" s="85" t="s">
        <v>4500</v>
      </c>
      <c r="C386" s="85"/>
      <c r="D386" s="85"/>
      <c r="E386" s="85" t="s">
        <v>645</v>
      </c>
      <c r="F386" s="85" t="s">
        <v>4606</v>
      </c>
      <c r="G386" s="85" t="n">
        <v>75015</v>
      </c>
      <c r="H386" s="85" t="s">
        <v>36</v>
      </c>
      <c r="I386" s="85" t="n">
        <v>145750240</v>
      </c>
      <c r="K386" s="85"/>
      <c r="L386" s="85"/>
      <c r="M386" s="86"/>
      <c r="N386" s="87"/>
      <c r="O386" s="87"/>
      <c r="P386" s="88" t="n">
        <v>0</v>
      </c>
      <c r="Q386" s="89"/>
      <c r="R386" s="88" t="n">
        <v>0</v>
      </c>
      <c r="S386" s="89"/>
      <c r="T386" s="88"/>
      <c r="U386" s="89"/>
      <c r="V386" s="88"/>
      <c r="W386" s="89"/>
      <c r="X386" s="86"/>
      <c r="Y386" s="85"/>
      <c r="Z386" s="85"/>
    </row>
    <row r="387" customFormat="false" ht="12.75" hidden="true" customHeight="true" outlineLevel="0" collapsed="false">
      <c r="A387" s="85" t="n">
        <v>2958869</v>
      </c>
      <c r="B387" s="85" t="s">
        <v>4500</v>
      </c>
      <c r="C387" s="85"/>
      <c r="D387" s="85"/>
      <c r="E387" s="85" t="s">
        <v>2672</v>
      </c>
      <c r="F387" s="85" t="s">
        <v>4610</v>
      </c>
      <c r="G387" s="85" t="n">
        <v>75017</v>
      </c>
      <c r="H387" s="85" t="s">
        <v>36</v>
      </c>
      <c r="I387" s="85" t="n">
        <v>143804376</v>
      </c>
      <c r="K387" s="85"/>
      <c r="L387" s="85"/>
      <c r="M387" s="86"/>
      <c r="N387" s="87"/>
      <c r="O387" s="87"/>
      <c r="P387" s="88" t="n">
        <v>0</v>
      </c>
      <c r="Q387" s="89"/>
      <c r="R387" s="88" t="n">
        <v>0</v>
      </c>
      <c r="S387" s="89"/>
      <c r="T387" s="88"/>
      <c r="U387" s="89"/>
      <c r="V387" s="88"/>
      <c r="W387" s="89"/>
      <c r="X387" s="86"/>
      <c r="Y387" s="85"/>
      <c r="Z387" s="85"/>
    </row>
    <row r="388" customFormat="false" ht="12.75" hidden="true" customHeight="true" outlineLevel="0" collapsed="false">
      <c r="A388" s="85" t="n">
        <v>2959574</v>
      </c>
      <c r="B388" s="85" t="s">
        <v>4500</v>
      </c>
      <c r="C388" s="85"/>
      <c r="D388" s="85"/>
      <c r="E388" s="85" t="s">
        <v>2400</v>
      </c>
      <c r="F388" s="85" t="s">
        <v>4612</v>
      </c>
      <c r="G388" s="85" t="n">
        <v>75017</v>
      </c>
      <c r="H388" s="85" t="s">
        <v>36</v>
      </c>
      <c r="I388" s="85" t="n">
        <v>143872360</v>
      </c>
      <c r="K388" s="85"/>
      <c r="L388" s="85"/>
      <c r="M388" s="86"/>
      <c r="N388" s="87"/>
      <c r="O388" s="87"/>
      <c r="P388" s="88" t="n">
        <v>0</v>
      </c>
      <c r="Q388" s="89"/>
      <c r="R388" s="88" t="n">
        <v>0</v>
      </c>
      <c r="S388" s="89"/>
      <c r="T388" s="88"/>
      <c r="U388" s="89"/>
      <c r="V388" s="88"/>
      <c r="W388" s="89"/>
      <c r="X388" s="86"/>
      <c r="Y388" s="85"/>
      <c r="Z388" s="85"/>
    </row>
    <row r="389" customFormat="false" ht="12.75" hidden="true" customHeight="true" outlineLevel="0" collapsed="false">
      <c r="A389" s="85" t="n">
        <v>2960862</v>
      </c>
      <c r="B389" s="85" t="s">
        <v>4500</v>
      </c>
      <c r="C389" s="85"/>
      <c r="D389" s="85"/>
      <c r="E389" s="85" t="s">
        <v>2672</v>
      </c>
      <c r="F389" s="85" t="s">
        <v>4604</v>
      </c>
      <c r="G389" s="85" t="n">
        <v>75008</v>
      </c>
      <c r="H389" s="85" t="s">
        <v>36</v>
      </c>
      <c r="I389" s="85" t="n">
        <v>153776565</v>
      </c>
      <c r="K389" s="85"/>
      <c r="L389" s="85"/>
      <c r="M389" s="86"/>
      <c r="N389" s="87"/>
      <c r="O389" s="87"/>
      <c r="P389" s="88" t="n">
        <v>0</v>
      </c>
      <c r="Q389" s="89"/>
      <c r="R389" s="88" t="n">
        <v>0</v>
      </c>
      <c r="S389" s="89"/>
      <c r="T389" s="88"/>
      <c r="U389" s="89"/>
      <c r="V389" s="88"/>
      <c r="W389" s="89"/>
      <c r="X389" s="86"/>
      <c r="Y389" s="85"/>
      <c r="Z389" s="85"/>
    </row>
    <row r="390" customFormat="false" ht="12.75" hidden="true" customHeight="true" outlineLevel="0" collapsed="false">
      <c r="A390" s="85" t="n">
        <v>2977483</v>
      </c>
      <c r="B390" s="85" t="s">
        <v>4649</v>
      </c>
      <c r="C390" s="85"/>
      <c r="D390" s="85"/>
      <c r="E390" s="85" t="s">
        <v>2928</v>
      </c>
      <c r="F390" s="85" t="s">
        <v>4650</v>
      </c>
      <c r="G390" s="85" t="n">
        <v>75008</v>
      </c>
      <c r="H390" s="85" t="s">
        <v>36</v>
      </c>
      <c r="I390" s="85" t="n">
        <v>172718586</v>
      </c>
      <c r="K390" s="85"/>
      <c r="L390" s="85"/>
      <c r="M390" s="86"/>
      <c r="N390" s="87"/>
      <c r="O390" s="87"/>
      <c r="P390" s="88" t="n">
        <v>0</v>
      </c>
      <c r="Q390" s="89"/>
      <c r="R390" s="88" t="n">
        <v>0</v>
      </c>
      <c r="S390" s="89"/>
      <c r="T390" s="88"/>
      <c r="U390" s="89"/>
      <c r="V390" s="88"/>
      <c r="W390" s="89"/>
      <c r="X390" s="86"/>
      <c r="Y390" s="85"/>
      <c r="Z390" s="85"/>
    </row>
    <row r="391" customFormat="false" ht="12.75" hidden="true" customHeight="true" outlineLevel="0" collapsed="false">
      <c r="A391" s="85" t="n">
        <v>2977593</v>
      </c>
      <c r="B391" s="85" t="s">
        <v>4651</v>
      </c>
      <c r="C391" s="85"/>
      <c r="D391" s="85"/>
      <c r="E391" s="85" t="s">
        <v>3401</v>
      </c>
      <c r="F391" s="85" t="s">
        <v>4652</v>
      </c>
      <c r="G391" s="85" t="n">
        <v>92300</v>
      </c>
      <c r="H391" s="85" t="s">
        <v>3403</v>
      </c>
      <c r="I391" s="85" t="n">
        <v>155633900</v>
      </c>
      <c r="K391" s="85"/>
      <c r="L391" s="85"/>
      <c r="M391" s="86"/>
      <c r="N391" s="87"/>
      <c r="O391" s="87"/>
      <c r="P391" s="88" t="n">
        <v>0</v>
      </c>
      <c r="Q391" s="89"/>
      <c r="R391" s="88" t="n">
        <v>0</v>
      </c>
      <c r="S391" s="89"/>
      <c r="T391" s="88"/>
      <c r="U391" s="89"/>
      <c r="V391" s="88"/>
      <c r="W391" s="89"/>
      <c r="X391" s="86"/>
      <c r="Y391" s="85"/>
      <c r="Z391" s="85"/>
    </row>
    <row r="392" customFormat="false" ht="12.75" hidden="true" customHeight="true" outlineLevel="0" collapsed="false">
      <c r="A392" s="85" t="n">
        <v>2982273</v>
      </c>
      <c r="B392" s="85" t="s">
        <v>4653</v>
      </c>
      <c r="C392" s="85"/>
      <c r="D392" s="85"/>
      <c r="E392" s="85" t="s">
        <v>3238</v>
      </c>
      <c r="F392" s="85" t="s">
        <v>4654</v>
      </c>
      <c r="G392" s="85" t="n">
        <v>75015</v>
      </c>
      <c r="H392" s="85" t="s">
        <v>36</v>
      </c>
      <c r="I392" s="85" t="n">
        <v>148566050</v>
      </c>
      <c r="K392" s="85"/>
      <c r="L392" s="85"/>
      <c r="M392" s="86"/>
      <c r="N392" s="87"/>
      <c r="O392" s="87"/>
      <c r="P392" s="88" t="n">
        <v>0</v>
      </c>
      <c r="Q392" s="89"/>
      <c r="R392" s="88" t="n">
        <v>0</v>
      </c>
      <c r="S392" s="89"/>
      <c r="T392" s="88"/>
      <c r="U392" s="89"/>
      <c r="V392" s="88"/>
      <c r="W392" s="89"/>
      <c r="X392" s="86"/>
      <c r="Y392" s="85"/>
      <c r="Z392" s="85"/>
    </row>
    <row r="393" customFormat="false" ht="12.75" hidden="true" customHeight="true" outlineLevel="0" collapsed="false">
      <c r="A393" s="85" t="n">
        <v>2983350</v>
      </c>
      <c r="B393" s="85" t="s">
        <v>4637</v>
      </c>
      <c r="C393" s="85"/>
      <c r="D393" s="85"/>
      <c r="E393" s="85" t="s">
        <v>3401</v>
      </c>
      <c r="F393" s="85" t="s">
        <v>4636</v>
      </c>
      <c r="G393" s="85" t="n">
        <v>92300</v>
      </c>
      <c r="H393" s="85" t="s">
        <v>3403</v>
      </c>
      <c r="I393" s="85" t="n">
        <v>141279160</v>
      </c>
      <c r="K393" s="85"/>
      <c r="L393" s="85"/>
      <c r="M393" s="86"/>
      <c r="N393" s="87"/>
      <c r="O393" s="87"/>
      <c r="P393" s="88" t="n">
        <v>0</v>
      </c>
      <c r="Q393" s="89"/>
      <c r="R393" s="88" t="n">
        <v>0</v>
      </c>
      <c r="S393" s="89"/>
      <c r="T393" s="88"/>
      <c r="U393" s="89"/>
      <c r="V393" s="88"/>
      <c r="W393" s="89"/>
      <c r="X393" s="86"/>
      <c r="Y393" s="85"/>
      <c r="Z393" s="85"/>
    </row>
    <row r="394" customFormat="false" ht="12.75" hidden="true" customHeight="true" outlineLevel="0" collapsed="false">
      <c r="A394" s="85" t="n">
        <v>2227927</v>
      </c>
      <c r="B394" s="85" t="s">
        <v>4655</v>
      </c>
      <c r="C394" s="85"/>
      <c r="D394" s="85"/>
      <c r="E394" s="85" t="s">
        <v>3401</v>
      </c>
      <c r="F394" s="85" t="s">
        <v>4656</v>
      </c>
      <c r="G394" s="85" t="n">
        <v>92300</v>
      </c>
      <c r="H394" s="85" t="s">
        <v>3403</v>
      </c>
      <c r="I394" s="85" t="n">
        <v>147575736</v>
      </c>
      <c r="K394" s="85" t="n">
        <v>1</v>
      </c>
      <c r="L394" s="85"/>
      <c r="M394" s="86"/>
      <c r="N394" s="87"/>
      <c r="O394" s="87"/>
      <c r="P394" s="88" t="n">
        <v>-11.15</v>
      </c>
      <c r="Q394" s="89"/>
      <c r="R394" s="88" t="n">
        <v>2278.33</v>
      </c>
      <c r="S394" s="89" t="n">
        <v>46</v>
      </c>
      <c r="T394" s="88" t="n">
        <v>-11.15</v>
      </c>
      <c r="U394" s="89"/>
      <c r="V394" s="88" t="n">
        <v>2529.67</v>
      </c>
      <c r="W394" s="89" t="n">
        <v>31</v>
      </c>
      <c r="X394" s="86" t="n">
        <v>7</v>
      </c>
      <c r="Y394" s="85" t="s">
        <v>4024</v>
      </c>
      <c r="Z394" s="85" t="s">
        <v>3927</v>
      </c>
    </row>
    <row r="395" customFormat="false" ht="12.75" hidden="true" customHeight="true" outlineLevel="0" collapsed="false">
      <c r="A395" s="85" t="n">
        <v>2254416</v>
      </c>
      <c r="B395" s="85" t="s">
        <v>4657</v>
      </c>
      <c r="C395" s="85"/>
      <c r="D395" s="85"/>
      <c r="E395" s="85" t="s">
        <v>3401</v>
      </c>
      <c r="F395" s="85" t="s">
        <v>4658</v>
      </c>
      <c r="G395" s="85" t="n">
        <v>92300</v>
      </c>
      <c r="H395" s="85" t="s">
        <v>3403</v>
      </c>
      <c r="I395" s="85" t="n">
        <v>147571614</v>
      </c>
      <c r="K395" s="85" t="n">
        <v>1</v>
      </c>
      <c r="L395" s="85"/>
      <c r="M395" s="86"/>
      <c r="N395" s="87"/>
      <c r="O395" s="87"/>
      <c r="P395" s="88" t="n">
        <v>-31.43</v>
      </c>
      <c r="Q395" s="89"/>
      <c r="R395" s="88" t="n">
        <v>1235.15</v>
      </c>
      <c r="S395" s="89"/>
      <c r="T395" s="88" t="n">
        <v>186</v>
      </c>
      <c r="U395" s="89"/>
      <c r="V395" s="88" t="n">
        <v>1288.92</v>
      </c>
      <c r="W395" s="89"/>
      <c r="X395" s="86" t="n">
        <v>8</v>
      </c>
      <c r="Y395" s="85" t="s">
        <v>3926</v>
      </c>
      <c r="Z395" s="85" t="s">
        <v>3927</v>
      </c>
    </row>
    <row r="396" customFormat="false" ht="12.75" hidden="true" customHeight="true" outlineLevel="0" collapsed="false">
      <c r="A396" s="85" t="n">
        <v>2228040</v>
      </c>
      <c r="B396" s="85" t="s">
        <v>4659</v>
      </c>
      <c r="C396" s="85"/>
      <c r="D396" s="85"/>
      <c r="E396" s="85" t="s">
        <v>3401</v>
      </c>
      <c r="F396" s="85" t="s">
        <v>4660</v>
      </c>
      <c r="G396" s="85" t="n">
        <v>92300</v>
      </c>
      <c r="H396" s="85" t="s">
        <v>3403</v>
      </c>
      <c r="I396" s="85" t="n">
        <v>147371865</v>
      </c>
      <c r="K396" s="85" t="n">
        <v>1</v>
      </c>
      <c r="L396" s="85"/>
      <c r="M396" s="86"/>
      <c r="N396" s="87"/>
      <c r="O396" s="87"/>
      <c r="P396" s="88" t="n">
        <v>-139.37</v>
      </c>
      <c r="Q396" s="89"/>
      <c r="R396" s="88" t="n">
        <v>2517.95</v>
      </c>
      <c r="S396" s="89" t="n">
        <v>37</v>
      </c>
      <c r="T396" s="88" t="n">
        <v>345.66</v>
      </c>
      <c r="U396" s="89"/>
      <c r="V396" s="88" t="n">
        <v>3845.2</v>
      </c>
      <c r="W396" s="89" t="n">
        <v>9</v>
      </c>
      <c r="X396" s="86" t="n">
        <v>7</v>
      </c>
      <c r="Y396" s="85"/>
      <c r="Z396" s="85" t="s">
        <v>3904</v>
      </c>
    </row>
    <row r="397" customFormat="false" ht="12.75" hidden="true" customHeight="true" outlineLevel="0" collapsed="false">
      <c r="A397" s="85" t="n">
        <v>2048393</v>
      </c>
      <c r="B397" s="85" t="s">
        <v>4661</v>
      </c>
      <c r="C397" s="85"/>
      <c r="D397" s="85"/>
      <c r="E397" s="85" t="s">
        <v>3621</v>
      </c>
      <c r="F397" s="85" t="s">
        <v>4662</v>
      </c>
      <c r="G397" s="85" t="n">
        <v>92200</v>
      </c>
      <c r="H397" s="85" t="s">
        <v>3932</v>
      </c>
      <c r="I397" s="85" t="n">
        <v>146240138</v>
      </c>
      <c r="K397" s="85" t="n">
        <v>1</v>
      </c>
      <c r="L397" s="85" t="n">
        <v>1</v>
      </c>
      <c r="M397" s="86"/>
      <c r="N397" s="87"/>
      <c r="O397" s="87"/>
      <c r="P397" s="88" t="n">
        <v>-181.96</v>
      </c>
      <c r="Q397" s="89"/>
      <c r="R397" s="88" t="n">
        <v>2046.51</v>
      </c>
      <c r="S397" s="89" t="n">
        <v>62</v>
      </c>
      <c r="T397" s="88" t="n">
        <v>205.44</v>
      </c>
      <c r="U397" s="89"/>
      <c r="V397" s="88" t="n">
        <v>2112.95</v>
      </c>
      <c r="W397" s="89" t="n">
        <v>51</v>
      </c>
      <c r="X397" s="86" t="n">
        <v>10</v>
      </c>
      <c r="Y397" s="85" t="s">
        <v>3937</v>
      </c>
      <c r="Z397" s="85" t="s">
        <v>3927</v>
      </c>
    </row>
    <row r="398" customFormat="false" ht="12.75" hidden="true" customHeight="true" outlineLevel="0" collapsed="false">
      <c r="A398" s="85" t="n">
        <v>2228103</v>
      </c>
      <c r="B398" s="85" t="s">
        <v>4663</v>
      </c>
      <c r="C398" s="85"/>
      <c r="D398" s="85"/>
      <c r="E398" s="85" t="s">
        <v>3401</v>
      </c>
      <c r="F398" s="85" t="s">
        <v>4664</v>
      </c>
      <c r="G398" s="85" t="n">
        <v>92300</v>
      </c>
      <c r="H398" s="85" t="s">
        <v>3403</v>
      </c>
      <c r="I398" s="85" t="n">
        <v>147371384</v>
      </c>
      <c r="K398" s="85" t="n">
        <v>1</v>
      </c>
      <c r="L398" s="85"/>
      <c r="M398" s="86"/>
      <c r="N398" s="87"/>
      <c r="O398" s="87"/>
      <c r="P398" s="88" t="n">
        <v>-200.7</v>
      </c>
      <c r="Q398" s="89"/>
      <c r="R398" s="88" t="n">
        <v>1203.6</v>
      </c>
      <c r="S398" s="89"/>
      <c r="T398" s="88" t="n">
        <v>-200.7</v>
      </c>
      <c r="U398" s="89"/>
      <c r="V398" s="88" t="n">
        <v>1205.61</v>
      </c>
      <c r="W398" s="89"/>
      <c r="X398" s="86" t="n">
        <v>8</v>
      </c>
      <c r="Y398" s="85" t="s">
        <v>3926</v>
      </c>
      <c r="Z398" s="85" t="s">
        <v>3927</v>
      </c>
    </row>
    <row r="399" customFormat="false" ht="12.75" hidden="true" customHeight="true" outlineLevel="0" collapsed="false">
      <c r="A399" s="85" t="n">
        <v>2048330</v>
      </c>
      <c r="B399" s="85" t="s">
        <v>4399</v>
      </c>
      <c r="C399" s="85"/>
      <c r="D399" s="85"/>
      <c r="E399" s="85" t="s">
        <v>3621</v>
      </c>
      <c r="F399" s="85" t="s">
        <v>4665</v>
      </c>
      <c r="G399" s="85" t="n">
        <v>92200</v>
      </c>
      <c r="H399" s="85" t="s">
        <v>3932</v>
      </c>
      <c r="I399" s="85" t="n">
        <v>146241496</v>
      </c>
      <c r="K399" s="87"/>
      <c r="L399" s="86"/>
      <c r="M399" s="90"/>
      <c r="N399" s="86"/>
      <c r="O399" s="85"/>
      <c r="P399" s="88"/>
      <c r="Q399" s="89"/>
      <c r="R399" s="88"/>
      <c r="S399" s="89"/>
      <c r="T399" s="88"/>
      <c r="U399" s="89"/>
      <c r="V399" s="88"/>
      <c r="W399" s="89"/>
      <c r="X399" s="92" t="n">
        <v>9</v>
      </c>
      <c r="Y399" s="92" t="s">
        <v>3922</v>
      </c>
      <c r="Z399" s="92"/>
    </row>
    <row r="400" customFormat="false" ht="12.75" hidden="true" customHeight="true" outlineLevel="0" collapsed="false">
      <c r="A400" s="85" t="n">
        <v>1528476</v>
      </c>
      <c r="B400" s="85" t="s">
        <v>4666</v>
      </c>
      <c r="C400" s="85"/>
      <c r="D400" s="85"/>
      <c r="E400" s="85" t="s">
        <v>357</v>
      </c>
      <c r="F400" s="85" t="s">
        <v>4667</v>
      </c>
      <c r="G400" s="85" t="n">
        <v>75008</v>
      </c>
      <c r="H400" s="85" t="s">
        <v>36</v>
      </c>
      <c r="I400" s="85" t="n">
        <v>146115000</v>
      </c>
      <c r="K400" s="87"/>
      <c r="L400" s="86"/>
      <c r="M400" s="90"/>
      <c r="N400" s="86"/>
      <c r="O400" s="85"/>
      <c r="P400" s="88"/>
      <c r="Q400" s="89"/>
      <c r="R400" s="88"/>
      <c r="S400" s="89"/>
      <c r="T400" s="88"/>
      <c r="U400" s="89"/>
      <c r="V400" s="88"/>
      <c r="W400" s="89"/>
      <c r="X400" s="85"/>
    </row>
    <row r="401" customFormat="false" ht="12.75" hidden="true" customHeight="true" outlineLevel="0" collapsed="false">
      <c r="A401" s="85" t="n">
        <v>2007364</v>
      </c>
      <c r="B401" s="85" t="s">
        <v>4668</v>
      </c>
      <c r="C401" s="85"/>
      <c r="D401" s="85"/>
      <c r="E401" s="85" t="s">
        <v>3401</v>
      </c>
      <c r="F401" s="85" t="s">
        <v>4669</v>
      </c>
      <c r="G401" s="85" t="n">
        <v>92300</v>
      </c>
      <c r="H401" s="85" t="s">
        <v>3403</v>
      </c>
      <c r="I401" s="85"/>
      <c r="K401" s="87"/>
      <c r="L401" s="86"/>
      <c r="M401" s="90"/>
      <c r="N401" s="86"/>
      <c r="O401" s="85"/>
      <c r="P401" s="88"/>
      <c r="Q401" s="89"/>
      <c r="R401" s="88"/>
      <c r="S401" s="89"/>
      <c r="T401" s="88"/>
      <c r="U401" s="89"/>
      <c r="V401" s="88"/>
      <c r="W401" s="89"/>
      <c r="X401" s="85"/>
    </row>
    <row r="402" customFormat="false" ht="12.75" hidden="true" customHeight="true" outlineLevel="0" collapsed="false">
      <c r="A402" s="85" t="n">
        <v>2007380</v>
      </c>
      <c r="B402" s="85" t="s">
        <v>4670</v>
      </c>
      <c r="C402" s="85"/>
      <c r="D402" s="85"/>
      <c r="E402" s="85" t="s">
        <v>357</v>
      </c>
      <c r="F402" s="85" t="s">
        <v>4671</v>
      </c>
      <c r="G402" s="85" t="n">
        <v>75008</v>
      </c>
      <c r="H402" s="85" t="s">
        <v>36</v>
      </c>
      <c r="I402" s="85" t="n">
        <v>142661559</v>
      </c>
      <c r="K402" s="87"/>
      <c r="L402" s="86"/>
      <c r="M402" s="90"/>
      <c r="N402" s="86"/>
      <c r="O402" s="85"/>
      <c r="P402" s="88"/>
      <c r="Q402" s="89"/>
      <c r="R402" s="88"/>
      <c r="S402" s="89"/>
      <c r="T402" s="88"/>
      <c r="U402" s="89"/>
      <c r="V402" s="88"/>
      <c r="W402" s="89"/>
      <c r="X402" s="85"/>
    </row>
    <row r="403" customFormat="false" ht="12.75" hidden="true" customHeight="true" outlineLevel="0" collapsed="false">
      <c r="A403" s="85" t="n">
        <v>2014215</v>
      </c>
      <c r="B403" s="85" t="s">
        <v>4672</v>
      </c>
      <c r="C403" s="85"/>
      <c r="D403" s="85"/>
      <c r="E403" s="85" t="s">
        <v>357</v>
      </c>
      <c r="F403" s="85" t="s">
        <v>4673</v>
      </c>
      <c r="G403" s="85" t="n">
        <v>75008</v>
      </c>
      <c r="H403" s="85" t="s">
        <v>36</v>
      </c>
      <c r="I403" s="85" t="n">
        <v>140689746</v>
      </c>
      <c r="K403" s="87"/>
      <c r="L403" s="86"/>
      <c r="M403" s="90"/>
      <c r="N403" s="86"/>
      <c r="O403" s="85"/>
      <c r="P403" s="88"/>
      <c r="Q403" s="89"/>
      <c r="R403" s="88"/>
      <c r="S403" s="89"/>
      <c r="T403" s="88"/>
      <c r="U403" s="89"/>
      <c r="V403" s="88"/>
      <c r="W403" s="89"/>
      <c r="X403" s="85"/>
    </row>
    <row r="404" customFormat="false" ht="12.75" hidden="true" customHeight="true" outlineLevel="0" collapsed="false">
      <c r="A404" s="85" t="n">
        <v>2188553</v>
      </c>
      <c r="B404" s="85" t="s">
        <v>4674</v>
      </c>
      <c r="C404" s="85"/>
      <c r="D404" s="85"/>
      <c r="E404" s="85" t="s">
        <v>1124</v>
      </c>
      <c r="F404" s="85" t="s">
        <v>1453</v>
      </c>
      <c r="G404" s="85" t="n">
        <v>75007</v>
      </c>
      <c r="H404" s="85" t="s">
        <v>36</v>
      </c>
      <c r="I404" s="85" t="n">
        <v>145510151</v>
      </c>
      <c r="K404" s="87"/>
      <c r="L404" s="86"/>
      <c r="M404" s="90"/>
      <c r="N404" s="86"/>
      <c r="O404" s="85"/>
      <c r="P404" s="88"/>
      <c r="Q404" s="89"/>
      <c r="R404" s="88"/>
      <c r="S404" s="89"/>
      <c r="T404" s="88"/>
      <c r="U404" s="89"/>
      <c r="V404" s="88"/>
      <c r="W404" s="89"/>
      <c r="X404" s="85"/>
    </row>
    <row r="405" customFormat="false" ht="12.7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85"/>
      <c r="K405" s="85"/>
      <c r="L405" s="85"/>
      <c r="M405" s="86"/>
      <c r="N405" s="87"/>
      <c r="O405" s="87"/>
      <c r="X405" s="86"/>
      <c r="Y405" s="85"/>
      <c r="Z405" s="85"/>
    </row>
    <row r="406" customFormat="false" ht="12.7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85"/>
      <c r="K406" s="85"/>
      <c r="L406" s="85"/>
      <c r="M406" s="86"/>
      <c r="N406" s="87"/>
      <c r="O406" s="87"/>
      <c r="X406" s="86"/>
      <c r="Y406" s="85"/>
      <c r="Z406" s="85"/>
    </row>
    <row r="407" customFormat="false" ht="12.7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85"/>
      <c r="K407" s="85"/>
      <c r="L407" s="85"/>
      <c r="M407" s="86"/>
      <c r="N407" s="87"/>
      <c r="O407" s="87"/>
      <c r="X407" s="86"/>
      <c r="Y407" s="85"/>
      <c r="Z407" s="85"/>
    </row>
    <row r="408" customFormat="false" ht="12.7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85"/>
      <c r="K408" s="85"/>
      <c r="L408" s="85"/>
      <c r="M408" s="86"/>
      <c r="N408" s="87"/>
      <c r="O408" s="87"/>
      <c r="X408" s="86"/>
      <c r="Y408" s="85"/>
      <c r="Z408" s="85"/>
    </row>
    <row r="409" customFormat="false" ht="12.7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85"/>
      <c r="K409" s="85"/>
      <c r="L409" s="85"/>
      <c r="M409" s="86"/>
      <c r="N409" s="87"/>
      <c r="O409" s="87"/>
      <c r="X409" s="86"/>
      <c r="Y409" s="85"/>
      <c r="Z409" s="85"/>
    </row>
    <row r="410" customFormat="false" ht="12.7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85"/>
      <c r="K410" s="85"/>
      <c r="L410" s="85"/>
      <c r="M410" s="86"/>
      <c r="N410" s="87"/>
      <c r="O410" s="87"/>
      <c r="X410" s="86"/>
      <c r="Y410" s="85"/>
      <c r="Z410" s="85"/>
    </row>
    <row r="411" customFormat="false" ht="12.7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85"/>
      <c r="K411" s="85"/>
      <c r="L411" s="85"/>
      <c r="M411" s="86"/>
      <c r="N411" s="87"/>
      <c r="O411" s="87"/>
      <c r="X411" s="86"/>
      <c r="Y411" s="85"/>
      <c r="Z411" s="85"/>
    </row>
    <row r="412" customFormat="false" ht="12.7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85"/>
      <c r="K412" s="85"/>
      <c r="L412" s="85"/>
      <c r="M412" s="86"/>
      <c r="N412" s="87"/>
      <c r="O412" s="87"/>
      <c r="X412" s="86"/>
      <c r="Y412" s="85"/>
      <c r="Z412" s="85"/>
    </row>
    <row r="413" customFormat="false" ht="12.7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85"/>
      <c r="K413" s="85"/>
      <c r="L413" s="85"/>
      <c r="M413" s="86"/>
      <c r="N413" s="87"/>
      <c r="O413" s="87"/>
      <c r="X413" s="86"/>
      <c r="Y413" s="85"/>
      <c r="Z413" s="85"/>
    </row>
    <row r="414" customFormat="false" ht="12.7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85"/>
      <c r="K414" s="85"/>
      <c r="L414" s="85"/>
      <c r="M414" s="86"/>
      <c r="N414" s="87"/>
      <c r="O414" s="87"/>
      <c r="X414" s="86"/>
      <c r="Y414" s="85"/>
      <c r="Z414" s="85"/>
    </row>
    <row r="415" customFormat="false" ht="12.7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85"/>
      <c r="K415" s="85"/>
      <c r="L415" s="85"/>
      <c r="M415" s="86"/>
      <c r="N415" s="87"/>
      <c r="O415" s="87"/>
      <c r="X415" s="86"/>
      <c r="Y415" s="85"/>
      <c r="Z415" s="85"/>
    </row>
    <row r="416" customFormat="false" ht="12.7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85"/>
      <c r="K416" s="85"/>
      <c r="L416" s="85"/>
      <c r="M416" s="86"/>
      <c r="N416" s="87"/>
      <c r="O416" s="87"/>
      <c r="X416" s="86"/>
      <c r="Y416" s="85"/>
      <c r="Z416" s="85"/>
    </row>
    <row r="417" customFormat="false" ht="12.7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85"/>
      <c r="K417" s="85"/>
      <c r="L417" s="85"/>
      <c r="M417" s="86"/>
      <c r="N417" s="87"/>
      <c r="O417" s="87"/>
      <c r="X417" s="86"/>
      <c r="Y417" s="85"/>
      <c r="Z417" s="85"/>
    </row>
    <row r="418" customFormat="false" ht="12.7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85"/>
      <c r="K418" s="85"/>
      <c r="L418" s="85"/>
      <c r="M418" s="86"/>
      <c r="N418" s="87"/>
      <c r="O418" s="87"/>
      <c r="X418" s="86"/>
      <c r="Y418" s="85"/>
      <c r="Z418" s="85"/>
    </row>
    <row r="419" customFormat="false" ht="12.7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85"/>
      <c r="K419" s="85"/>
      <c r="L419" s="85"/>
      <c r="M419" s="86"/>
      <c r="N419" s="87"/>
      <c r="O419" s="87"/>
      <c r="X419" s="86"/>
      <c r="Y419" s="85"/>
      <c r="Z419" s="85"/>
    </row>
    <row r="420" customFormat="false" ht="12.7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85"/>
      <c r="K420" s="85"/>
      <c r="L420" s="85"/>
      <c r="M420" s="86"/>
      <c r="N420" s="87"/>
      <c r="O420" s="87"/>
      <c r="X420" s="86"/>
      <c r="Y420" s="85"/>
      <c r="Z420" s="85"/>
    </row>
    <row r="421" customFormat="false" ht="12.7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85"/>
      <c r="K421" s="85"/>
      <c r="L421" s="85"/>
      <c r="M421" s="86"/>
      <c r="N421" s="87"/>
      <c r="O421" s="87"/>
      <c r="X421" s="86"/>
      <c r="Y421" s="85"/>
      <c r="Z421" s="85"/>
    </row>
    <row r="422" customFormat="false" ht="12.7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85"/>
      <c r="K422" s="85"/>
      <c r="L422" s="85"/>
      <c r="M422" s="86"/>
      <c r="N422" s="87"/>
      <c r="O422" s="87"/>
      <c r="X422" s="86"/>
      <c r="Y422" s="85"/>
      <c r="Z422" s="85"/>
    </row>
    <row r="423" customFormat="false" ht="12.7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85"/>
      <c r="K423" s="85"/>
      <c r="L423" s="85"/>
      <c r="M423" s="86"/>
      <c r="N423" s="87"/>
      <c r="O423" s="87"/>
      <c r="X423" s="86"/>
      <c r="Y423" s="85"/>
      <c r="Z423" s="85"/>
    </row>
    <row r="424" customFormat="false" ht="12.7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85"/>
      <c r="K424" s="85"/>
      <c r="L424" s="85"/>
      <c r="M424" s="86"/>
      <c r="N424" s="87"/>
      <c r="O424" s="87"/>
      <c r="X424" s="86"/>
      <c r="Y424" s="85"/>
      <c r="Z424" s="85"/>
    </row>
    <row r="425" customFormat="false" ht="12.7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85"/>
      <c r="K425" s="85"/>
      <c r="L425" s="85"/>
      <c r="M425" s="86"/>
      <c r="N425" s="87"/>
      <c r="O425" s="87"/>
      <c r="X425" s="86"/>
      <c r="Y425" s="85"/>
      <c r="Z425" s="85"/>
    </row>
    <row r="426" customFormat="false" ht="12.7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85"/>
      <c r="K426" s="85"/>
      <c r="L426" s="85"/>
      <c r="M426" s="86"/>
      <c r="N426" s="87"/>
      <c r="O426" s="87"/>
      <c r="X426" s="86"/>
      <c r="Y426" s="85"/>
      <c r="Z426" s="85"/>
    </row>
    <row r="427" customFormat="false" ht="12.7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85"/>
      <c r="K427" s="85"/>
      <c r="L427" s="85"/>
      <c r="M427" s="86"/>
      <c r="N427" s="87"/>
      <c r="O427" s="87"/>
      <c r="X427" s="86"/>
      <c r="Y427" s="85"/>
      <c r="Z427" s="85"/>
    </row>
    <row r="428" customFormat="false" ht="12.7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85"/>
      <c r="K428" s="85"/>
      <c r="L428" s="85"/>
      <c r="M428" s="86"/>
      <c r="N428" s="87"/>
      <c r="O428" s="87"/>
      <c r="X428" s="86"/>
      <c r="Y428" s="85"/>
      <c r="Z428" s="85"/>
    </row>
    <row r="429" customFormat="false" ht="12.7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85"/>
      <c r="K429" s="85"/>
      <c r="L429" s="85"/>
      <c r="M429" s="86"/>
      <c r="N429" s="87"/>
      <c r="O429" s="87"/>
      <c r="X429" s="86"/>
      <c r="Y429" s="85"/>
      <c r="Z429" s="85"/>
    </row>
    <row r="430" customFormat="false" ht="12.7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85"/>
      <c r="K430" s="85"/>
      <c r="L430" s="85"/>
      <c r="M430" s="86"/>
      <c r="N430" s="87"/>
      <c r="O430" s="87"/>
      <c r="X430" s="86"/>
      <c r="Y430" s="85"/>
      <c r="Z430" s="85"/>
    </row>
    <row r="431" customFormat="false" ht="12.7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85"/>
      <c r="K431" s="85"/>
      <c r="L431" s="85"/>
      <c r="M431" s="86"/>
      <c r="N431" s="87"/>
      <c r="O431" s="87"/>
      <c r="X431" s="86"/>
      <c r="Y431" s="85"/>
      <c r="Z431" s="85"/>
    </row>
    <row r="432" customFormat="false" ht="12.7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85"/>
      <c r="K432" s="85"/>
      <c r="L432" s="85"/>
      <c r="M432" s="86"/>
      <c r="N432" s="87"/>
      <c r="O432" s="87"/>
      <c r="X432" s="86"/>
      <c r="Y432" s="85"/>
      <c r="Z432" s="85"/>
    </row>
    <row r="433" customFormat="false" ht="12.7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85"/>
      <c r="K433" s="85"/>
      <c r="L433" s="85"/>
      <c r="M433" s="86"/>
      <c r="N433" s="87"/>
      <c r="O433" s="87"/>
      <c r="X433" s="86"/>
      <c r="Y433" s="85"/>
      <c r="Z433" s="85"/>
    </row>
    <row r="434" customFormat="false" ht="12.7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85"/>
      <c r="K434" s="85"/>
      <c r="L434" s="85"/>
      <c r="M434" s="86"/>
      <c r="N434" s="87"/>
      <c r="O434" s="87"/>
      <c r="X434" s="86"/>
      <c r="Y434" s="85"/>
      <c r="Z434" s="85"/>
    </row>
    <row r="435" customFormat="false" ht="12.7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85"/>
      <c r="K435" s="85"/>
      <c r="L435" s="85"/>
      <c r="M435" s="86"/>
      <c r="N435" s="87"/>
      <c r="O435" s="87"/>
      <c r="X435" s="86"/>
      <c r="Y435" s="85"/>
      <c r="Z435" s="85"/>
    </row>
    <row r="436" customFormat="false" ht="12.7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85"/>
      <c r="K436" s="85"/>
      <c r="L436" s="85"/>
      <c r="M436" s="86"/>
      <c r="N436" s="87"/>
      <c r="O436" s="87"/>
      <c r="X436" s="86"/>
      <c r="Y436" s="85"/>
      <c r="Z436" s="85"/>
    </row>
    <row r="437" customFormat="false" ht="12.7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85"/>
      <c r="K437" s="85"/>
      <c r="L437" s="85"/>
      <c r="M437" s="86"/>
      <c r="N437" s="87"/>
      <c r="O437" s="87"/>
      <c r="X437" s="86"/>
      <c r="Y437" s="85"/>
      <c r="Z437" s="85"/>
    </row>
    <row r="438" customFormat="false" ht="12.7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85"/>
      <c r="K438" s="85"/>
      <c r="L438" s="85"/>
      <c r="M438" s="86"/>
      <c r="N438" s="87"/>
      <c r="O438" s="87"/>
      <c r="X438" s="86"/>
      <c r="Y438" s="85"/>
      <c r="Z438" s="85"/>
    </row>
    <row r="439" customFormat="false" ht="12.7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85"/>
      <c r="K439" s="85"/>
      <c r="L439" s="85"/>
      <c r="M439" s="86"/>
      <c r="N439" s="87"/>
      <c r="O439" s="87"/>
      <c r="X439" s="86"/>
      <c r="Y439" s="85"/>
      <c r="Z439" s="85"/>
    </row>
    <row r="440" customFormat="false" ht="12.7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85"/>
      <c r="K440" s="85"/>
      <c r="L440" s="85"/>
      <c r="M440" s="86"/>
      <c r="N440" s="87"/>
      <c r="O440" s="87"/>
      <c r="X440" s="86"/>
      <c r="Y440" s="85"/>
      <c r="Z440" s="85"/>
    </row>
    <row r="441" customFormat="false" ht="12.7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85"/>
      <c r="K441" s="85"/>
      <c r="L441" s="85"/>
      <c r="M441" s="86"/>
      <c r="N441" s="87"/>
      <c r="O441" s="87"/>
      <c r="X441" s="86"/>
      <c r="Y441" s="85"/>
      <c r="Z441" s="85"/>
    </row>
    <row r="442" customFormat="false" ht="12.7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85"/>
      <c r="K442" s="85"/>
      <c r="L442" s="85"/>
      <c r="M442" s="86"/>
      <c r="N442" s="87"/>
      <c r="O442" s="87"/>
      <c r="X442" s="86"/>
      <c r="Y442" s="85"/>
      <c r="Z442" s="85"/>
    </row>
    <row r="443" customFormat="false" ht="12.7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85"/>
      <c r="K443" s="85"/>
      <c r="L443" s="85"/>
      <c r="M443" s="86"/>
      <c r="N443" s="87"/>
      <c r="O443" s="87"/>
      <c r="X443" s="86"/>
      <c r="Y443" s="85"/>
      <c r="Z443" s="85"/>
    </row>
    <row r="444" customFormat="false" ht="12.7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85"/>
      <c r="K444" s="85"/>
      <c r="L444" s="85"/>
      <c r="M444" s="86"/>
      <c r="N444" s="87"/>
      <c r="O444" s="87"/>
      <c r="X444" s="86"/>
      <c r="Y444" s="85"/>
      <c r="Z444" s="85"/>
    </row>
    <row r="445" customFormat="false" ht="12.7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85"/>
      <c r="K445" s="85"/>
      <c r="L445" s="85"/>
      <c r="M445" s="86"/>
      <c r="N445" s="87"/>
      <c r="O445" s="87"/>
      <c r="X445" s="86"/>
      <c r="Y445" s="85"/>
      <c r="Z445" s="85"/>
    </row>
    <row r="446" customFormat="false" ht="12.7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85"/>
      <c r="K446" s="85"/>
      <c r="L446" s="85"/>
      <c r="M446" s="86"/>
      <c r="N446" s="87"/>
      <c r="O446" s="87"/>
      <c r="X446" s="86"/>
      <c r="Y446" s="85"/>
      <c r="Z446" s="85"/>
    </row>
    <row r="447" customFormat="false" ht="12.7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85"/>
      <c r="K447" s="85"/>
      <c r="L447" s="85"/>
      <c r="M447" s="86"/>
      <c r="N447" s="87"/>
      <c r="O447" s="87"/>
      <c r="X447" s="86"/>
      <c r="Y447" s="85"/>
      <c r="Z447" s="85"/>
    </row>
    <row r="448" customFormat="false" ht="12.7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85"/>
      <c r="K448" s="85"/>
      <c r="L448" s="85"/>
      <c r="M448" s="86"/>
      <c r="N448" s="87"/>
      <c r="O448" s="87"/>
      <c r="X448" s="86"/>
      <c r="Y448" s="85"/>
      <c r="Z448" s="85"/>
    </row>
    <row r="449" customFormat="false" ht="12.7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85"/>
      <c r="K449" s="85"/>
      <c r="L449" s="85"/>
      <c r="M449" s="86"/>
      <c r="N449" s="87"/>
      <c r="O449" s="87"/>
      <c r="X449" s="86"/>
      <c r="Y449" s="85"/>
      <c r="Z449" s="85"/>
    </row>
    <row r="450" customFormat="false" ht="12.7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85"/>
      <c r="K450" s="85"/>
      <c r="L450" s="85"/>
      <c r="M450" s="86"/>
      <c r="N450" s="87"/>
      <c r="O450" s="87"/>
      <c r="X450" s="86"/>
      <c r="Y450" s="85"/>
      <c r="Z450" s="85"/>
    </row>
    <row r="451" customFormat="false" ht="12.7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85"/>
      <c r="K451" s="85"/>
      <c r="L451" s="85"/>
      <c r="M451" s="86"/>
      <c r="N451" s="87"/>
      <c r="O451" s="87"/>
      <c r="X451" s="86"/>
      <c r="Y451" s="85"/>
      <c r="Z451" s="85"/>
    </row>
    <row r="452" customFormat="false" ht="12.7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85"/>
      <c r="K452" s="85"/>
      <c r="L452" s="85"/>
      <c r="M452" s="86"/>
      <c r="N452" s="87"/>
      <c r="O452" s="87"/>
      <c r="X452" s="86"/>
      <c r="Y452" s="85"/>
      <c r="Z452" s="85"/>
    </row>
    <row r="453" customFormat="false" ht="12.7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85"/>
      <c r="K453" s="85"/>
      <c r="L453" s="85"/>
      <c r="M453" s="86"/>
      <c r="N453" s="87"/>
      <c r="O453" s="87"/>
      <c r="X453" s="86"/>
      <c r="Y453" s="85"/>
      <c r="Z453" s="85"/>
    </row>
    <row r="454" customFormat="false" ht="12.7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85"/>
      <c r="K454" s="85"/>
      <c r="L454" s="85"/>
      <c r="M454" s="86"/>
      <c r="N454" s="87"/>
      <c r="O454" s="87"/>
      <c r="X454" s="86"/>
      <c r="Y454" s="85"/>
      <c r="Z454" s="85"/>
    </row>
    <row r="455" customFormat="false" ht="12.7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85"/>
      <c r="K455" s="85"/>
      <c r="L455" s="85"/>
      <c r="M455" s="86"/>
      <c r="N455" s="87"/>
      <c r="O455" s="87"/>
      <c r="X455" s="86"/>
      <c r="Y455" s="85"/>
      <c r="Z455" s="85"/>
    </row>
    <row r="456" customFormat="false" ht="12.7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85"/>
      <c r="K456" s="85"/>
      <c r="L456" s="85"/>
      <c r="M456" s="86"/>
      <c r="N456" s="87"/>
      <c r="O456" s="87"/>
      <c r="X456" s="86"/>
      <c r="Y456" s="85"/>
      <c r="Z456" s="85"/>
    </row>
    <row r="457" customFormat="false" ht="12.7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85"/>
      <c r="K457" s="85"/>
      <c r="L457" s="85"/>
      <c r="M457" s="86"/>
      <c r="N457" s="87"/>
      <c r="O457" s="87"/>
      <c r="X457" s="86"/>
      <c r="Y457" s="85"/>
      <c r="Z457" s="85"/>
    </row>
    <row r="458" customFormat="false" ht="12.7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85"/>
      <c r="K458" s="85"/>
      <c r="L458" s="85"/>
      <c r="M458" s="86"/>
      <c r="N458" s="87"/>
      <c r="O458" s="87"/>
      <c r="X458" s="86"/>
      <c r="Y458" s="85"/>
      <c r="Z458" s="85"/>
    </row>
    <row r="459" customFormat="false" ht="12.7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85"/>
      <c r="K459" s="85"/>
      <c r="L459" s="85"/>
      <c r="M459" s="86"/>
      <c r="N459" s="87"/>
      <c r="O459" s="87"/>
      <c r="X459" s="86"/>
      <c r="Y459" s="85"/>
      <c r="Z459" s="85"/>
    </row>
    <row r="460" customFormat="false" ht="12.7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85"/>
      <c r="K460" s="85"/>
      <c r="L460" s="85"/>
      <c r="M460" s="86"/>
      <c r="N460" s="87"/>
      <c r="O460" s="87"/>
      <c r="X460" s="86"/>
      <c r="Y460" s="85"/>
      <c r="Z460" s="85"/>
    </row>
    <row r="461" customFormat="false" ht="12.7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85"/>
      <c r="K461" s="85"/>
      <c r="L461" s="85"/>
      <c r="M461" s="86"/>
      <c r="N461" s="87"/>
      <c r="O461" s="87"/>
      <c r="X461" s="86"/>
      <c r="Y461" s="85"/>
      <c r="Z461" s="85"/>
    </row>
    <row r="462" customFormat="false" ht="12.7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85"/>
      <c r="K462" s="85"/>
      <c r="L462" s="85"/>
      <c r="M462" s="86"/>
      <c r="N462" s="87"/>
      <c r="O462" s="87"/>
      <c r="X462" s="86"/>
      <c r="Y462" s="85"/>
      <c r="Z462" s="85"/>
    </row>
    <row r="463" customFormat="false" ht="12.7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85"/>
      <c r="K463" s="85"/>
      <c r="L463" s="85"/>
      <c r="M463" s="86"/>
      <c r="N463" s="87"/>
      <c r="O463" s="87"/>
      <c r="X463" s="86"/>
      <c r="Y463" s="85"/>
      <c r="Z463" s="85"/>
    </row>
    <row r="464" customFormat="false" ht="12.7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85"/>
      <c r="K464" s="85"/>
      <c r="L464" s="85"/>
      <c r="M464" s="86"/>
      <c r="N464" s="87"/>
      <c r="O464" s="87"/>
      <c r="X464" s="86"/>
      <c r="Y464" s="85"/>
      <c r="Z464" s="85"/>
    </row>
    <row r="465" customFormat="false" ht="12.7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85"/>
      <c r="K465" s="85"/>
      <c r="L465" s="85"/>
      <c r="M465" s="86"/>
      <c r="N465" s="87"/>
      <c r="O465" s="87"/>
      <c r="X465" s="86"/>
      <c r="Y465" s="85"/>
      <c r="Z465" s="85"/>
    </row>
    <row r="466" customFormat="false" ht="12.7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85"/>
      <c r="K466" s="85"/>
      <c r="L466" s="85"/>
      <c r="M466" s="86"/>
      <c r="N466" s="87"/>
      <c r="O466" s="87"/>
      <c r="X466" s="86"/>
      <c r="Y466" s="85"/>
      <c r="Z466" s="85"/>
    </row>
    <row r="467" customFormat="false" ht="12.7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85"/>
      <c r="K467" s="85"/>
      <c r="L467" s="85"/>
      <c r="M467" s="86"/>
      <c r="N467" s="87"/>
      <c r="O467" s="87"/>
      <c r="X467" s="86"/>
      <c r="Y467" s="85"/>
      <c r="Z467" s="85"/>
    </row>
    <row r="468" customFormat="false" ht="12.7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85"/>
      <c r="K468" s="85"/>
      <c r="L468" s="85"/>
      <c r="M468" s="86"/>
      <c r="N468" s="87"/>
      <c r="O468" s="87"/>
      <c r="X468" s="86"/>
      <c r="Y468" s="85"/>
      <c r="Z468" s="85"/>
    </row>
    <row r="469" customFormat="false" ht="12.7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85"/>
      <c r="K469" s="85"/>
      <c r="L469" s="85"/>
      <c r="M469" s="86"/>
      <c r="N469" s="87"/>
      <c r="O469" s="87"/>
      <c r="X469" s="86"/>
      <c r="Y469" s="85"/>
      <c r="Z469" s="85"/>
    </row>
    <row r="470" customFormat="false" ht="12.7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85"/>
      <c r="K470" s="85"/>
      <c r="L470" s="85"/>
      <c r="M470" s="86"/>
      <c r="N470" s="87"/>
      <c r="O470" s="87"/>
      <c r="X470" s="86"/>
      <c r="Y470" s="85"/>
      <c r="Z470" s="85"/>
    </row>
    <row r="471" customFormat="false" ht="12.7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85"/>
      <c r="K471" s="85"/>
      <c r="L471" s="85"/>
      <c r="M471" s="86"/>
      <c r="N471" s="87"/>
      <c r="O471" s="87"/>
      <c r="X471" s="86"/>
      <c r="Y471" s="85"/>
      <c r="Z471" s="85"/>
    </row>
    <row r="472" customFormat="false" ht="12.7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85"/>
      <c r="K472" s="85"/>
      <c r="L472" s="85"/>
      <c r="M472" s="86"/>
      <c r="N472" s="87"/>
      <c r="O472" s="87"/>
      <c r="X472" s="86"/>
      <c r="Y472" s="85"/>
      <c r="Z472" s="85"/>
    </row>
    <row r="473" customFormat="false" ht="12.7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85"/>
      <c r="K473" s="85"/>
      <c r="L473" s="85"/>
      <c r="M473" s="86"/>
      <c r="N473" s="87"/>
      <c r="O473" s="87"/>
      <c r="X473" s="86"/>
      <c r="Y473" s="85"/>
      <c r="Z473" s="85"/>
    </row>
    <row r="474" customFormat="false" ht="12.7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85"/>
      <c r="K474" s="85"/>
      <c r="L474" s="85"/>
      <c r="M474" s="86"/>
      <c r="N474" s="87"/>
      <c r="O474" s="87"/>
      <c r="X474" s="86"/>
      <c r="Y474" s="85"/>
      <c r="Z474" s="85"/>
    </row>
    <row r="475" customFormat="false" ht="12.7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85"/>
      <c r="K475" s="85"/>
      <c r="L475" s="85"/>
      <c r="M475" s="86"/>
      <c r="N475" s="87"/>
      <c r="O475" s="87"/>
      <c r="X475" s="86"/>
      <c r="Y475" s="85"/>
      <c r="Z475" s="85"/>
    </row>
    <row r="476" customFormat="false" ht="12.7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85"/>
      <c r="K476" s="85"/>
      <c r="L476" s="85"/>
      <c r="M476" s="86"/>
      <c r="N476" s="87"/>
      <c r="O476" s="87"/>
      <c r="X476" s="86"/>
      <c r="Y476" s="85"/>
      <c r="Z476" s="85"/>
    </row>
    <row r="477" customFormat="false" ht="12.7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85"/>
      <c r="K477" s="85"/>
      <c r="L477" s="85"/>
      <c r="M477" s="86"/>
      <c r="N477" s="87"/>
      <c r="O477" s="87"/>
      <c r="X477" s="86"/>
      <c r="Y477" s="85"/>
      <c r="Z477" s="85"/>
    </row>
    <row r="478" customFormat="false" ht="12.7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85"/>
      <c r="K478" s="85"/>
      <c r="L478" s="85"/>
      <c r="M478" s="86"/>
      <c r="N478" s="87"/>
      <c r="O478" s="87"/>
      <c r="X478" s="86"/>
      <c r="Y478" s="85"/>
      <c r="Z478" s="85"/>
    </row>
    <row r="479" customFormat="false" ht="12.7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85"/>
      <c r="K479" s="85"/>
      <c r="L479" s="85"/>
      <c r="M479" s="86"/>
      <c r="N479" s="87"/>
      <c r="O479" s="87"/>
      <c r="X479" s="86"/>
      <c r="Y479" s="85"/>
      <c r="Z479" s="85"/>
    </row>
    <row r="480" customFormat="false" ht="12.7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85"/>
      <c r="K480" s="85"/>
      <c r="L480" s="85"/>
      <c r="M480" s="86"/>
      <c r="N480" s="87"/>
      <c r="O480" s="87"/>
      <c r="X480" s="86"/>
      <c r="Y480" s="85"/>
      <c r="Z480" s="85"/>
    </row>
    <row r="481" customFormat="false" ht="12.7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85"/>
      <c r="K481" s="85"/>
      <c r="L481" s="85"/>
      <c r="M481" s="86"/>
      <c r="N481" s="87"/>
      <c r="O481" s="87"/>
      <c r="X481" s="86"/>
      <c r="Y481" s="85"/>
      <c r="Z481" s="85"/>
    </row>
    <row r="482" customFormat="false" ht="12.7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85"/>
      <c r="K482" s="85"/>
      <c r="L482" s="85"/>
      <c r="M482" s="86"/>
      <c r="N482" s="87"/>
      <c r="O482" s="87"/>
      <c r="X482" s="86"/>
      <c r="Y482" s="85"/>
      <c r="Z482" s="85"/>
    </row>
    <row r="483" customFormat="false" ht="12.7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85"/>
      <c r="K483" s="85"/>
      <c r="L483" s="85"/>
      <c r="M483" s="86"/>
      <c r="N483" s="87"/>
      <c r="O483" s="87"/>
      <c r="X483" s="86"/>
      <c r="Y483" s="85"/>
      <c r="Z483" s="85"/>
    </row>
    <row r="484" customFormat="false" ht="12.7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85"/>
      <c r="K484" s="85"/>
      <c r="L484" s="85"/>
      <c r="M484" s="86"/>
      <c r="N484" s="87"/>
      <c r="O484" s="87"/>
      <c r="X484" s="86"/>
      <c r="Y484" s="85"/>
      <c r="Z484" s="85"/>
    </row>
    <row r="485" customFormat="false" ht="12.7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85"/>
      <c r="K485" s="85"/>
      <c r="L485" s="85"/>
      <c r="M485" s="86"/>
      <c r="N485" s="87"/>
      <c r="O485" s="87"/>
      <c r="X485" s="86"/>
      <c r="Y485" s="85"/>
      <c r="Z485" s="85"/>
    </row>
    <row r="486" customFormat="false" ht="12.7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85"/>
      <c r="K486" s="85"/>
      <c r="L486" s="85"/>
      <c r="M486" s="86"/>
      <c r="N486" s="87"/>
      <c r="O486" s="87"/>
      <c r="X486" s="86"/>
      <c r="Y486" s="85"/>
      <c r="Z486" s="85"/>
    </row>
    <row r="487" customFormat="false" ht="12.7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85"/>
      <c r="K487" s="85"/>
      <c r="L487" s="85"/>
      <c r="M487" s="86"/>
      <c r="N487" s="87"/>
      <c r="O487" s="87"/>
      <c r="X487" s="86"/>
      <c r="Y487" s="85"/>
      <c r="Z487" s="85"/>
    </row>
    <row r="488" customFormat="false" ht="12.7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85"/>
      <c r="K488" s="85"/>
      <c r="L488" s="85"/>
      <c r="M488" s="86"/>
      <c r="N488" s="87"/>
      <c r="O488" s="87"/>
      <c r="X488" s="86"/>
      <c r="Y488" s="85"/>
      <c r="Z488" s="85"/>
    </row>
    <row r="489" customFormat="false" ht="12.7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85"/>
      <c r="K489" s="85"/>
      <c r="L489" s="85"/>
      <c r="M489" s="86"/>
      <c r="N489" s="87"/>
      <c r="O489" s="87"/>
      <c r="X489" s="86"/>
      <c r="Y489" s="85"/>
      <c r="Z489" s="85"/>
    </row>
    <row r="490" customFormat="false" ht="12.7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85"/>
      <c r="K490" s="85"/>
      <c r="L490" s="85"/>
      <c r="M490" s="86"/>
      <c r="N490" s="87"/>
      <c r="O490" s="87"/>
      <c r="X490" s="86"/>
      <c r="Y490" s="85"/>
      <c r="Z490" s="85"/>
    </row>
    <row r="491" customFormat="false" ht="12.7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85"/>
      <c r="K491" s="85"/>
      <c r="L491" s="85"/>
      <c r="M491" s="86"/>
      <c r="N491" s="87"/>
      <c r="O491" s="87"/>
      <c r="X491" s="86"/>
      <c r="Y491" s="85"/>
      <c r="Z491" s="85"/>
    </row>
    <row r="492" customFormat="false" ht="12.7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85"/>
      <c r="K492" s="85"/>
      <c r="L492" s="85"/>
      <c r="M492" s="86"/>
      <c r="N492" s="87"/>
      <c r="O492" s="87"/>
      <c r="X492" s="86"/>
      <c r="Y492" s="85"/>
      <c r="Z492" s="85"/>
    </row>
    <row r="493" customFormat="false" ht="12.7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85"/>
      <c r="K493" s="85"/>
      <c r="L493" s="85"/>
      <c r="M493" s="86"/>
      <c r="N493" s="87"/>
      <c r="O493" s="87"/>
      <c r="X493" s="86"/>
      <c r="Y493" s="85"/>
      <c r="Z493" s="85"/>
    </row>
    <row r="494" customFormat="false" ht="12.7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85"/>
      <c r="K494" s="85"/>
      <c r="L494" s="85"/>
      <c r="M494" s="86"/>
      <c r="N494" s="87"/>
      <c r="O494" s="87"/>
      <c r="X494" s="86"/>
      <c r="Y494" s="85"/>
      <c r="Z494" s="85"/>
    </row>
    <row r="495" customFormat="false" ht="12.7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85"/>
      <c r="K495" s="85"/>
      <c r="L495" s="85"/>
      <c r="M495" s="86"/>
      <c r="N495" s="87"/>
      <c r="O495" s="87"/>
      <c r="X495" s="86"/>
      <c r="Y495" s="85"/>
      <c r="Z495" s="85"/>
    </row>
    <row r="496" customFormat="false" ht="12.7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85"/>
      <c r="K496" s="85"/>
      <c r="L496" s="85"/>
      <c r="M496" s="86"/>
      <c r="N496" s="87"/>
      <c r="O496" s="87"/>
      <c r="X496" s="86"/>
      <c r="Y496" s="85"/>
      <c r="Z496" s="85"/>
    </row>
    <row r="497" customFormat="false" ht="12.7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85"/>
      <c r="K497" s="85"/>
      <c r="L497" s="85"/>
      <c r="M497" s="86"/>
      <c r="N497" s="87"/>
      <c r="O497" s="87"/>
      <c r="X497" s="86"/>
      <c r="Y497" s="85"/>
      <c r="Z497" s="85"/>
    </row>
    <row r="498" customFormat="false" ht="12.7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85"/>
      <c r="K498" s="85"/>
      <c r="L498" s="85"/>
      <c r="M498" s="86"/>
      <c r="N498" s="87"/>
      <c r="O498" s="87"/>
      <c r="X498" s="86"/>
      <c r="Y498" s="85"/>
      <c r="Z498" s="85"/>
    </row>
    <row r="499" customFormat="false" ht="12.7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85"/>
      <c r="K499" s="85"/>
      <c r="L499" s="85"/>
      <c r="M499" s="86"/>
      <c r="N499" s="87"/>
      <c r="O499" s="87"/>
      <c r="X499" s="86"/>
      <c r="Y499" s="85"/>
      <c r="Z499" s="85"/>
    </row>
    <row r="500" customFormat="false" ht="12.7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85"/>
      <c r="K500" s="85"/>
      <c r="L500" s="85"/>
      <c r="M500" s="86"/>
      <c r="N500" s="87"/>
      <c r="O500" s="87"/>
      <c r="X500" s="86"/>
      <c r="Y500" s="85"/>
      <c r="Z500" s="85"/>
    </row>
    <row r="501" customFormat="false" ht="12.7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85"/>
      <c r="K501" s="85"/>
      <c r="L501" s="85"/>
      <c r="M501" s="86"/>
      <c r="N501" s="87"/>
      <c r="O501" s="87"/>
      <c r="X501" s="86"/>
      <c r="Y501" s="85"/>
      <c r="Z501" s="85"/>
    </row>
    <row r="502" customFormat="false" ht="12.7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85"/>
      <c r="K502" s="85"/>
      <c r="L502" s="85"/>
      <c r="M502" s="86"/>
      <c r="N502" s="87"/>
      <c r="O502" s="87"/>
      <c r="X502" s="86"/>
      <c r="Y502" s="85"/>
      <c r="Z502" s="85"/>
    </row>
    <row r="503" customFormat="false" ht="12.7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85"/>
      <c r="K503" s="85"/>
      <c r="L503" s="85"/>
      <c r="M503" s="86"/>
      <c r="N503" s="87"/>
      <c r="O503" s="87"/>
      <c r="X503" s="86"/>
      <c r="Y503" s="85"/>
      <c r="Z503" s="85"/>
    </row>
    <row r="504" customFormat="false" ht="12.7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85"/>
      <c r="K504" s="85"/>
      <c r="L504" s="85"/>
      <c r="M504" s="86"/>
      <c r="N504" s="87"/>
      <c r="O504" s="87"/>
      <c r="X504" s="86"/>
      <c r="Y504" s="85"/>
      <c r="Z504" s="85"/>
    </row>
    <row r="505" customFormat="false" ht="12.7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85"/>
      <c r="K505" s="85"/>
      <c r="L505" s="85"/>
      <c r="M505" s="86"/>
      <c r="N505" s="87"/>
      <c r="O505" s="87"/>
      <c r="X505" s="86"/>
      <c r="Y505" s="85"/>
      <c r="Z505" s="85"/>
    </row>
    <row r="506" customFormat="false" ht="12.75" hidden="false" customHeight="true" outlineLevel="0" collapsed="false">
      <c r="A506" s="85"/>
      <c r="B506" s="85"/>
      <c r="C506" s="85"/>
      <c r="D506" s="85"/>
      <c r="E506" s="85"/>
      <c r="F506" s="85"/>
      <c r="G506" s="85"/>
      <c r="H506" s="85"/>
      <c r="I506" s="85"/>
      <c r="K506" s="85"/>
      <c r="L506" s="85"/>
      <c r="M506" s="86"/>
      <c r="N506" s="87"/>
      <c r="O506" s="87"/>
      <c r="X506" s="86"/>
      <c r="Y506" s="85"/>
      <c r="Z506" s="85"/>
    </row>
    <row r="507" customFormat="false" ht="12.75" hidden="false" customHeight="true" outlineLevel="0" collapsed="false">
      <c r="A507" s="85"/>
      <c r="B507" s="85"/>
      <c r="C507" s="85"/>
      <c r="D507" s="85"/>
      <c r="E507" s="85"/>
      <c r="F507" s="85"/>
      <c r="G507" s="85"/>
      <c r="H507" s="85"/>
      <c r="I507" s="85"/>
      <c r="K507" s="85"/>
      <c r="L507" s="85"/>
      <c r="M507" s="86"/>
      <c r="N507" s="87"/>
      <c r="O507" s="87"/>
      <c r="X507" s="86"/>
      <c r="Y507" s="85"/>
      <c r="Z507" s="85"/>
    </row>
    <row r="508" customFormat="false" ht="12.75" hidden="false" customHeight="true" outlineLevel="0" collapsed="false">
      <c r="A508" s="85"/>
      <c r="B508" s="85"/>
      <c r="C508" s="85"/>
      <c r="D508" s="85"/>
      <c r="E508" s="85"/>
      <c r="F508" s="85"/>
      <c r="G508" s="85"/>
      <c r="H508" s="85"/>
      <c r="I508" s="85"/>
      <c r="K508" s="85"/>
      <c r="L508" s="85"/>
      <c r="M508" s="86"/>
      <c r="N508" s="87"/>
      <c r="O508" s="87"/>
      <c r="X508" s="86"/>
      <c r="Y508" s="85"/>
      <c r="Z508" s="85"/>
    </row>
    <row r="509" customFormat="false" ht="12.75" hidden="false" customHeight="true" outlineLevel="0" collapsed="false">
      <c r="A509" s="85"/>
      <c r="B509" s="85"/>
      <c r="C509" s="85"/>
      <c r="D509" s="85"/>
      <c r="E509" s="85"/>
      <c r="F509" s="85"/>
      <c r="G509" s="85"/>
      <c r="H509" s="85"/>
      <c r="I509" s="85"/>
      <c r="K509" s="85"/>
      <c r="L509" s="85"/>
      <c r="M509" s="86"/>
      <c r="N509" s="87"/>
      <c r="O509" s="87"/>
      <c r="X509" s="86"/>
      <c r="Y509" s="85"/>
      <c r="Z509" s="85"/>
    </row>
    <row r="510" customFormat="false" ht="12.75" hidden="false" customHeight="true" outlineLevel="0" collapsed="false">
      <c r="A510" s="85"/>
      <c r="B510" s="85"/>
      <c r="C510" s="85"/>
      <c r="D510" s="85"/>
      <c r="E510" s="85"/>
      <c r="F510" s="85"/>
      <c r="G510" s="85"/>
      <c r="H510" s="85"/>
      <c r="I510" s="85"/>
      <c r="K510" s="85"/>
      <c r="L510" s="85"/>
      <c r="M510" s="86"/>
      <c r="N510" s="87"/>
      <c r="O510" s="87"/>
      <c r="X510" s="86"/>
      <c r="Y510" s="85"/>
      <c r="Z510" s="85"/>
    </row>
    <row r="511" customFormat="false" ht="12.75" hidden="false" customHeight="true" outlineLevel="0" collapsed="false">
      <c r="A511" s="85"/>
      <c r="B511" s="85"/>
      <c r="C511" s="85"/>
      <c r="D511" s="85"/>
      <c r="E511" s="85"/>
      <c r="F511" s="85"/>
      <c r="G511" s="85"/>
      <c r="H511" s="85"/>
      <c r="I511" s="85"/>
      <c r="K511" s="85"/>
      <c r="L511" s="85"/>
      <c r="M511" s="86"/>
      <c r="N511" s="87"/>
      <c r="O511" s="87"/>
      <c r="X511" s="86"/>
      <c r="Y511" s="85"/>
      <c r="Z511" s="85"/>
    </row>
    <row r="512" customFormat="false" ht="12.75" hidden="false" customHeight="true" outlineLevel="0" collapsed="false">
      <c r="A512" s="85"/>
      <c r="B512" s="85"/>
      <c r="C512" s="85"/>
      <c r="D512" s="85"/>
      <c r="E512" s="85"/>
      <c r="F512" s="85"/>
      <c r="G512" s="85"/>
      <c r="H512" s="85"/>
      <c r="I512" s="85"/>
      <c r="K512" s="85"/>
      <c r="L512" s="85"/>
      <c r="M512" s="86"/>
      <c r="N512" s="87"/>
      <c r="O512" s="87"/>
      <c r="X512" s="86"/>
      <c r="Y512" s="85"/>
      <c r="Z512" s="85"/>
    </row>
    <row r="513" customFormat="false" ht="12.75" hidden="false" customHeight="true" outlineLevel="0" collapsed="false">
      <c r="A513" s="85"/>
      <c r="B513" s="85"/>
      <c r="C513" s="85"/>
      <c r="D513" s="85"/>
      <c r="E513" s="85"/>
      <c r="F513" s="85"/>
      <c r="G513" s="85"/>
      <c r="H513" s="85"/>
      <c r="I513" s="85"/>
      <c r="K513" s="85"/>
      <c r="L513" s="85"/>
      <c r="M513" s="86"/>
      <c r="N513" s="87"/>
      <c r="O513" s="87"/>
      <c r="X513" s="86"/>
      <c r="Y513" s="85"/>
      <c r="Z513" s="85"/>
    </row>
    <row r="514" customFormat="false" ht="12.75" hidden="false" customHeight="true" outlineLevel="0" collapsed="false">
      <c r="A514" s="85"/>
      <c r="B514" s="85"/>
      <c r="C514" s="85"/>
      <c r="D514" s="85"/>
      <c r="E514" s="85"/>
      <c r="F514" s="85"/>
      <c r="G514" s="85"/>
      <c r="H514" s="85"/>
      <c r="I514" s="85"/>
      <c r="K514" s="85"/>
      <c r="L514" s="85"/>
      <c r="M514" s="86"/>
      <c r="N514" s="87"/>
      <c r="O514" s="87"/>
      <c r="X514" s="86"/>
      <c r="Y514" s="85"/>
      <c r="Z514" s="85"/>
    </row>
    <row r="515" customFormat="false" ht="12.75" hidden="false" customHeight="true" outlineLevel="0" collapsed="false">
      <c r="A515" s="85"/>
      <c r="B515" s="85"/>
      <c r="C515" s="85"/>
      <c r="D515" s="85"/>
      <c r="E515" s="85"/>
      <c r="F515" s="85"/>
      <c r="G515" s="85"/>
      <c r="H515" s="85"/>
      <c r="I515" s="85"/>
      <c r="K515" s="85"/>
      <c r="L515" s="85"/>
      <c r="M515" s="86"/>
      <c r="N515" s="87"/>
      <c r="O515" s="87"/>
      <c r="X515" s="86"/>
      <c r="Y515" s="85"/>
      <c r="Z515" s="85"/>
    </row>
    <row r="516" customFormat="false" ht="12.75" hidden="false" customHeight="true" outlineLevel="0" collapsed="false">
      <c r="A516" s="85"/>
      <c r="B516" s="85"/>
      <c r="C516" s="85"/>
      <c r="D516" s="85"/>
      <c r="E516" s="85"/>
      <c r="F516" s="85"/>
      <c r="G516" s="85"/>
      <c r="H516" s="85"/>
      <c r="I516" s="85"/>
      <c r="K516" s="85"/>
      <c r="L516" s="85"/>
      <c r="M516" s="86"/>
      <c r="N516" s="87"/>
      <c r="O516" s="87"/>
      <c r="X516" s="86"/>
      <c r="Y516" s="85"/>
      <c r="Z516" s="85"/>
    </row>
    <row r="517" customFormat="false" ht="12.75" hidden="false" customHeight="true" outlineLevel="0" collapsed="false">
      <c r="A517" s="85"/>
      <c r="B517" s="85"/>
      <c r="C517" s="85"/>
      <c r="D517" s="85"/>
      <c r="E517" s="85"/>
      <c r="F517" s="85"/>
      <c r="G517" s="85"/>
      <c r="H517" s="85"/>
      <c r="I517" s="85"/>
      <c r="K517" s="85"/>
      <c r="L517" s="85"/>
      <c r="M517" s="86"/>
      <c r="N517" s="87"/>
      <c r="O517" s="87"/>
      <c r="X517" s="86"/>
      <c r="Y517" s="85"/>
      <c r="Z517" s="85"/>
    </row>
    <row r="518" customFormat="false" ht="12.75" hidden="false" customHeight="true" outlineLevel="0" collapsed="false">
      <c r="A518" s="85"/>
      <c r="B518" s="85"/>
      <c r="C518" s="85"/>
      <c r="D518" s="85"/>
      <c r="E518" s="85"/>
      <c r="F518" s="85"/>
      <c r="G518" s="85"/>
      <c r="H518" s="85"/>
      <c r="I518" s="85"/>
      <c r="K518" s="85"/>
      <c r="L518" s="85"/>
      <c r="M518" s="86"/>
      <c r="N518" s="87"/>
      <c r="O518" s="87"/>
      <c r="X518" s="86"/>
      <c r="Y518" s="85"/>
      <c r="Z518" s="85"/>
    </row>
    <row r="519" customFormat="false" ht="12.75" hidden="false" customHeight="true" outlineLevel="0" collapsed="false">
      <c r="A519" s="85"/>
      <c r="B519" s="85"/>
      <c r="C519" s="85"/>
      <c r="D519" s="85"/>
      <c r="E519" s="85"/>
      <c r="F519" s="85"/>
      <c r="G519" s="85"/>
      <c r="H519" s="85"/>
      <c r="I519" s="85"/>
      <c r="K519" s="85"/>
      <c r="L519" s="85"/>
      <c r="M519" s="86"/>
      <c r="N519" s="87"/>
      <c r="O519" s="87"/>
      <c r="X519" s="86"/>
      <c r="Y519" s="85"/>
      <c r="Z519" s="85"/>
    </row>
    <row r="520" customFormat="false" ht="12.75" hidden="false" customHeight="true" outlineLevel="0" collapsed="false">
      <c r="A520" s="85"/>
      <c r="B520" s="85"/>
      <c r="C520" s="85"/>
      <c r="D520" s="85"/>
      <c r="E520" s="85"/>
      <c r="F520" s="85"/>
      <c r="G520" s="85"/>
      <c r="H520" s="85"/>
      <c r="I520" s="85"/>
      <c r="K520" s="85"/>
      <c r="L520" s="85"/>
      <c r="M520" s="86"/>
      <c r="N520" s="87"/>
      <c r="O520" s="87"/>
      <c r="X520" s="86"/>
      <c r="Y520" s="85"/>
      <c r="Z520" s="85"/>
    </row>
    <row r="521" customFormat="false" ht="12.75" hidden="false" customHeight="true" outlineLevel="0" collapsed="false">
      <c r="A521" s="85"/>
      <c r="B521" s="85"/>
      <c r="C521" s="85"/>
      <c r="D521" s="85"/>
      <c r="E521" s="85"/>
      <c r="F521" s="85"/>
      <c r="G521" s="85"/>
      <c r="H521" s="85"/>
      <c r="I521" s="85"/>
      <c r="K521" s="85"/>
      <c r="L521" s="85"/>
      <c r="M521" s="86"/>
      <c r="N521" s="87"/>
      <c r="O521" s="87"/>
      <c r="X521" s="86"/>
      <c r="Y521" s="85"/>
      <c r="Z521" s="85"/>
    </row>
    <row r="522" customFormat="false" ht="12.75" hidden="false" customHeight="true" outlineLevel="0" collapsed="false">
      <c r="A522" s="85"/>
      <c r="B522" s="85"/>
      <c r="C522" s="85"/>
      <c r="D522" s="85"/>
      <c r="E522" s="85"/>
      <c r="F522" s="85"/>
      <c r="G522" s="85"/>
      <c r="H522" s="85"/>
      <c r="I522" s="85"/>
      <c r="K522" s="85"/>
      <c r="L522" s="85"/>
      <c r="M522" s="86"/>
      <c r="N522" s="87"/>
      <c r="O522" s="87"/>
      <c r="X522" s="86"/>
      <c r="Y522" s="85"/>
      <c r="Z522" s="85"/>
    </row>
    <row r="523" customFormat="false" ht="12.75" hidden="false" customHeight="true" outlineLevel="0" collapsed="false">
      <c r="A523" s="85"/>
      <c r="B523" s="85"/>
      <c r="C523" s="85"/>
      <c r="D523" s="85"/>
      <c r="E523" s="85"/>
      <c r="F523" s="85"/>
      <c r="G523" s="85"/>
      <c r="H523" s="85"/>
      <c r="I523" s="85"/>
      <c r="K523" s="85"/>
      <c r="L523" s="85"/>
      <c r="M523" s="86"/>
      <c r="N523" s="87"/>
      <c r="O523" s="87"/>
      <c r="X523" s="86"/>
      <c r="Y523" s="85"/>
      <c r="Z523" s="85"/>
    </row>
    <row r="524" customFormat="false" ht="12.75" hidden="false" customHeight="true" outlineLevel="0" collapsed="false">
      <c r="A524" s="85"/>
      <c r="B524" s="85"/>
      <c r="C524" s="85"/>
      <c r="D524" s="85"/>
      <c r="E524" s="85"/>
      <c r="F524" s="85"/>
      <c r="G524" s="85"/>
      <c r="H524" s="85"/>
      <c r="I524" s="85"/>
      <c r="K524" s="85"/>
      <c r="L524" s="85"/>
      <c r="M524" s="86"/>
      <c r="N524" s="87"/>
      <c r="O524" s="87"/>
      <c r="X524" s="86"/>
      <c r="Y524" s="85"/>
      <c r="Z524" s="85"/>
    </row>
    <row r="525" customFormat="false" ht="12.75" hidden="false" customHeight="true" outlineLevel="0" collapsed="false">
      <c r="A525" s="85"/>
      <c r="B525" s="85"/>
      <c r="C525" s="85"/>
      <c r="D525" s="85"/>
      <c r="E525" s="85"/>
      <c r="F525" s="85"/>
      <c r="G525" s="85"/>
      <c r="H525" s="85"/>
      <c r="I525" s="85"/>
      <c r="K525" s="85"/>
      <c r="L525" s="85"/>
      <c r="M525" s="86"/>
      <c r="N525" s="87"/>
      <c r="O525" s="87"/>
      <c r="X525" s="86"/>
      <c r="Y525" s="85"/>
      <c r="Z525" s="85"/>
    </row>
    <row r="526" customFormat="false" ht="12.75" hidden="false" customHeight="true" outlineLevel="0" collapsed="false">
      <c r="A526" s="85"/>
      <c r="B526" s="85"/>
      <c r="C526" s="85"/>
      <c r="D526" s="85"/>
      <c r="E526" s="85"/>
      <c r="F526" s="85"/>
      <c r="G526" s="85"/>
      <c r="H526" s="85"/>
      <c r="I526" s="85"/>
      <c r="K526" s="85"/>
      <c r="L526" s="85"/>
      <c r="M526" s="86"/>
      <c r="N526" s="87"/>
      <c r="O526" s="87"/>
      <c r="X526" s="86"/>
      <c r="Y526" s="85"/>
      <c r="Z526" s="85"/>
    </row>
    <row r="527" customFormat="false" ht="12.75" hidden="false" customHeight="true" outlineLevel="0" collapsed="false">
      <c r="A527" s="85"/>
      <c r="B527" s="85"/>
      <c r="C527" s="85"/>
      <c r="D527" s="85"/>
      <c r="E527" s="85"/>
      <c r="F527" s="85"/>
      <c r="G527" s="85"/>
      <c r="H527" s="85"/>
      <c r="I527" s="85"/>
      <c r="K527" s="85"/>
      <c r="L527" s="85"/>
      <c r="M527" s="86"/>
      <c r="N527" s="87"/>
      <c r="O527" s="87"/>
      <c r="X527" s="86"/>
      <c r="Y527" s="85"/>
      <c r="Z527" s="85"/>
    </row>
    <row r="528" customFormat="false" ht="12.75" hidden="false" customHeight="true" outlineLevel="0" collapsed="false">
      <c r="A528" s="85"/>
      <c r="B528" s="85"/>
      <c r="C528" s="85"/>
      <c r="D528" s="85"/>
      <c r="E528" s="85"/>
      <c r="F528" s="85"/>
      <c r="G528" s="85"/>
      <c r="H528" s="85"/>
      <c r="I528" s="85"/>
      <c r="K528" s="85"/>
      <c r="L528" s="85"/>
      <c r="M528" s="86"/>
      <c r="N528" s="87"/>
      <c r="O528" s="87"/>
      <c r="X528" s="86"/>
      <c r="Y528" s="85"/>
      <c r="Z528" s="85"/>
    </row>
    <row r="529" customFormat="false" ht="12.75" hidden="false" customHeight="true" outlineLevel="0" collapsed="false">
      <c r="A529" s="85"/>
      <c r="B529" s="85"/>
      <c r="C529" s="85"/>
      <c r="D529" s="85"/>
      <c r="E529" s="85"/>
      <c r="F529" s="85"/>
      <c r="G529" s="85"/>
      <c r="H529" s="85"/>
      <c r="I529" s="85"/>
      <c r="K529" s="85"/>
      <c r="L529" s="85"/>
      <c r="M529" s="86"/>
      <c r="N529" s="87"/>
      <c r="O529" s="87"/>
      <c r="X529" s="86"/>
      <c r="Y529" s="85"/>
      <c r="Z529" s="85"/>
    </row>
    <row r="530" customFormat="false" ht="12.75" hidden="false" customHeight="true" outlineLevel="0" collapsed="false">
      <c r="A530" s="85"/>
      <c r="B530" s="85"/>
      <c r="C530" s="85"/>
      <c r="D530" s="85"/>
      <c r="E530" s="85"/>
      <c r="F530" s="85"/>
      <c r="G530" s="85"/>
      <c r="H530" s="85"/>
      <c r="I530" s="85"/>
      <c r="K530" s="85"/>
      <c r="L530" s="85"/>
      <c r="M530" s="86"/>
      <c r="N530" s="87"/>
      <c r="O530" s="87"/>
      <c r="X530" s="86"/>
      <c r="Y530" s="85"/>
      <c r="Z530" s="85"/>
    </row>
    <row r="531" customFormat="false" ht="12.75" hidden="false" customHeight="true" outlineLevel="0" collapsed="false">
      <c r="A531" s="85"/>
      <c r="B531" s="85"/>
      <c r="C531" s="85"/>
      <c r="D531" s="85"/>
      <c r="E531" s="85"/>
      <c r="F531" s="85"/>
      <c r="G531" s="85"/>
      <c r="H531" s="85"/>
      <c r="I531" s="85"/>
      <c r="K531" s="85"/>
      <c r="L531" s="85"/>
      <c r="M531" s="86"/>
      <c r="N531" s="87"/>
      <c r="O531" s="87"/>
      <c r="X531" s="86"/>
      <c r="Y531" s="85"/>
      <c r="Z531" s="85"/>
    </row>
    <row r="532" customFormat="false" ht="12.75" hidden="false" customHeight="true" outlineLevel="0" collapsed="false">
      <c r="A532" s="85"/>
      <c r="B532" s="85"/>
      <c r="C532" s="85"/>
      <c r="D532" s="85"/>
      <c r="E532" s="85"/>
      <c r="F532" s="85"/>
      <c r="G532" s="85"/>
      <c r="H532" s="85"/>
      <c r="I532" s="85"/>
      <c r="K532" s="85"/>
      <c r="L532" s="85"/>
      <c r="M532" s="86"/>
      <c r="N532" s="87"/>
      <c r="O532" s="87"/>
      <c r="X532" s="86"/>
      <c r="Y532" s="85"/>
      <c r="Z532" s="85"/>
    </row>
    <row r="533" customFormat="false" ht="12.75" hidden="false" customHeight="true" outlineLevel="0" collapsed="false">
      <c r="A533" s="85"/>
      <c r="B533" s="85"/>
      <c r="C533" s="85"/>
      <c r="D533" s="85"/>
      <c r="E533" s="85"/>
      <c r="F533" s="85"/>
      <c r="G533" s="85"/>
      <c r="H533" s="85"/>
      <c r="I533" s="85"/>
      <c r="K533" s="85"/>
      <c r="L533" s="85"/>
      <c r="M533" s="86"/>
      <c r="N533" s="87"/>
      <c r="O533" s="87"/>
      <c r="X533" s="86"/>
      <c r="Y533" s="85"/>
      <c r="Z533" s="85"/>
    </row>
    <row r="534" customFormat="false" ht="12.75" hidden="false" customHeight="true" outlineLevel="0" collapsed="false">
      <c r="A534" s="85"/>
      <c r="B534" s="85"/>
      <c r="C534" s="85"/>
      <c r="D534" s="85"/>
      <c r="E534" s="85"/>
      <c r="F534" s="85"/>
      <c r="G534" s="85"/>
      <c r="H534" s="85"/>
      <c r="I534" s="85"/>
      <c r="K534" s="85"/>
      <c r="L534" s="85"/>
      <c r="M534" s="86"/>
      <c r="N534" s="87"/>
      <c r="O534" s="87"/>
      <c r="X534" s="86"/>
      <c r="Y534" s="85"/>
      <c r="Z534" s="85"/>
    </row>
    <row r="535" customFormat="false" ht="12.75" hidden="false" customHeight="true" outlineLevel="0" collapsed="false">
      <c r="A535" s="85"/>
      <c r="B535" s="85"/>
      <c r="C535" s="85"/>
      <c r="D535" s="85"/>
      <c r="E535" s="85"/>
      <c r="F535" s="85"/>
      <c r="G535" s="85"/>
      <c r="H535" s="85"/>
      <c r="I535" s="85"/>
      <c r="K535" s="85"/>
      <c r="L535" s="85"/>
      <c r="M535" s="86"/>
      <c r="N535" s="87"/>
      <c r="O535" s="87"/>
      <c r="X535" s="86"/>
      <c r="Y535" s="85"/>
      <c r="Z535" s="85"/>
    </row>
    <row r="536" customFormat="false" ht="12.75" hidden="false" customHeight="true" outlineLevel="0" collapsed="false">
      <c r="A536" s="85"/>
      <c r="B536" s="85"/>
      <c r="C536" s="85"/>
      <c r="D536" s="85"/>
      <c r="E536" s="85"/>
      <c r="F536" s="85"/>
      <c r="G536" s="85"/>
      <c r="H536" s="85"/>
      <c r="I536" s="85"/>
      <c r="K536" s="85"/>
      <c r="L536" s="85"/>
      <c r="M536" s="86"/>
      <c r="N536" s="87"/>
      <c r="O536" s="87"/>
      <c r="X536" s="86"/>
      <c r="Y536" s="85"/>
      <c r="Z536" s="85"/>
    </row>
    <row r="537" customFormat="false" ht="12.75" hidden="false" customHeight="true" outlineLevel="0" collapsed="false">
      <c r="A537" s="85"/>
      <c r="B537" s="85"/>
      <c r="C537" s="85"/>
      <c r="D537" s="85"/>
      <c r="E537" s="85"/>
      <c r="F537" s="85"/>
      <c r="G537" s="85"/>
      <c r="H537" s="85"/>
      <c r="I537" s="85"/>
      <c r="K537" s="85"/>
      <c r="L537" s="85"/>
      <c r="M537" s="86"/>
      <c r="N537" s="87"/>
      <c r="O537" s="87"/>
      <c r="X537" s="86"/>
      <c r="Y537" s="85"/>
      <c r="Z537" s="85"/>
    </row>
    <row r="538" customFormat="false" ht="12.75" hidden="false" customHeight="true" outlineLevel="0" collapsed="false">
      <c r="A538" s="85"/>
      <c r="B538" s="85"/>
      <c r="C538" s="85"/>
      <c r="D538" s="85"/>
      <c r="E538" s="85"/>
      <c r="F538" s="85"/>
      <c r="G538" s="85"/>
      <c r="H538" s="85"/>
      <c r="I538" s="85"/>
      <c r="K538" s="85"/>
      <c r="L538" s="85"/>
      <c r="M538" s="86"/>
      <c r="N538" s="87"/>
      <c r="O538" s="87"/>
      <c r="X538" s="86"/>
      <c r="Y538" s="85"/>
      <c r="Z538" s="85"/>
    </row>
    <row r="539" customFormat="false" ht="12.75" hidden="false" customHeight="true" outlineLevel="0" collapsed="false">
      <c r="A539" s="85"/>
      <c r="B539" s="85"/>
      <c r="C539" s="85"/>
      <c r="D539" s="85"/>
      <c r="E539" s="85"/>
      <c r="F539" s="85"/>
      <c r="G539" s="85"/>
      <c r="H539" s="85"/>
      <c r="I539" s="85"/>
      <c r="K539" s="85"/>
      <c r="L539" s="85"/>
      <c r="M539" s="86"/>
      <c r="N539" s="87"/>
      <c r="O539" s="87"/>
      <c r="X539" s="86"/>
      <c r="Y539" s="85"/>
      <c r="Z539" s="85"/>
    </row>
    <row r="540" customFormat="false" ht="12.75" hidden="false" customHeight="true" outlineLevel="0" collapsed="false">
      <c r="A540" s="85"/>
      <c r="B540" s="85"/>
      <c r="C540" s="85"/>
      <c r="D540" s="85"/>
      <c r="E540" s="85"/>
      <c r="F540" s="85"/>
      <c r="G540" s="85"/>
      <c r="H540" s="85"/>
      <c r="I540" s="85"/>
      <c r="K540" s="85"/>
      <c r="L540" s="85"/>
      <c r="M540" s="86"/>
      <c r="N540" s="87"/>
      <c r="O540" s="87"/>
      <c r="X540" s="86"/>
      <c r="Y540" s="85"/>
      <c r="Z540" s="85"/>
    </row>
    <row r="541" customFormat="false" ht="12.75" hidden="false" customHeight="true" outlineLevel="0" collapsed="false">
      <c r="A541" s="85"/>
      <c r="B541" s="85"/>
      <c r="C541" s="85"/>
      <c r="D541" s="85"/>
      <c r="E541" s="85"/>
      <c r="F541" s="85"/>
      <c r="G541" s="85"/>
      <c r="H541" s="85"/>
      <c r="I541" s="85"/>
      <c r="K541" s="85"/>
      <c r="L541" s="85"/>
      <c r="M541" s="86"/>
      <c r="N541" s="87"/>
      <c r="O541" s="87"/>
      <c r="X541" s="86"/>
      <c r="Y541" s="85"/>
      <c r="Z541" s="85"/>
    </row>
    <row r="542" customFormat="false" ht="12.75" hidden="false" customHeight="true" outlineLevel="0" collapsed="false">
      <c r="A542" s="85"/>
      <c r="B542" s="85"/>
      <c r="C542" s="85"/>
      <c r="D542" s="85"/>
      <c r="E542" s="85"/>
      <c r="F542" s="85"/>
      <c r="G542" s="85"/>
      <c r="H542" s="85"/>
      <c r="I542" s="85"/>
      <c r="K542" s="85"/>
      <c r="L542" s="85"/>
      <c r="M542" s="86"/>
      <c r="N542" s="87"/>
      <c r="O542" s="87"/>
      <c r="X542" s="86"/>
      <c r="Y542" s="85"/>
      <c r="Z542" s="85"/>
    </row>
    <row r="543" customFormat="false" ht="12.75" hidden="false" customHeight="true" outlineLevel="0" collapsed="false">
      <c r="A543" s="85"/>
      <c r="B543" s="85"/>
      <c r="C543" s="85"/>
      <c r="D543" s="85"/>
      <c r="E543" s="85"/>
      <c r="F543" s="85"/>
      <c r="G543" s="85"/>
      <c r="H543" s="85"/>
      <c r="I543" s="85"/>
      <c r="K543" s="85"/>
      <c r="L543" s="85"/>
      <c r="M543" s="86"/>
      <c r="N543" s="87"/>
      <c r="O543" s="87"/>
      <c r="X543" s="86"/>
      <c r="Y543" s="85"/>
      <c r="Z543" s="85"/>
    </row>
    <row r="544" customFormat="false" ht="12.75" hidden="false" customHeight="true" outlineLevel="0" collapsed="false">
      <c r="A544" s="85"/>
      <c r="B544" s="85"/>
      <c r="C544" s="85"/>
      <c r="D544" s="85"/>
      <c r="E544" s="85"/>
      <c r="F544" s="85"/>
      <c r="G544" s="85"/>
      <c r="H544" s="85"/>
      <c r="I544" s="85"/>
      <c r="K544" s="85"/>
      <c r="L544" s="85"/>
      <c r="M544" s="86"/>
      <c r="N544" s="87"/>
      <c r="O544" s="87"/>
      <c r="X544" s="86"/>
      <c r="Y544" s="85"/>
      <c r="Z544" s="85"/>
    </row>
    <row r="545" customFormat="false" ht="12.75" hidden="false" customHeight="true" outlineLevel="0" collapsed="false">
      <c r="A545" s="85"/>
      <c r="B545" s="85"/>
      <c r="C545" s="85"/>
      <c r="D545" s="85"/>
      <c r="E545" s="85"/>
      <c r="F545" s="85"/>
      <c r="G545" s="85"/>
      <c r="H545" s="85"/>
      <c r="I545" s="85"/>
      <c r="K545" s="85"/>
      <c r="L545" s="85"/>
      <c r="M545" s="86"/>
      <c r="N545" s="87"/>
      <c r="O545" s="87"/>
      <c r="X545" s="86"/>
      <c r="Y545" s="85"/>
      <c r="Z545" s="85"/>
    </row>
    <row r="546" customFormat="false" ht="12.75" hidden="false" customHeight="true" outlineLevel="0" collapsed="false">
      <c r="A546" s="85"/>
      <c r="B546" s="85"/>
      <c r="C546" s="85"/>
      <c r="D546" s="85"/>
      <c r="E546" s="85"/>
      <c r="F546" s="85"/>
      <c r="G546" s="85"/>
      <c r="H546" s="85"/>
      <c r="I546" s="85"/>
      <c r="K546" s="85"/>
      <c r="L546" s="85"/>
      <c r="M546" s="86"/>
      <c r="N546" s="87"/>
      <c r="O546" s="87"/>
      <c r="X546" s="86"/>
      <c r="Y546" s="85"/>
      <c r="Z546" s="85"/>
    </row>
    <row r="547" customFormat="false" ht="12.75" hidden="false" customHeight="true" outlineLevel="0" collapsed="false">
      <c r="A547" s="85"/>
      <c r="B547" s="85"/>
      <c r="C547" s="85"/>
      <c r="D547" s="85"/>
      <c r="E547" s="85"/>
      <c r="F547" s="85"/>
      <c r="G547" s="85"/>
      <c r="H547" s="85"/>
      <c r="I547" s="85"/>
      <c r="K547" s="85"/>
      <c r="L547" s="85"/>
      <c r="M547" s="86"/>
      <c r="N547" s="87"/>
      <c r="O547" s="87"/>
      <c r="X547" s="86"/>
      <c r="Y547" s="85"/>
      <c r="Z547" s="85"/>
    </row>
    <row r="548" customFormat="false" ht="12.75" hidden="false" customHeight="true" outlineLevel="0" collapsed="false">
      <c r="A548" s="85"/>
      <c r="B548" s="85"/>
      <c r="C548" s="85"/>
      <c r="D548" s="85"/>
      <c r="E548" s="85"/>
      <c r="F548" s="85"/>
      <c r="G548" s="85"/>
      <c r="H548" s="85"/>
      <c r="I548" s="85"/>
      <c r="K548" s="85"/>
      <c r="L548" s="85"/>
      <c r="M548" s="86"/>
      <c r="N548" s="87"/>
      <c r="O548" s="87"/>
      <c r="X548" s="86"/>
      <c r="Y548" s="85"/>
      <c r="Z548" s="85"/>
    </row>
    <row r="549" customFormat="false" ht="12.75" hidden="false" customHeight="true" outlineLevel="0" collapsed="false">
      <c r="A549" s="85"/>
      <c r="B549" s="85"/>
      <c r="C549" s="85"/>
      <c r="D549" s="85"/>
      <c r="E549" s="85"/>
      <c r="F549" s="85"/>
      <c r="G549" s="85"/>
      <c r="H549" s="85"/>
      <c r="I549" s="85"/>
      <c r="K549" s="85"/>
      <c r="L549" s="85"/>
      <c r="M549" s="86"/>
      <c r="N549" s="87"/>
      <c r="O549" s="87"/>
      <c r="X549" s="86"/>
      <c r="Y549" s="85"/>
      <c r="Z549" s="85"/>
    </row>
    <row r="550" customFormat="false" ht="12.75" hidden="false" customHeight="true" outlineLevel="0" collapsed="false">
      <c r="A550" s="85"/>
      <c r="B550" s="85"/>
      <c r="C550" s="85"/>
      <c r="D550" s="85"/>
      <c r="E550" s="85"/>
      <c r="F550" s="85"/>
      <c r="G550" s="85"/>
      <c r="H550" s="85"/>
      <c r="I550" s="85"/>
      <c r="K550" s="85"/>
      <c r="L550" s="85"/>
      <c r="M550" s="86"/>
      <c r="N550" s="87"/>
      <c r="O550" s="87"/>
      <c r="X550" s="86"/>
      <c r="Y550" s="85"/>
      <c r="Z550" s="85"/>
    </row>
    <row r="551" customFormat="false" ht="12.75" hidden="false" customHeight="true" outlineLevel="0" collapsed="false">
      <c r="A551" s="85"/>
      <c r="B551" s="85"/>
      <c r="C551" s="85"/>
      <c r="D551" s="85"/>
      <c r="E551" s="85"/>
      <c r="F551" s="85"/>
      <c r="G551" s="85"/>
      <c r="H551" s="85"/>
      <c r="I551" s="85"/>
      <c r="K551" s="85"/>
      <c r="L551" s="85"/>
      <c r="M551" s="86"/>
      <c r="N551" s="87"/>
      <c r="O551" s="87"/>
      <c r="X551" s="86"/>
      <c r="Y551" s="85"/>
      <c r="Z551" s="85"/>
    </row>
    <row r="552" customFormat="false" ht="12.75" hidden="false" customHeight="true" outlineLevel="0" collapsed="false">
      <c r="A552" s="85"/>
      <c r="B552" s="85"/>
      <c r="C552" s="85"/>
      <c r="D552" s="85"/>
      <c r="E552" s="85"/>
      <c r="F552" s="85"/>
      <c r="G552" s="85"/>
      <c r="H552" s="85"/>
      <c r="I552" s="85"/>
      <c r="K552" s="85"/>
      <c r="L552" s="85"/>
      <c r="M552" s="86"/>
      <c r="N552" s="87"/>
      <c r="O552" s="87"/>
      <c r="X552" s="86"/>
      <c r="Y552" s="85"/>
      <c r="Z552" s="85"/>
    </row>
    <row r="553" customFormat="false" ht="12.75" hidden="false" customHeight="true" outlineLevel="0" collapsed="false">
      <c r="A553" s="85"/>
      <c r="B553" s="85"/>
      <c r="C553" s="85"/>
      <c r="D553" s="85"/>
      <c r="E553" s="85"/>
      <c r="F553" s="85"/>
      <c r="G553" s="85"/>
      <c r="H553" s="85"/>
      <c r="I553" s="85"/>
      <c r="K553" s="85"/>
      <c r="L553" s="85"/>
      <c r="M553" s="86"/>
      <c r="N553" s="87"/>
      <c r="O553" s="87"/>
      <c r="X553" s="86"/>
      <c r="Y553" s="85"/>
      <c r="Z553" s="85"/>
    </row>
    <row r="554" customFormat="false" ht="12.75" hidden="false" customHeight="true" outlineLevel="0" collapsed="false">
      <c r="A554" s="85"/>
      <c r="B554" s="85"/>
      <c r="C554" s="85"/>
      <c r="D554" s="85"/>
      <c r="E554" s="85"/>
      <c r="F554" s="85"/>
      <c r="G554" s="85"/>
      <c r="H554" s="85"/>
      <c r="I554" s="85"/>
      <c r="K554" s="85"/>
      <c r="L554" s="85"/>
      <c r="M554" s="86"/>
      <c r="N554" s="87"/>
      <c r="O554" s="87"/>
      <c r="X554" s="86"/>
      <c r="Y554" s="85"/>
      <c r="Z554" s="85"/>
    </row>
    <row r="555" customFormat="false" ht="12.75" hidden="false" customHeight="true" outlineLevel="0" collapsed="false">
      <c r="A555" s="85"/>
      <c r="B555" s="85"/>
      <c r="C555" s="85"/>
      <c r="D555" s="85"/>
      <c r="E555" s="85"/>
      <c r="F555" s="85"/>
      <c r="G555" s="85"/>
      <c r="H555" s="85"/>
      <c r="I555" s="85"/>
      <c r="K555" s="85"/>
      <c r="L555" s="85"/>
      <c r="M555" s="86"/>
      <c r="N555" s="87"/>
      <c r="O555" s="87"/>
      <c r="X555" s="86"/>
      <c r="Y555" s="85"/>
      <c r="Z555" s="85"/>
    </row>
    <row r="556" customFormat="false" ht="12.75" hidden="false" customHeight="true" outlineLevel="0" collapsed="false">
      <c r="A556" s="85"/>
      <c r="B556" s="85"/>
      <c r="C556" s="85"/>
      <c r="D556" s="85"/>
      <c r="E556" s="85"/>
      <c r="F556" s="85"/>
      <c r="G556" s="85"/>
      <c r="H556" s="85"/>
      <c r="I556" s="85"/>
      <c r="K556" s="85"/>
      <c r="L556" s="85"/>
      <c r="M556" s="86"/>
      <c r="N556" s="87"/>
      <c r="O556" s="87"/>
      <c r="X556" s="86"/>
      <c r="Y556" s="85"/>
      <c r="Z556" s="85"/>
    </row>
    <row r="557" customFormat="false" ht="12.75" hidden="false" customHeight="true" outlineLevel="0" collapsed="false">
      <c r="A557" s="85"/>
      <c r="B557" s="85"/>
      <c r="C557" s="85"/>
      <c r="D557" s="85"/>
      <c r="E557" s="85"/>
      <c r="F557" s="85"/>
      <c r="G557" s="85"/>
      <c r="H557" s="85"/>
      <c r="I557" s="85"/>
      <c r="K557" s="85"/>
      <c r="L557" s="85"/>
      <c r="M557" s="86"/>
      <c r="N557" s="87"/>
      <c r="O557" s="87"/>
      <c r="X557" s="86"/>
      <c r="Y557" s="85"/>
      <c r="Z557" s="85"/>
    </row>
    <row r="558" customFormat="false" ht="12.75" hidden="false" customHeight="true" outlineLevel="0" collapsed="false">
      <c r="A558" s="85"/>
      <c r="B558" s="85"/>
      <c r="C558" s="85"/>
      <c r="D558" s="85"/>
      <c r="E558" s="85"/>
      <c r="F558" s="85"/>
      <c r="G558" s="85"/>
      <c r="H558" s="85"/>
      <c r="I558" s="85"/>
      <c r="K558" s="85"/>
      <c r="L558" s="85"/>
      <c r="M558" s="86"/>
      <c r="N558" s="87"/>
      <c r="O558" s="87"/>
      <c r="X558" s="86"/>
      <c r="Y558" s="85"/>
      <c r="Z558" s="85"/>
    </row>
    <row r="559" customFormat="false" ht="12.75" hidden="false" customHeight="true" outlineLevel="0" collapsed="false">
      <c r="A559" s="85"/>
      <c r="B559" s="85"/>
      <c r="C559" s="85"/>
      <c r="D559" s="85"/>
      <c r="E559" s="85"/>
      <c r="F559" s="85"/>
      <c r="G559" s="85"/>
      <c r="H559" s="85"/>
      <c r="I559" s="85"/>
      <c r="K559" s="85"/>
      <c r="L559" s="85"/>
      <c r="M559" s="86"/>
      <c r="N559" s="87"/>
      <c r="O559" s="87"/>
      <c r="X559" s="86"/>
      <c r="Y559" s="85"/>
      <c r="Z559" s="85"/>
    </row>
    <row r="560" customFormat="false" ht="12.75" hidden="false" customHeight="true" outlineLevel="0" collapsed="false">
      <c r="A560" s="85"/>
      <c r="B560" s="85"/>
      <c r="C560" s="85"/>
      <c r="D560" s="85"/>
      <c r="E560" s="85"/>
      <c r="F560" s="85"/>
      <c r="G560" s="85"/>
      <c r="H560" s="85"/>
      <c r="I560" s="85"/>
      <c r="K560" s="85"/>
      <c r="L560" s="85"/>
      <c r="M560" s="86"/>
      <c r="N560" s="87"/>
      <c r="O560" s="87"/>
      <c r="X560" s="86"/>
      <c r="Y560" s="85"/>
      <c r="Z560" s="85"/>
    </row>
    <row r="561" customFormat="false" ht="12.75" hidden="false" customHeight="true" outlineLevel="0" collapsed="false">
      <c r="A561" s="85"/>
      <c r="B561" s="85"/>
      <c r="C561" s="85"/>
      <c r="D561" s="85"/>
      <c r="E561" s="85"/>
      <c r="F561" s="85"/>
      <c r="G561" s="85"/>
      <c r="H561" s="85"/>
      <c r="I561" s="85"/>
      <c r="K561" s="85"/>
      <c r="L561" s="85"/>
      <c r="M561" s="86"/>
      <c r="N561" s="87"/>
      <c r="O561" s="87"/>
      <c r="X561" s="86"/>
      <c r="Y561" s="85"/>
      <c r="Z561" s="85"/>
    </row>
    <row r="562" customFormat="false" ht="12.75" hidden="false" customHeight="true" outlineLevel="0" collapsed="false">
      <c r="A562" s="85"/>
      <c r="B562" s="85"/>
      <c r="C562" s="85"/>
      <c r="D562" s="85"/>
      <c r="E562" s="85"/>
      <c r="F562" s="85"/>
      <c r="G562" s="85"/>
      <c r="H562" s="85"/>
      <c r="I562" s="85"/>
      <c r="K562" s="85"/>
      <c r="L562" s="85"/>
      <c r="M562" s="86"/>
      <c r="N562" s="87"/>
      <c r="O562" s="87"/>
      <c r="X562" s="86"/>
      <c r="Y562" s="85"/>
      <c r="Z562" s="85"/>
    </row>
    <row r="563" customFormat="false" ht="12.75" hidden="false" customHeight="true" outlineLevel="0" collapsed="false">
      <c r="A563" s="85"/>
      <c r="B563" s="85"/>
      <c r="C563" s="85"/>
      <c r="D563" s="85"/>
      <c r="E563" s="85"/>
      <c r="F563" s="85"/>
      <c r="G563" s="85"/>
      <c r="H563" s="85"/>
      <c r="I563" s="85"/>
      <c r="K563" s="85"/>
      <c r="L563" s="85"/>
      <c r="M563" s="86"/>
      <c r="N563" s="87"/>
      <c r="O563" s="87"/>
      <c r="X563" s="86"/>
      <c r="Y563" s="85"/>
      <c r="Z563" s="85"/>
    </row>
    <row r="564" customFormat="false" ht="12.75" hidden="false" customHeight="true" outlineLevel="0" collapsed="false">
      <c r="A564" s="85"/>
      <c r="B564" s="85"/>
      <c r="C564" s="85"/>
      <c r="D564" s="85"/>
      <c r="E564" s="85"/>
      <c r="F564" s="85"/>
      <c r="G564" s="85"/>
      <c r="H564" s="85"/>
      <c r="I564" s="85"/>
      <c r="K564" s="85"/>
      <c r="L564" s="85"/>
      <c r="M564" s="86"/>
      <c r="N564" s="87"/>
      <c r="O564" s="87"/>
      <c r="X564" s="86"/>
      <c r="Y564" s="85"/>
      <c r="Z564" s="85"/>
    </row>
    <row r="565" customFormat="false" ht="12.75" hidden="false" customHeight="true" outlineLevel="0" collapsed="false">
      <c r="A565" s="85"/>
      <c r="B565" s="85"/>
      <c r="C565" s="85"/>
      <c r="D565" s="85"/>
      <c r="E565" s="85"/>
      <c r="F565" s="85"/>
      <c r="G565" s="85"/>
      <c r="H565" s="85"/>
      <c r="I565" s="85"/>
      <c r="K565" s="85"/>
      <c r="L565" s="85"/>
      <c r="M565" s="86"/>
      <c r="N565" s="87"/>
      <c r="O565" s="87"/>
      <c r="X565" s="86"/>
      <c r="Y565" s="85"/>
      <c r="Z565" s="85"/>
    </row>
    <row r="566" customFormat="false" ht="12.75" hidden="false" customHeight="true" outlineLevel="0" collapsed="false">
      <c r="A566" s="85"/>
      <c r="B566" s="85"/>
      <c r="C566" s="85"/>
      <c r="D566" s="85"/>
      <c r="E566" s="85"/>
      <c r="F566" s="85"/>
      <c r="G566" s="85"/>
      <c r="H566" s="85"/>
      <c r="I566" s="85"/>
      <c r="K566" s="85"/>
      <c r="L566" s="85"/>
      <c r="M566" s="86"/>
      <c r="N566" s="87"/>
      <c r="O566" s="87"/>
      <c r="X566" s="86"/>
      <c r="Y566" s="85"/>
      <c r="Z566" s="85"/>
    </row>
    <row r="567" customFormat="false" ht="12.75" hidden="false" customHeight="true" outlineLevel="0" collapsed="false">
      <c r="A567" s="85"/>
      <c r="B567" s="85"/>
      <c r="C567" s="85"/>
      <c r="D567" s="85"/>
      <c r="E567" s="85"/>
      <c r="F567" s="85"/>
      <c r="G567" s="85"/>
      <c r="H567" s="85"/>
      <c r="I567" s="85"/>
      <c r="K567" s="85"/>
      <c r="L567" s="85"/>
      <c r="M567" s="86"/>
      <c r="N567" s="87"/>
      <c r="O567" s="87"/>
      <c r="X567" s="86"/>
      <c r="Y567" s="85"/>
      <c r="Z567" s="85"/>
    </row>
    <row r="568" customFormat="false" ht="12.75" hidden="false" customHeight="true" outlineLevel="0" collapsed="false">
      <c r="A568" s="85"/>
      <c r="B568" s="85"/>
      <c r="C568" s="85"/>
      <c r="D568" s="85"/>
      <c r="E568" s="85"/>
      <c r="F568" s="85"/>
      <c r="G568" s="85"/>
      <c r="H568" s="85"/>
      <c r="I568" s="85"/>
      <c r="K568" s="85"/>
      <c r="L568" s="85"/>
      <c r="M568" s="86"/>
      <c r="N568" s="87"/>
      <c r="O568" s="87"/>
      <c r="X568" s="86"/>
      <c r="Y568" s="85"/>
      <c r="Z568" s="85"/>
    </row>
    <row r="569" customFormat="false" ht="12.75" hidden="false" customHeight="true" outlineLevel="0" collapsed="false">
      <c r="A569" s="85"/>
      <c r="B569" s="85"/>
      <c r="C569" s="85"/>
      <c r="D569" s="85"/>
      <c r="E569" s="85"/>
      <c r="F569" s="85"/>
      <c r="G569" s="85"/>
      <c r="H569" s="85"/>
      <c r="I569" s="85"/>
      <c r="K569" s="85"/>
      <c r="L569" s="85"/>
      <c r="M569" s="86"/>
      <c r="N569" s="87"/>
      <c r="O569" s="87"/>
      <c r="X569" s="86"/>
      <c r="Y569" s="85"/>
      <c r="Z569" s="85"/>
    </row>
    <row r="570" customFormat="false" ht="12.75" hidden="false" customHeight="true" outlineLevel="0" collapsed="false">
      <c r="A570" s="85"/>
      <c r="B570" s="85"/>
      <c r="C570" s="85"/>
      <c r="D570" s="85"/>
      <c r="E570" s="85"/>
      <c r="F570" s="85"/>
      <c r="G570" s="85"/>
      <c r="H570" s="85"/>
      <c r="I570" s="85"/>
      <c r="K570" s="85"/>
      <c r="L570" s="85"/>
      <c r="M570" s="86"/>
      <c r="N570" s="87"/>
      <c r="O570" s="87"/>
      <c r="X570" s="86"/>
      <c r="Y570" s="85"/>
      <c r="Z570" s="85"/>
    </row>
    <row r="571" customFormat="false" ht="12.75" hidden="false" customHeight="true" outlineLevel="0" collapsed="false">
      <c r="A571" s="85"/>
      <c r="B571" s="85"/>
      <c r="C571" s="85"/>
      <c r="D571" s="85"/>
      <c r="E571" s="85"/>
      <c r="F571" s="85"/>
      <c r="G571" s="85"/>
      <c r="H571" s="85"/>
      <c r="I571" s="85"/>
      <c r="K571" s="85"/>
      <c r="L571" s="85"/>
      <c r="M571" s="86"/>
      <c r="N571" s="87"/>
      <c r="O571" s="87"/>
      <c r="X571" s="86"/>
      <c r="Y571" s="85"/>
      <c r="Z571" s="85"/>
    </row>
    <row r="572" customFormat="false" ht="12.75" hidden="false" customHeight="true" outlineLevel="0" collapsed="false">
      <c r="A572" s="85"/>
      <c r="B572" s="85"/>
      <c r="C572" s="85"/>
      <c r="D572" s="85"/>
      <c r="E572" s="85"/>
      <c r="F572" s="85"/>
      <c r="G572" s="85"/>
      <c r="H572" s="85"/>
      <c r="I572" s="85"/>
      <c r="K572" s="85"/>
      <c r="L572" s="85"/>
      <c r="M572" s="86"/>
      <c r="N572" s="87"/>
      <c r="O572" s="87"/>
      <c r="X572" s="86"/>
      <c r="Y572" s="85"/>
      <c r="Z572" s="85"/>
    </row>
    <row r="573" customFormat="false" ht="12.75" hidden="false" customHeight="true" outlineLevel="0" collapsed="false">
      <c r="A573" s="85"/>
      <c r="B573" s="85"/>
      <c r="C573" s="85"/>
      <c r="D573" s="85"/>
      <c r="E573" s="85"/>
      <c r="F573" s="85"/>
      <c r="G573" s="85"/>
      <c r="H573" s="85"/>
      <c r="I573" s="85"/>
      <c r="K573" s="85"/>
      <c r="L573" s="85"/>
      <c r="M573" s="86"/>
      <c r="N573" s="87"/>
      <c r="O573" s="87"/>
      <c r="X573" s="86"/>
      <c r="Y573" s="85"/>
      <c r="Z573" s="85"/>
    </row>
    <row r="574" customFormat="false" ht="12.75" hidden="false" customHeight="true" outlineLevel="0" collapsed="false">
      <c r="A574" s="85"/>
      <c r="B574" s="85"/>
      <c r="C574" s="85"/>
      <c r="D574" s="85"/>
      <c r="E574" s="85"/>
      <c r="F574" s="85"/>
      <c r="G574" s="85"/>
      <c r="H574" s="85"/>
      <c r="I574" s="85"/>
      <c r="K574" s="85"/>
      <c r="L574" s="85"/>
      <c r="M574" s="86"/>
      <c r="N574" s="87"/>
      <c r="O574" s="87"/>
      <c r="X574" s="86"/>
      <c r="Y574" s="85"/>
      <c r="Z574" s="85"/>
    </row>
    <row r="575" customFormat="false" ht="12.75" hidden="false" customHeight="true" outlineLevel="0" collapsed="false">
      <c r="A575" s="85"/>
      <c r="B575" s="85"/>
      <c r="C575" s="85"/>
      <c r="D575" s="85"/>
      <c r="E575" s="85"/>
      <c r="F575" s="85"/>
      <c r="G575" s="85"/>
      <c r="H575" s="85"/>
      <c r="I575" s="85"/>
      <c r="K575" s="85"/>
      <c r="L575" s="85"/>
      <c r="M575" s="86"/>
      <c r="N575" s="87"/>
      <c r="O575" s="87"/>
      <c r="X575" s="86"/>
      <c r="Y575" s="85"/>
      <c r="Z575" s="85"/>
    </row>
    <row r="576" customFormat="false" ht="12.75" hidden="false" customHeight="true" outlineLevel="0" collapsed="false">
      <c r="A576" s="85"/>
      <c r="B576" s="85"/>
      <c r="C576" s="85"/>
      <c r="D576" s="85"/>
      <c r="E576" s="85"/>
      <c r="F576" s="85"/>
      <c r="G576" s="85"/>
      <c r="H576" s="85"/>
      <c r="I576" s="85"/>
      <c r="K576" s="85"/>
      <c r="L576" s="85"/>
      <c r="M576" s="86"/>
      <c r="N576" s="87"/>
      <c r="O576" s="87"/>
      <c r="X576" s="86"/>
      <c r="Y576" s="85"/>
      <c r="Z576" s="85"/>
    </row>
    <row r="577" customFormat="false" ht="12.75" hidden="false" customHeight="true" outlineLevel="0" collapsed="false">
      <c r="A577" s="85"/>
      <c r="B577" s="85"/>
      <c r="C577" s="85"/>
      <c r="D577" s="85"/>
      <c r="E577" s="85"/>
      <c r="F577" s="85"/>
      <c r="G577" s="85"/>
      <c r="H577" s="85"/>
      <c r="I577" s="85"/>
      <c r="K577" s="85"/>
      <c r="L577" s="85"/>
      <c r="M577" s="86"/>
      <c r="N577" s="87"/>
      <c r="O577" s="87"/>
      <c r="X577" s="86"/>
      <c r="Y577" s="85"/>
      <c r="Z577" s="85"/>
    </row>
    <row r="578" customFormat="false" ht="12.75" hidden="false" customHeight="true" outlineLevel="0" collapsed="false">
      <c r="A578" s="85"/>
      <c r="B578" s="85"/>
      <c r="C578" s="85"/>
      <c r="D578" s="85"/>
      <c r="E578" s="85"/>
      <c r="F578" s="85"/>
      <c r="G578" s="85"/>
      <c r="H578" s="85"/>
      <c r="I578" s="85"/>
      <c r="K578" s="85"/>
      <c r="L578" s="85"/>
      <c r="M578" s="86"/>
      <c r="N578" s="87"/>
      <c r="O578" s="87"/>
      <c r="X578" s="86"/>
      <c r="Y578" s="85"/>
      <c r="Z578" s="85"/>
    </row>
    <row r="579" customFormat="false" ht="12.75" hidden="false" customHeight="true" outlineLevel="0" collapsed="false">
      <c r="A579" s="85"/>
      <c r="B579" s="85"/>
      <c r="C579" s="85"/>
      <c r="D579" s="85"/>
      <c r="E579" s="85"/>
      <c r="F579" s="85"/>
      <c r="G579" s="85"/>
      <c r="H579" s="85"/>
      <c r="I579" s="85"/>
      <c r="K579" s="85"/>
      <c r="L579" s="85"/>
      <c r="M579" s="86"/>
      <c r="N579" s="87"/>
      <c r="O579" s="87"/>
      <c r="X579" s="86"/>
      <c r="Y579" s="85"/>
      <c r="Z579" s="85"/>
    </row>
    <row r="580" customFormat="false" ht="12.75" hidden="false" customHeight="true" outlineLevel="0" collapsed="false">
      <c r="A580" s="85"/>
      <c r="B580" s="85"/>
      <c r="C580" s="85"/>
      <c r="D580" s="85"/>
      <c r="E580" s="85"/>
      <c r="F580" s="85"/>
      <c r="G580" s="85"/>
      <c r="H580" s="85"/>
      <c r="I580" s="85"/>
      <c r="K580" s="85"/>
      <c r="L580" s="85"/>
      <c r="M580" s="86"/>
      <c r="N580" s="87"/>
      <c r="O580" s="87"/>
      <c r="X580" s="86"/>
      <c r="Y580" s="85"/>
      <c r="Z580" s="85"/>
    </row>
    <row r="581" customFormat="false" ht="12.75" hidden="false" customHeight="true" outlineLevel="0" collapsed="false">
      <c r="A581" s="85"/>
      <c r="B581" s="85"/>
      <c r="C581" s="85"/>
      <c r="D581" s="85"/>
      <c r="E581" s="85"/>
      <c r="F581" s="85"/>
      <c r="G581" s="85"/>
      <c r="H581" s="85"/>
      <c r="I581" s="85"/>
      <c r="K581" s="85"/>
      <c r="L581" s="85"/>
      <c r="M581" s="86"/>
      <c r="N581" s="87"/>
      <c r="O581" s="87"/>
      <c r="X581" s="86"/>
      <c r="Y581" s="85"/>
      <c r="Z581" s="85"/>
    </row>
    <row r="582" customFormat="false" ht="12.75" hidden="false" customHeight="true" outlineLevel="0" collapsed="false">
      <c r="A582" s="85"/>
      <c r="B582" s="85"/>
      <c r="C582" s="85"/>
      <c r="D582" s="85"/>
      <c r="E582" s="85"/>
      <c r="F582" s="85"/>
      <c r="G582" s="85"/>
      <c r="H582" s="85"/>
      <c r="I582" s="85"/>
      <c r="K582" s="85"/>
      <c r="L582" s="85"/>
      <c r="M582" s="86"/>
      <c r="N582" s="87"/>
      <c r="O582" s="87"/>
      <c r="X582" s="86"/>
      <c r="Y582" s="85"/>
      <c r="Z582" s="85"/>
    </row>
    <row r="583" customFormat="false" ht="12.75" hidden="false" customHeight="true" outlineLevel="0" collapsed="false">
      <c r="A583" s="85"/>
      <c r="B583" s="85"/>
      <c r="C583" s="85"/>
      <c r="D583" s="85"/>
      <c r="E583" s="85"/>
      <c r="F583" s="85"/>
      <c r="G583" s="85"/>
      <c r="H583" s="85"/>
      <c r="I583" s="85"/>
      <c r="K583" s="85"/>
      <c r="L583" s="85"/>
      <c r="M583" s="86"/>
      <c r="N583" s="87"/>
      <c r="O583" s="87"/>
      <c r="X583" s="86"/>
      <c r="Y583" s="85"/>
      <c r="Z583" s="85"/>
    </row>
    <row r="584" customFormat="false" ht="12.75" hidden="false" customHeight="true" outlineLevel="0" collapsed="false">
      <c r="A584" s="85"/>
      <c r="B584" s="85"/>
      <c r="C584" s="85"/>
      <c r="D584" s="85"/>
      <c r="E584" s="85"/>
      <c r="F584" s="85"/>
      <c r="G584" s="85"/>
      <c r="H584" s="85"/>
      <c r="I584" s="85"/>
      <c r="K584" s="85"/>
      <c r="L584" s="85"/>
      <c r="M584" s="86"/>
      <c r="N584" s="87"/>
      <c r="O584" s="87"/>
      <c r="X584" s="86"/>
      <c r="Y584" s="85"/>
      <c r="Z584" s="85"/>
    </row>
    <row r="585" customFormat="false" ht="12.75" hidden="false" customHeight="true" outlineLevel="0" collapsed="false">
      <c r="A585" s="85"/>
      <c r="B585" s="85"/>
      <c r="C585" s="85"/>
      <c r="D585" s="85"/>
      <c r="E585" s="85"/>
      <c r="F585" s="85"/>
      <c r="G585" s="85"/>
      <c r="H585" s="85"/>
      <c r="I585" s="85"/>
      <c r="K585" s="85"/>
      <c r="L585" s="85"/>
      <c r="M585" s="86"/>
      <c r="N585" s="87"/>
      <c r="O585" s="87"/>
      <c r="X585" s="86"/>
      <c r="Y585" s="85"/>
      <c r="Z585" s="85"/>
    </row>
    <row r="586" customFormat="false" ht="12.75" hidden="false" customHeight="true" outlineLevel="0" collapsed="false">
      <c r="A586" s="85"/>
      <c r="B586" s="85"/>
      <c r="C586" s="85"/>
      <c r="D586" s="85"/>
      <c r="E586" s="85"/>
      <c r="F586" s="85"/>
      <c r="G586" s="85"/>
      <c r="H586" s="85"/>
      <c r="I586" s="85"/>
      <c r="K586" s="85"/>
      <c r="L586" s="85"/>
      <c r="M586" s="86"/>
      <c r="N586" s="87"/>
      <c r="O586" s="87"/>
      <c r="X586" s="86"/>
      <c r="Y586" s="85"/>
      <c r="Z586" s="85"/>
    </row>
    <row r="587" customFormat="false" ht="12.75" hidden="false" customHeight="true" outlineLevel="0" collapsed="false">
      <c r="A587" s="85"/>
      <c r="B587" s="85"/>
      <c r="C587" s="85"/>
      <c r="D587" s="85"/>
      <c r="E587" s="85"/>
      <c r="F587" s="85"/>
      <c r="G587" s="85"/>
      <c r="H587" s="85"/>
      <c r="I587" s="85"/>
      <c r="K587" s="85"/>
      <c r="L587" s="85"/>
      <c r="M587" s="86"/>
      <c r="N587" s="87"/>
      <c r="O587" s="87"/>
      <c r="X587" s="86"/>
      <c r="Y587" s="85"/>
      <c r="Z587" s="85"/>
    </row>
    <row r="588" customFormat="false" ht="12.75" hidden="false" customHeight="true" outlineLevel="0" collapsed="false">
      <c r="A588" s="85"/>
      <c r="B588" s="85"/>
      <c r="C588" s="85"/>
      <c r="D588" s="85"/>
      <c r="E588" s="85"/>
      <c r="F588" s="85"/>
      <c r="G588" s="85"/>
      <c r="H588" s="85"/>
      <c r="I588" s="85"/>
      <c r="K588" s="85"/>
      <c r="L588" s="85"/>
      <c r="M588" s="86"/>
      <c r="N588" s="87"/>
      <c r="O588" s="87"/>
      <c r="X588" s="86"/>
      <c r="Y588" s="85"/>
      <c r="Z588" s="85"/>
    </row>
    <row r="589" customFormat="false" ht="12.75" hidden="false" customHeight="true" outlineLevel="0" collapsed="false">
      <c r="A589" s="85"/>
      <c r="B589" s="85"/>
      <c r="C589" s="85"/>
      <c r="D589" s="85"/>
      <c r="E589" s="85"/>
      <c r="F589" s="85"/>
      <c r="G589" s="85"/>
      <c r="H589" s="85"/>
      <c r="I589" s="85"/>
      <c r="K589" s="85"/>
      <c r="L589" s="85"/>
      <c r="M589" s="86"/>
      <c r="N589" s="87"/>
      <c r="O589" s="87"/>
      <c r="X589" s="86"/>
      <c r="Y589" s="85"/>
      <c r="Z589" s="85"/>
    </row>
    <row r="590" customFormat="false" ht="12.75" hidden="false" customHeight="true" outlineLevel="0" collapsed="false">
      <c r="A590" s="85"/>
      <c r="B590" s="85"/>
      <c r="C590" s="85"/>
      <c r="D590" s="85"/>
      <c r="E590" s="85"/>
      <c r="F590" s="85"/>
      <c r="G590" s="85"/>
      <c r="H590" s="85"/>
      <c r="I590" s="85"/>
      <c r="K590" s="85"/>
      <c r="L590" s="85"/>
      <c r="M590" s="86"/>
      <c r="N590" s="87"/>
      <c r="O590" s="87"/>
      <c r="X590" s="86"/>
      <c r="Y590" s="85"/>
      <c r="Z590" s="85"/>
    </row>
    <row r="591" customFormat="false" ht="12.75" hidden="false" customHeight="true" outlineLevel="0" collapsed="false">
      <c r="A591" s="85"/>
      <c r="B591" s="85"/>
      <c r="C591" s="85"/>
      <c r="D591" s="85"/>
      <c r="E591" s="85"/>
      <c r="F591" s="85"/>
      <c r="G591" s="85"/>
      <c r="H591" s="85"/>
      <c r="I591" s="85"/>
      <c r="K591" s="85"/>
      <c r="L591" s="85"/>
      <c r="M591" s="86"/>
      <c r="N591" s="87"/>
      <c r="O591" s="87"/>
      <c r="X591" s="86"/>
      <c r="Y591" s="85"/>
      <c r="Z591" s="85"/>
    </row>
    <row r="592" customFormat="false" ht="12.75" hidden="false" customHeight="true" outlineLevel="0" collapsed="false">
      <c r="A592" s="85"/>
      <c r="B592" s="85"/>
      <c r="C592" s="85"/>
      <c r="D592" s="85"/>
      <c r="E592" s="85"/>
      <c r="F592" s="85"/>
      <c r="G592" s="85"/>
      <c r="H592" s="85"/>
      <c r="I592" s="85"/>
      <c r="K592" s="85"/>
      <c r="L592" s="85"/>
      <c r="M592" s="86"/>
      <c r="N592" s="87"/>
      <c r="O592" s="87"/>
      <c r="X592" s="86"/>
      <c r="Y592" s="85"/>
      <c r="Z592" s="85"/>
    </row>
    <row r="593" customFormat="false" ht="12.75" hidden="false" customHeight="true" outlineLevel="0" collapsed="false">
      <c r="A593" s="85"/>
      <c r="B593" s="85"/>
      <c r="C593" s="85"/>
      <c r="D593" s="85"/>
      <c r="E593" s="85"/>
      <c r="F593" s="85"/>
      <c r="G593" s="85"/>
      <c r="H593" s="85"/>
      <c r="I593" s="85"/>
      <c r="K593" s="85"/>
      <c r="L593" s="85"/>
      <c r="M593" s="86"/>
      <c r="N593" s="87"/>
      <c r="O593" s="87"/>
      <c r="X593" s="86"/>
      <c r="Y593" s="85"/>
      <c r="Z593" s="85"/>
    </row>
    <row r="594" customFormat="false" ht="12.75" hidden="false" customHeight="true" outlineLevel="0" collapsed="false">
      <c r="A594" s="85"/>
      <c r="B594" s="85"/>
      <c r="C594" s="85"/>
      <c r="D594" s="85"/>
      <c r="E594" s="85"/>
      <c r="F594" s="85"/>
      <c r="G594" s="85"/>
      <c r="H594" s="85"/>
      <c r="I594" s="85"/>
      <c r="K594" s="85"/>
      <c r="L594" s="85"/>
      <c r="M594" s="86"/>
      <c r="N594" s="87"/>
      <c r="O594" s="87"/>
      <c r="X594" s="86"/>
      <c r="Y594" s="85"/>
      <c r="Z594" s="85"/>
    </row>
    <row r="595" customFormat="false" ht="12.75" hidden="false" customHeight="true" outlineLevel="0" collapsed="false">
      <c r="A595" s="85"/>
      <c r="B595" s="85"/>
      <c r="C595" s="85"/>
      <c r="D595" s="85"/>
      <c r="E595" s="85"/>
      <c r="F595" s="85"/>
      <c r="G595" s="85"/>
      <c r="H595" s="85"/>
      <c r="I595" s="85"/>
      <c r="K595" s="85"/>
      <c r="L595" s="85"/>
      <c r="M595" s="86"/>
      <c r="N595" s="87"/>
      <c r="O595" s="87"/>
      <c r="X595" s="86"/>
      <c r="Y595" s="85"/>
      <c r="Z595" s="85"/>
    </row>
    <row r="596" customFormat="false" ht="12.75" hidden="false" customHeight="true" outlineLevel="0" collapsed="false">
      <c r="A596" s="85"/>
      <c r="B596" s="85"/>
      <c r="C596" s="85"/>
      <c r="D596" s="85"/>
      <c r="E596" s="85"/>
      <c r="F596" s="85"/>
      <c r="G596" s="85"/>
      <c r="H596" s="85"/>
      <c r="I596" s="85"/>
      <c r="K596" s="85"/>
      <c r="L596" s="85"/>
      <c r="M596" s="86"/>
      <c r="N596" s="87"/>
      <c r="O596" s="87"/>
      <c r="X596" s="86"/>
      <c r="Y596" s="85"/>
      <c r="Z596" s="85"/>
    </row>
    <row r="597" customFormat="false" ht="12.75" hidden="false" customHeight="true" outlineLevel="0" collapsed="false">
      <c r="A597" s="85"/>
      <c r="B597" s="85"/>
      <c r="C597" s="85"/>
      <c r="D597" s="85"/>
      <c r="E597" s="85"/>
      <c r="F597" s="85"/>
      <c r="G597" s="85"/>
      <c r="H597" s="85"/>
      <c r="I597" s="85"/>
      <c r="K597" s="85"/>
      <c r="L597" s="85"/>
      <c r="M597" s="86"/>
      <c r="N597" s="87"/>
      <c r="O597" s="87"/>
      <c r="X597" s="86"/>
      <c r="Y597" s="85"/>
      <c r="Z597" s="85"/>
    </row>
    <row r="598" customFormat="false" ht="12.75" hidden="false" customHeight="true" outlineLevel="0" collapsed="false">
      <c r="A598" s="85"/>
      <c r="B598" s="85"/>
      <c r="C598" s="85"/>
      <c r="D598" s="85"/>
      <c r="E598" s="85"/>
      <c r="F598" s="85"/>
      <c r="G598" s="85"/>
      <c r="H598" s="85"/>
      <c r="I598" s="85"/>
      <c r="K598" s="85"/>
      <c r="L598" s="85"/>
      <c r="M598" s="86"/>
      <c r="N598" s="87"/>
      <c r="O598" s="87"/>
      <c r="X598" s="86"/>
      <c r="Y598" s="85"/>
      <c r="Z598" s="85"/>
    </row>
    <row r="599" customFormat="false" ht="12.75" hidden="false" customHeight="true" outlineLevel="0" collapsed="false">
      <c r="A599" s="85"/>
      <c r="B599" s="85"/>
      <c r="C599" s="85"/>
      <c r="D599" s="85"/>
      <c r="E599" s="85"/>
      <c r="F599" s="85"/>
      <c r="G599" s="85"/>
      <c r="H599" s="85"/>
      <c r="I599" s="85"/>
      <c r="K599" s="85"/>
      <c r="L599" s="85"/>
      <c r="M599" s="86"/>
      <c r="N599" s="87"/>
      <c r="O599" s="87"/>
      <c r="X599" s="86"/>
      <c r="Y599" s="85"/>
      <c r="Z599" s="85"/>
    </row>
    <row r="600" customFormat="false" ht="12.75" hidden="false" customHeight="true" outlineLevel="0" collapsed="false">
      <c r="A600" s="85"/>
      <c r="B600" s="85"/>
      <c r="C600" s="85"/>
      <c r="D600" s="85"/>
      <c r="E600" s="85"/>
      <c r="F600" s="85"/>
      <c r="G600" s="85"/>
      <c r="H600" s="85"/>
      <c r="I600" s="85"/>
      <c r="K600" s="85"/>
      <c r="L600" s="85"/>
      <c r="M600" s="86"/>
      <c r="N600" s="87"/>
      <c r="O600" s="87"/>
      <c r="X600" s="86"/>
      <c r="Y600" s="85"/>
      <c r="Z600" s="85"/>
    </row>
    <row r="601" customFormat="false" ht="12.75" hidden="false" customHeight="true" outlineLevel="0" collapsed="false">
      <c r="A601" s="85"/>
      <c r="B601" s="85"/>
      <c r="C601" s="85"/>
      <c r="D601" s="85"/>
      <c r="E601" s="85"/>
      <c r="F601" s="85"/>
      <c r="G601" s="85"/>
      <c r="H601" s="85"/>
      <c r="I601" s="85"/>
      <c r="K601" s="85"/>
      <c r="L601" s="85"/>
      <c r="M601" s="86"/>
      <c r="N601" s="87"/>
      <c r="O601" s="87"/>
      <c r="X601" s="86"/>
      <c r="Y601" s="85"/>
      <c r="Z601" s="85"/>
    </row>
    <row r="602" customFormat="false" ht="12.75" hidden="false" customHeight="true" outlineLevel="0" collapsed="false">
      <c r="A602" s="85"/>
      <c r="B602" s="85"/>
      <c r="C602" s="85"/>
      <c r="D602" s="85"/>
      <c r="E602" s="85"/>
      <c r="F602" s="85"/>
      <c r="G602" s="85"/>
      <c r="H602" s="85"/>
      <c r="I602" s="85"/>
      <c r="K602" s="85"/>
      <c r="L602" s="85"/>
      <c r="M602" s="86"/>
      <c r="N602" s="87"/>
      <c r="O602" s="87"/>
      <c r="X602" s="86"/>
      <c r="Y602" s="85"/>
      <c r="Z602" s="85"/>
    </row>
    <row r="603" customFormat="false" ht="12.75" hidden="false" customHeight="true" outlineLevel="0" collapsed="false">
      <c r="A603" s="85"/>
      <c r="B603" s="85"/>
      <c r="C603" s="85"/>
      <c r="D603" s="85"/>
      <c r="E603" s="85"/>
      <c r="F603" s="85"/>
      <c r="G603" s="85"/>
      <c r="H603" s="85"/>
      <c r="I603" s="85"/>
      <c r="K603" s="85"/>
      <c r="L603" s="85"/>
      <c r="M603" s="86"/>
      <c r="N603" s="87"/>
      <c r="O603" s="87"/>
      <c r="X603" s="86"/>
      <c r="Y603" s="85"/>
      <c r="Z603" s="85"/>
    </row>
    <row r="604" customFormat="false" ht="12.75" hidden="false" customHeight="true" outlineLevel="0" collapsed="false">
      <c r="A604" s="85"/>
      <c r="B604" s="85"/>
      <c r="C604" s="85"/>
      <c r="D604" s="85"/>
      <c r="E604" s="85"/>
      <c r="F604" s="85"/>
      <c r="G604" s="85"/>
      <c r="H604" s="85"/>
      <c r="I604" s="85"/>
      <c r="K604" s="85"/>
      <c r="L604" s="85"/>
      <c r="M604" s="86"/>
      <c r="N604" s="87"/>
      <c r="O604" s="87"/>
      <c r="X604" s="86"/>
      <c r="Y604" s="85"/>
      <c r="Z604" s="85"/>
    </row>
    <row r="605" customFormat="false" ht="12.75" hidden="false" customHeight="true" outlineLevel="0" collapsed="false">
      <c r="A605" s="85"/>
      <c r="B605" s="85"/>
      <c r="C605" s="85"/>
      <c r="D605" s="85"/>
      <c r="E605" s="85"/>
      <c r="F605" s="85"/>
      <c r="G605" s="85"/>
      <c r="H605" s="85"/>
      <c r="I605" s="85"/>
      <c r="K605" s="85"/>
      <c r="L605" s="85"/>
      <c r="M605" s="86"/>
      <c r="N605" s="87"/>
      <c r="O605" s="87"/>
      <c r="X605" s="86"/>
      <c r="Y605" s="85"/>
      <c r="Z605" s="85"/>
    </row>
    <row r="606" customFormat="false" ht="12.75" hidden="false" customHeight="true" outlineLevel="0" collapsed="false">
      <c r="A606" s="85"/>
      <c r="B606" s="85"/>
      <c r="C606" s="85"/>
      <c r="D606" s="85"/>
      <c r="E606" s="85"/>
      <c r="F606" s="85"/>
      <c r="G606" s="85"/>
      <c r="H606" s="85"/>
      <c r="I606" s="85"/>
      <c r="K606" s="85"/>
      <c r="L606" s="85"/>
      <c r="M606" s="86"/>
      <c r="N606" s="87"/>
      <c r="O606" s="87"/>
      <c r="X606" s="86"/>
      <c r="Y606" s="85"/>
      <c r="Z606" s="85"/>
    </row>
    <row r="607" customFormat="false" ht="12.75" hidden="false" customHeight="true" outlineLevel="0" collapsed="false">
      <c r="A607" s="85"/>
      <c r="B607" s="85"/>
      <c r="C607" s="85"/>
      <c r="D607" s="85"/>
      <c r="E607" s="85"/>
      <c r="F607" s="85"/>
      <c r="G607" s="85"/>
      <c r="H607" s="85"/>
      <c r="I607" s="85"/>
      <c r="K607" s="85"/>
      <c r="L607" s="85"/>
      <c r="M607" s="86"/>
      <c r="N607" s="87"/>
      <c r="O607" s="87"/>
      <c r="X607" s="86"/>
      <c r="Y607" s="85"/>
      <c r="Z607" s="85"/>
    </row>
    <row r="608" customFormat="false" ht="12.75" hidden="false" customHeight="true" outlineLevel="0" collapsed="false">
      <c r="A608" s="85"/>
      <c r="B608" s="85"/>
      <c r="C608" s="85"/>
      <c r="D608" s="85"/>
      <c r="E608" s="85"/>
      <c r="F608" s="85"/>
      <c r="G608" s="85"/>
      <c r="H608" s="85"/>
      <c r="I608" s="85"/>
      <c r="K608" s="85"/>
      <c r="L608" s="85"/>
      <c r="M608" s="86"/>
      <c r="N608" s="87"/>
      <c r="O608" s="87"/>
      <c r="X608" s="86"/>
      <c r="Y608" s="85"/>
      <c r="Z608" s="85"/>
    </row>
    <row r="609" customFormat="false" ht="12.75" hidden="false" customHeight="true" outlineLevel="0" collapsed="false">
      <c r="A609" s="85"/>
      <c r="B609" s="85"/>
      <c r="C609" s="85"/>
      <c r="D609" s="85"/>
      <c r="E609" s="85"/>
      <c r="F609" s="85"/>
      <c r="G609" s="85"/>
      <c r="H609" s="85"/>
      <c r="I609" s="85"/>
      <c r="K609" s="85"/>
      <c r="L609" s="85"/>
      <c r="M609" s="86"/>
      <c r="N609" s="87"/>
      <c r="O609" s="87"/>
      <c r="X609" s="86"/>
      <c r="Y609" s="85"/>
      <c r="Z609" s="85"/>
    </row>
    <row r="610" customFormat="false" ht="12.75" hidden="false" customHeight="true" outlineLevel="0" collapsed="false">
      <c r="A610" s="85"/>
      <c r="B610" s="85"/>
      <c r="C610" s="85"/>
      <c r="D610" s="85"/>
      <c r="E610" s="85"/>
      <c r="F610" s="85"/>
      <c r="G610" s="85"/>
      <c r="H610" s="85"/>
      <c r="I610" s="85"/>
      <c r="K610" s="85"/>
      <c r="L610" s="85"/>
      <c r="M610" s="86"/>
      <c r="N610" s="87"/>
      <c r="O610" s="87"/>
      <c r="X610" s="86"/>
      <c r="Y610" s="85"/>
      <c r="Z610" s="85"/>
    </row>
    <row r="611" customFormat="false" ht="12.75" hidden="false" customHeight="true" outlineLevel="0" collapsed="false">
      <c r="A611" s="85"/>
      <c r="B611" s="85"/>
      <c r="C611" s="85"/>
      <c r="D611" s="85"/>
      <c r="E611" s="85"/>
      <c r="F611" s="85"/>
      <c r="G611" s="85"/>
      <c r="H611" s="85"/>
      <c r="I611" s="85"/>
      <c r="K611" s="85"/>
      <c r="L611" s="85"/>
      <c r="M611" s="86"/>
      <c r="N611" s="87"/>
      <c r="O611" s="87"/>
      <c r="X611" s="86"/>
      <c r="Y611" s="85"/>
      <c r="Z611" s="85"/>
    </row>
  </sheetData>
  <autoFilter ref="E1:I404">
    <filterColumn colId="0">
      <filters>
        <filter val="75TRO"/>
      </filters>
    </filterColumn>
    <filterColumn colId="1">
      <filters>
        <filter val="1 PLACE VICTOR HUGO"/>
        <filter val="111 AVENUE VICTOR HUGO"/>
        <filter val="132 AVENUE VICTOR HUGO"/>
        <filter val="23 AVENUE VICTOR HUGO"/>
        <filter val="6 AVENUE VICTOR HUGO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6E905"/>
    <pageSetUpPr fitToPage="false"/>
  </sheetPr>
  <dimension ref="B1:AD2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9" activeCellId="0" sqref="E9"/>
    </sheetView>
  </sheetViews>
  <sheetFormatPr defaultColWidth="18.00390625" defaultRowHeight="12.8" zeroHeight="false" outlineLevelRow="0" outlineLevelCol="0"/>
  <cols>
    <col collapsed="false" customWidth="false" hidden="false" outlineLevel="0" max="1" min="1" style="85" width="18"/>
    <col collapsed="false" customWidth="true" hidden="false" outlineLevel="0" max="2" min="2" style="85" width="17.83"/>
    <col collapsed="false" customWidth="true" hidden="false" outlineLevel="0" max="3" min="3" style="85" width="33.84"/>
    <col collapsed="false" customWidth="true" hidden="false" outlineLevel="0" max="4" min="4" style="85" width="27.66"/>
    <col collapsed="false" customWidth="true" hidden="false" outlineLevel="0" max="5" min="5" style="86" width="19.34"/>
    <col collapsed="false" customWidth="true" hidden="false" outlineLevel="0" max="6" min="6" style="86" width="27.66"/>
    <col collapsed="false" customWidth="true" hidden="false" outlineLevel="0" max="7" min="7" style="85" width="14.83"/>
    <col collapsed="false" customWidth="true" hidden="false" outlineLevel="0" max="8" min="8" style="85" width="16.17"/>
    <col collapsed="false" customWidth="true" hidden="false" outlineLevel="0" max="9" min="9" style="86" width="14.34"/>
    <col collapsed="false" customWidth="true" hidden="false" outlineLevel="0" max="10" min="10" style="86" width="15.83"/>
    <col collapsed="false" customWidth="false" hidden="false" outlineLevel="0" max="11" min="11" style="85" width="18"/>
    <col collapsed="false" customWidth="true" hidden="false" outlineLevel="0" max="12" min="12" style="85" width="25.5"/>
    <col collapsed="false" customWidth="false" hidden="false" outlineLevel="0" max="13" min="13" style="85" width="18"/>
    <col collapsed="false" customWidth="true" hidden="false" outlineLevel="0" max="14" min="14" style="85" width="18.66"/>
    <col collapsed="false" customWidth="false" hidden="false" outlineLevel="0" max="1024" min="15" style="85" width="18"/>
  </cols>
  <sheetData>
    <row r="1" s="94" customFormat="true" ht="18.75" hidden="false" customHeight="true" outlineLevel="0" collapsed="false">
      <c r="D1" s="95" t="s">
        <v>4675</v>
      </c>
      <c r="E1" s="95"/>
      <c r="F1" s="95"/>
      <c r="I1" s="96"/>
      <c r="J1" s="96"/>
    </row>
    <row r="3" customFormat="false" ht="24.75" hidden="false" customHeight="true" outlineLevel="0" collapsed="false">
      <c r="B3" s="97" t="s">
        <v>4676</v>
      </c>
      <c r="C3" s="97" t="s">
        <v>4677</v>
      </c>
      <c r="D3" s="98" t="s">
        <v>4678</v>
      </c>
      <c r="E3" s="98" t="s">
        <v>4679</v>
      </c>
      <c r="F3" s="98" t="s">
        <v>4680</v>
      </c>
      <c r="G3" s="99" t="s">
        <v>4681</v>
      </c>
      <c r="H3" s="99" t="s">
        <v>4682</v>
      </c>
      <c r="I3" s="100" t="s">
        <v>4683</v>
      </c>
      <c r="J3" s="100" t="s">
        <v>4684</v>
      </c>
      <c r="L3" s="101"/>
      <c r="M3" s="102" t="s">
        <v>4685</v>
      </c>
      <c r="N3" s="102"/>
      <c r="O3" s="102"/>
      <c r="P3" s="102"/>
      <c r="Q3" s="102"/>
      <c r="R3" s="102"/>
      <c r="S3" s="103" t="s">
        <v>41</v>
      </c>
      <c r="T3" s="103"/>
      <c r="U3" s="104" t="s">
        <v>4686</v>
      </c>
      <c r="V3" s="104"/>
      <c r="W3" s="105" t="s">
        <v>4687</v>
      </c>
      <c r="X3" s="105"/>
      <c r="Y3" s="106"/>
      <c r="Z3" s="106"/>
      <c r="AA3" s="106"/>
      <c r="AB3" s="106"/>
      <c r="AC3" s="106"/>
      <c r="AD3" s="106"/>
    </row>
    <row r="4" s="94" customFormat="true" ht="21" hidden="false" customHeight="true" outlineLevel="0" collapsed="false">
      <c r="B4" s="107" t="s">
        <v>4685</v>
      </c>
      <c r="C4" s="108" t="s">
        <v>4688</v>
      </c>
      <c r="D4" s="109" t="n">
        <v>22</v>
      </c>
      <c r="E4" s="110" t="n">
        <f aca="false">IFERROR(COUNTIFS(pds!C:C,"MG-GY",pds!AA:AA,"&gt;0"),0)</f>
        <v>19</v>
      </c>
      <c r="F4" s="110" t="n">
        <f aca="false">IFERROR(SUMIFS(pds!AA:AA,pds!C:C,"MG-GY",pds!AA:AA,"&gt;0"),0)</f>
        <v>57</v>
      </c>
      <c r="G4" s="111" t="n">
        <v>136</v>
      </c>
      <c r="H4" s="111" t="n">
        <v>401</v>
      </c>
      <c r="I4" s="112" t="n">
        <f aca="false">IFERROR(SUM(E4:E6)/G4,0)</f>
        <v>0.992647058823529</v>
      </c>
      <c r="J4" s="112" t="n">
        <f aca="false">IFERROR(SUM(F4:F6)/H4,0)</f>
        <v>0.992518703241895</v>
      </c>
      <c r="L4" s="113"/>
      <c r="M4" s="102" t="s">
        <v>4688</v>
      </c>
      <c r="N4" s="102"/>
      <c r="O4" s="102" t="s">
        <v>4689</v>
      </c>
      <c r="P4" s="102"/>
      <c r="Q4" s="102" t="s">
        <v>4690</v>
      </c>
      <c r="R4" s="102"/>
      <c r="S4" s="114" t="s">
        <v>4691</v>
      </c>
      <c r="T4" s="114"/>
      <c r="U4" s="115" t="s">
        <v>4692</v>
      </c>
      <c r="V4" s="115"/>
      <c r="W4" s="116" t="s">
        <v>4693</v>
      </c>
      <c r="X4" s="116"/>
      <c r="Y4" s="117"/>
      <c r="Z4" s="117"/>
      <c r="AA4" s="117"/>
      <c r="AB4" s="117"/>
      <c r="AC4" s="117"/>
      <c r="AD4" s="117"/>
    </row>
    <row r="5" s="94" customFormat="true" ht="21" hidden="false" customHeight="true" outlineLevel="0" collapsed="false">
      <c r="B5" s="107"/>
      <c r="C5" s="118" t="s">
        <v>4689</v>
      </c>
      <c r="D5" s="119" t="n">
        <v>12</v>
      </c>
      <c r="E5" s="120" t="n">
        <f aca="false">IFERROR(COUNTIFS(pds!C:C,"SF",pds!AA:AA,"&gt;0"),0)</f>
        <v>0</v>
      </c>
      <c r="F5" s="120" t="n">
        <f aca="false">IFERROR(SUMIFS(pds!AA:AA,pds!C:C,"SF",pds!AA:AA,"&gt;0"),0)</f>
        <v>0</v>
      </c>
      <c r="G5" s="111"/>
      <c r="H5" s="111"/>
      <c r="I5" s="111"/>
      <c r="J5" s="111"/>
      <c r="L5" s="121" t="s">
        <v>4694</v>
      </c>
      <c r="M5" s="122" t="s">
        <v>4695</v>
      </c>
      <c r="N5" s="122" t="s">
        <v>4696</v>
      </c>
      <c r="O5" s="122" t="s">
        <v>4695</v>
      </c>
      <c r="P5" s="122" t="s">
        <v>4696</v>
      </c>
      <c r="Q5" s="122" t="s">
        <v>4695</v>
      </c>
      <c r="R5" s="122" t="s">
        <v>4696</v>
      </c>
      <c r="S5" s="122" t="s">
        <v>4695</v>
      </c>
      <c r="T5" s="122" t="s">
        <v>4696</v>
      </c>
      <c r="U5" s="122" t="s">
        <v>4695</v>
      </c>
      <c r="V5" s="122" t="s">
        <v>4696</v>
      </c>
      <c r="W5" s="122" t="s">
        <v>4695</v>
      </c>
      <c r="X5" s="122" t="s">
        <v>4696</v>
      </c>
      <c r="Y5" s="123" t="s">
        <v>4695</v>
      </c>
      <c r="Z5" s="123" t="s">
        <v>4696</v>
      </c>
      <c r="AA5" s="123" t="s">
        <v>4695</v>
      </c>
      <c r="AB5" s="123" t="s">
        <v>4696</v>
      </c>
      <c r="AC5" s="123" t="s">
        <v>4695</v>
      </c>
      <c r="AD5" s="124" t="s">
        <v>4696</v>
      </c>
    </row>
    <row r="6" s="94" customFormat="true" ht="21" hidden="false" customHeight="true" outlineLevel="0" collapsed="false">
      <c r="B6" s="107"/>
      <c r="C6" s="118" t="s">
        <v>4690</v>
      </c>
      <c r="D6" s="119" t="n">
        <v>330</v>
      </c>
      <c r="E6" s="120" t="n">
        <f aca="false">IFERROR(COUNTIFS(pds!C:C,"GY",pds!AA:AA,"&gt;0"),0)</f>
        <v>116</v>
      </c>
      <c r="F6" s="120" t="n">
        <f aca="false">IFERROR(SUMIFS(pds!AA:AA,pds!C:C,"GY",pds!AA:AA,"&gt;0"),0)</f>
        <v>341</v>
      </c>
      <c r="G6" s="111"/>
      <c r="H6" s="111"/>
      <c r="I6" s="111"/>
      <c r="J6" s="111"/>
      <c r="L6" s="125" t="n">
        <v>1</v>
      </c>
      <c r="M6" s="2" t="n">
        <f aca="false">IFERROR(COUNTIFS(pds!C:C,"Médecine générale",#REF!,"Gyn",#REF!,L6),0)</f>
        <v>0</v>
      </c>
      <c r="N6" s="2" t="n">
        <f aca="false">IFERROR(COUNTIFS(pds!C:C,"Médecine générale",#REF!,"Gyn",#REF!,L6),0)</f>
        <v>0</v>
      </c>
      <c r="O6" s="2" t="n">
        <f aca="false">IFERROR(COUNTIFS(pds!C:C,"Sage-femme",#REF!,L6),0)</f>
        <v>0</v>
      </c>
      <c r="P6" s="2" t="n">
        <f aca="false">IFERROR(COUNTIFS(pds!C:C,"Sage-femme",#REF!,L6),0)</f>
        <v>0</v>
      </c>
      <c r="Q6" s="2" t="n">
        <f aca="false">IFERROR(COUNTIFS(pds!C:C,"Gynécologie",#REF!,L6),0)</f>
        <v>0</v>
      </c>
      <c r="R6" s="2" t="n">
        <f aca="false">IFERROR(COUNTIFS(pds!C:C,"Gynécologie",#REF!,L6),0)</f>
        <v>0</v>
      </c>
      <c r="S6" s="2" t="n">
        <f aca="false">IFERROR(COUNTIFS(pds!C:C,"Médecine générale",#REF!,"&lt;&gt;Gyn",#REF!,L6),0)</f>
        <v>0</v>
      </c>
      <c r="T6" s="2" t="n">
        <f aca="false">IFERROR(COUNTIFS(pds!C:C,"Médecine générale",#REF!,"&lt;&gt;Gyn",#REF!,L6),0)</f>
        <v>0</v>
      </c>
      <c r="U6" s="2" t="n">
        <f aca="false">IFERROR(COUNTIFS(pds!C:C,"Pédiatrie",#REF!,L6),0)</f>
        <v>0</v>
      </c>
      <c r="V6" s="2" t="n">
        <f aca="false">IFERROR(COUNTIFS(pds!C:C,"Pédiatrie",#REF!,L6),0)</f>
        <v>0</v>
      </c>
      <c r="W6" s="2" t="n">
        <f aca="false">IFERROR(COUNTIFS(pds!C:C,"Gastro-entérologie",#REF!,L6),0)</f>
        <v>0</v>
      </c>
      <c r="X6" s="2" t="n">
        <f aca="false">IFERROR(COUNTIFS(pds!C:C,"Gastro-entérologie",#REF!,L6),0)</f>
        <v>0</v>
      </c>
      <c r="Y6" s="126"/>
      <c r="Z6" s="126"/>
      <c r="AA6" s="126"/>
      <c r="AB6" s="126"/>
      <c r="AC6" s="126"/>
      <c r="AD6" s="127"/>
    </row>
    <row r="7" s="94" customFormat="true" ht="21" hidden="false" customHeight="true" outlineLevel="0" collapsed="false">
      <c r="B7" s="128" t="s">
        <v>41</v>
      </c>
      <c r="C7" s="128" t="s">
        <v>4691</v>
      </c>
      <c r="D7" s="129" t="n">
        <v>858</v>
      </c>
      <c r="E7" s="130" t="n">
        <f aca="false">IFERROR(COUNTIFS(pds!C:C,"MG",pds!AA:AA,"&gt;0"),0)</f>
        <v>49</v>
      </c>
      <c r="F7" s="130" t="n">
        <f aca="false">IFERROR(SUMIFS(pds!AA:AA,pds!C:C,"MG",pds!AA:AA,"&gt;0"),0)</f>
        <v>145</v>
      </c>
      <c r="G7" s="130" t="n">
        <v>49</v>
      </c>
      <c r="H7" s="130" t="n">
        <v>145</v>
      </c>
      <c r="I7" s="131" t="n">
        <f aca="false">IFERROR(E7/G7,0)</f>
        <v>1</v>
      </c>
      <c r="J7" s="132" t="n">
        <f aca="false">IFERROR(F7/H7,0)</f>
        <v>1</v>
      </c>
      <c r="L7" s="125" t="n">
        <v>2</v>
      </c>
      <c r="M7" s="2" t="n">
        <f aca="false">IFERROR(COUNTIFS(pds!C:C,"Médecine générale",#REF!,"Gyn",#REF!,L7),0)</f>
        <v>0</v>
      </c>
      <c r="N7" s="2" t="n">
        <f aca="false">IFERROR(COUNTIFS(pds!C:C,"Médecine générale",#REF!,"Gyn",#REF!,L7),0)</f>
        <v>0</v>
      </c>
      <c r="O7" s="2" t="n">
        <f aca="false">IFERROR(COUNTIFS(pds!C:C,"Sage-femme",#REF!,L7),0)</f>
        <v>0</v>
      </c>
      <c r="P7" s="2" t="n">
        <f aca="false">IFERROR(COUNTIFS(pds!C:C,"Sage-femme",#REF!,L7),0)</f>
        <v>0</v>
      </c>
      <c r="Q7" s="2" t="n">
        <f aca="false">IFERROR(COUNTIFS(pds!C:C,"Gynécologie",#REF!,L7),0)</f>
        <v>0</v>
      </c>
      <c r="R7" s="2" t="n">
        <f aca="false">IFERROR(COUNTIFS(pds!C:C,"Gynécologie",#REF!,L7),0)</f>
        <v>0</v>
      </c>
      <c r="S7" s="2" t="n">
        <f aca="false">IFERROR(COUNTIFS(pds!C:C,"Médecine générale",#REF!,"&lt;&gt;Gyn",#REF!,L7),0)</f>
        <v>0</v>
      </c>
      <c r="T7" s="2" t="n">
        <f aca="false">IFERROR(COUNTIFS(pds!C:C,"Médecine générale",#REF!,"&lt;&gt;Gyn",#REF!,L7),0)</f>
        <v>0</v>
      </c>
      <c r="U7" s="2" t="n">
        <f aca="false">IFERROR(COUNTIFS(pds!C:C,"Pédiatrie",#REF!,L7),0)</f>
        <v>0</v>
      </c>
      <c r="V7" s="2" t="n">
        <f aca="false">IFERROR(COUNTIFS(pds!C:C,"Pédiatrie",#REF!,L7),0)</f>
        <v>0</v>
      </c>
      <c r="W7" s="2" t="n">
        <f aca="false">IFERROR(COUNTIFS(pds!C:C,"Gastro-entérologie",#REF!,L7),0)</f>
        <v>0</v>
      </c>
      <c r="X7" s="2" t="n">
        <f aca="false">IFERROR(COUNTIFS(pds!C:C,"Gastro-entérologie",#REF!,L7),0)</f>
        <v>0</v>
      </c>
      <c r="Y7" s="126"/>
      <c r="Z7" s="126"/>
      <c r="AA7" s="126"/>
      <c r="AB7" s="126"/>
      <c r="AC7" s="126"/>
      <c r="AD7" s="127"/>
    </row>
    <row r="8" s="94" customFormat="true" ht="21" hidden="false" customHeight="true" outlineLevel="0" collapsed="false">
      <c r="B8" s="133" t="s">
        <v>4686</v>
      </c>
      <c r="C8" s="133" t="s">
        <v>4692</v>
      </c>
      <c r="D8" s="134" t="n">
        <v>317</v>
      </c>
      <c r="E8" s="135" t="n">
        <f aca="false">IFERROR(COUNTIFS(pds!C:C,"PE",pds!AA:AA,"&gt;0"),0)</f>
        <v>47</v>
      </c>
      <c r="F8" s="135" t="n">
        <f aca="false">IFERROR(SUMIFS(pds!AA:AA,pds!C:C,"PE",pds!AA:AA,"&gt;0"),0)</f>
        <v>139</v>
      </c>
      <c r="G8" s="135" t="n">
        <v>48</v>
      </c>
      <c r="H8" s="135" t="n">
        <v>142</v>
      </c>
      <c r="I8" s="136" t="n">
        <f aca="false">IFERROR(E8/G8,0)</f>
        <v>0.979166666666667</v>
      </c>
      <c r="J8" s="137" t="n">
        <f aca="false">IFERROR(F8/H8,0)</f>
        <v>0.97887323943662</v>
      </c>
      <c r="L8" s="125" t="n">
        <v>3</v>
      </c>
      <c r="M8" s="2" t="n">
        <f aca="false">IFERROR(COUNTIFS(pds!C:C,"Médecine générale",#REF!,"Gyn",#REF!,L8),0)</f>
        <v>0</v>
      </c>
      <c r="N8" s="2" t="n">
        <f aca="false">IFERROR(COUNTIFS(pds!C:C,"Médecine générale",#REF!,"Gyn",#REF!,L8),0)</f>
        <v>0</v>
      </c>
      <c r="O8" s="2" t="n">
        <f aca="false">IFERROR(COUNTIFS(pds!C:C,"Sage-femme",#REF!,L8),0)</f>
        <v>0</v>
      </c>
      <c r="P8" s="2" t="n">
        <f aca="false">IFERROR(COUNTIFS(pds!C:C,"Sage-femme",#REF!,L8),0)</f>
        <v>0</v>
      </c>
      <c r="Q8" s="2" t="n">
        <f aca="false">IFERROR(COUNTIFS(pds!C:C,"Gynécologie",#REF!,L8),0)</f>
        <v>0</v>
      </c>
      <c r="R8" s="2" t="n">
        <f aca="false">IFERROR(COUNTIFS(pds!C:C,"Gynécologie",#REF!,L8),0)</f>
        <v>0</v>
      </c>
      <c r="S8" s="2" t="n">
        <f aca="false">IFERROR(COUNTIFS(pds!C:C,"Médecine générale",#REF!,"&lt;&gt;Gyn",#REF!,L8),0)</f>
        <v>0</v>
      </c>
      <c r="T8" s="2" t="n">
        <f aca="false">IFERROR(COUNTIFS(pds!C:C,"Médecine générale",#REF!,"&lt;&gt;Gyn",#REF!,L8),0)</f>
        <v>0</v>
      </c>
      <c r="U8" s="2" t="n">
        <f aca="false">IFERROR(COUNTIFS(pds!C:C,"Pédiatrie",#REF!,L8),0)</f>
        <v>0</v>
      </c>
      <c r="V8" s="2" t="n">
        <f aca="false">IFERROR(COUNTIFS(pds!C:C,"Pédiatrie",#REF!,L8),0)</f>
        <v>0</v>
      </c>
      <c r="W8" s="2" t="n">
        <f aca="false">IFERROR(COUNTIFS(pds!C:C,"Gastro-entérologie",#REF!,L8),0)</f>
        <v>0</v>
      </c>
      <c r="X8" s="2" t="n">
        <f aca="false">IFERROR(COUNTIFS(pds!C:C,"Gastro-entérologie",#REF!,L8),0)</f>
        <v>0</v>
      </c>
      <c r="Y8" s="126"/>
      <c r="Z8" s="126"/>
      <c r="AA8" s="126"/>
      <c r="AB8" s="126"/>
      <c r="AC8" s="126"/>
      <c r="AD8" s="127"/>
    </row>
    <row r="9" s="94" customFormat="true" ht="21" hidden="false" customHeight="true" outlineLevel="0" collapsed="false">
      <c r="B9" s="138" t="s">
        <v>4687</v>
      </c>
      <c r="C9" s="138" t="s">
        <v>4693</v>
      </c>
      <c r="D9" s="139" t="n">
        <v>105</v>
      </c>
      <c r="E9" s="140" t="n">
        <f aca="false">IFERROR(COUNTIFS(pds!C:C,"GE",pds!AA:AA,"&gt;0"),0)</f>
        <v>18</v>
      </c>
      <c r="F9" s="140" t="n">
        <f aca="false">IFERROR(SUMIFS(pds!AA:AA,pds!C:C,"GE",pds!AA:AA,"&gt;0"),0)</f>
        <v>52</v>
      </c>
      <c r="G9" s="141" t="n">
        <v>19</v>
      </c>
      <c r="H9" s="141" t="n">
        <v>55</v>
      </c>
      <c r="I9" s="142" t="n">
        <f aca="false">IFERROR(E9/G9,0)</f>
        <v>0.947368421052632</v>
      </c>
      <c r="J9" s="143" t="n">
        <f aca="false">IFERROR(F9/H9,0)</f>
        <v>0.945454545454545</v>
      </c>
      <c r="L9" s="125" t="n">
        <v>4</v>
      </c>
      <c r="M9" s="2" t="n">
        <f aca="false">IFERROR(COUNTIFS(pds!C:C,"Médecine générale",#REF!,"Gyn",#REF!,L9),0)</f>
        <v>0</v>
      </c>
      <c r="N9" s="2" t="n">
        <f aca="false">IFERROR(COUNTIFS(pds!C:C,"Médecine générale",#REF!,"Gyn",#REF!,L9),0)</f>
        <v>0</v>
      </c>
      <c r="O9" s="2" t="n">
        <f aca="false">IFERROR(COUNTIFS(pds!C:C,"Sage-femme",#REF!,L9),0)</f>
        <v>0</v>
      </c>
      <c r="P9" s="2" t="n">
        <f aca="false">IFERROR(COUNTIFS(pds!C:C,"Sage-femme",#REF!,L9),0)</f>
        <v>0</v>
      </c>
      <c r="Q9" s="2" t="n">
        <f aca="false">IFERROR(COUNTIFS(pds!C:C,"Gynécologie",#REF!,L9),0)</f>
        <v>0</v>
      </c>
      <c r="R9" s="2" t="n">
        <f aca="false">IFERROR(COUNTIFS(pds!C:C,"Gynécologie",#REF!,L9),0)</f>
        <v>0</v>
      </c>
      <c r="S9" s="2" t="n">
        <f aca="false">IFERROR(COUNTIFS(pds!C:C,"Médecine générale",#REF!,"&lt;&gt;Gyn",#REF!,L9),0)</f>
        <v>0</v>
      </c>
      <c r="T9" s="2" t="n">
        <f aca="false">IFERROR(COUNTIFS(pds!C:C,"Médecine générale",#REF!,"&lt;&gt;Gyn",#REF!,L9),0)</f>
        <v>0</v>
      </c>
      <c r="U9" s="2" t="n">
        <f aca="false">IFERROR(COUNTIFS(pds!C:C,"Pédiatrie",#REF!,L9),0)</f>
        <v>0</v>
      </c>
      <c r="V9" s="2" t="n">
        <f aca="false">IFERROR(COUNTIFS(pds!C:C,"Pédiatrie",#REF!,L9),0)</f>
        <v>0</v>
      </c>
      <c r="W9" s="2" t="n">
        <f aca="false">IFERROR(COUNTIFS(pds!C:C,"Gastro-entérologie",#REF!,L9),0)</f>
        <v>0</v>
      </c>
      <c r="X9" s="2" t="n">
        <f aca="false">IFERROR(COUNTIFS(pds!C:C,"Gastro-entérologie",#REF!,L9),0)</f>
        <v>0</v>
      </c>
      <c r="Y9" s="126"/>
      <c r="Z9" s="126"/>
      <c r="AA9" s="126"/>
      <c r="AB9" s="126"/>
      <c r="AC9" s="126"/>
      <c r="AD9" s="127"/>
    </row>
    <row r="10" s="94" customFormat="true" ht="21" hidden="false" customHeight="true" outlineLevel="0" collapsed="false">
      <c r="B10" s="144" t="s">
        <v>4697</v>
      </c>
      <c r="C10" s="144" t="s">
        <v>4698</v>
      </c>
      <c r="D10" s="145"/>
      <c r="E10" s="146" t="n">
        <f aca="false">IFERROR(COUNTIFS(pds!C:C,"PE-PSY",pds!AA:AA,"&gt;0"),0)</f>
        <v>4</v>
      </c>
      <c r="F10" s="147" t="n">
        <f aca="false">IFERROR(SUMIFS(pds!AA:AA,pds!C:C,"PE-PSY",pds!AA:AA,"&gt;0"),0)</f>
        <v>13</v>
      </c>
      <c r="G10" s="148"/>
      <c r="H10" s="149" t="n">
        <v>13</v>
      </c>
      <c r="I10" s="150"/>
      <c r="J10" s="150"/>
      <c r="L10" s="151" t="n">
        <v>5</v>
      </c>
      <c r="M10" s="2" t="n">
        <f aca="false">IFERROR(COUNTIFS(pds!C:C,"Médecine générale",#REF!,"Gyn",#REF!,L10),0)</f>
        <v>0</v>
      </c>
      <c r="N10" s="2" t="n">
        <f aca="false">IFERROR(COUNTIFS(pds!C:C,"Médecine générale",#REF!,"Gyn",#REF!,L10),0)</f>
        <v>0</v>
      </c>
      <c r="O10" s="2" t="n">
        <f aca="false">IFERROR(COUNTIFS(pds!C:C,"Sage-femme",#REF!,L10),0)</f>
        <v>0</v>
      </c>
      <c r="P10" s="2" t="n">
        <f aca="false">IFERROR(COUNTIFS(pds!C:C,"Sage-femme",#REF!,L10),0)</f>
        <v>0</v>
      </c>
      <c r="Q10" s="2" t="n">
        <f aca="false">IFERROR(COUNTIFS(pds!C:C,"Gynécologie",#REF!,L10),0)</f>
        <v>0</v>
      </c>
      <c r="R10" s="2" t="n">
        <f aca="false">IFERROR(COUNTIFS(pds!C:C,"Gynécologie",#REF!,L10),0)</f>
        <v>0</v>
      </c>
      <c r="S10" s="2" t="n">
        <f aca="false">IFERROR(COUNTIFS(pds!C:C,"Médecine générale",#REF!,"&lt;&gt;Gyn",#REF!,L10),0)</f>
        <v>0</v>
      </c>
      <c r="T10" s="2" t="n">
        <f aca="false">IFERROR(COUNTIFS(pds!C:C,"Médecine générale",#REF!,"&lt;&gt;Gyn",#REF!,L10),0)</f>
        <v>0</v>
      </c>
      <c r="U10" s="2" t="n">
        <f aca="false">IFERROR(COUNTIFS(pds!C:C,"Pédiatrie",#REF!,L10),0)</f>
        <v>0</v>
      </c>
      <c r="V10" s="2" t="n">
        <f aca="false">IFERROR(COUNTIFS(pds!C:C,"Pédiatrie",#REF!,L10),0)</f>
        <v>0</v>
      </c>
      <c r="W10" s="2" t="n">
        <f aca="false">IFERROR(COUNTIFS(pds!C:C,"Gastro-entérologie",#REF!,L10),0)</f>
        <v>0</v>
      </c>
      <c r="X10" s="2" t="n">
        <f aca="false">IFERROR(COUNTIFS(pds!C:C,"Gastro-entérologie",#REF!,L10),0)</f>
        <v>0</v>
      </c>
      <c r="Y10" s="152"/>
      <c r="Z10" s="152"/>
      <c r="AA10" s="152"/>
      <c r="AB10" s="152"/>
      <c r="AC10" s="152"/>
      <c r="AD10" s="153"/>
    </row>
    <row r="11" s="94" customFormat="true" ht="21" hidden="false" customHeight="true" outlineLevel="0" collapsed="false">
      <c r="B11" s="144" t="s">
        <v>33</v>
      </c>
      <c r="C11" s="144" t="s">
        <v>4699</v>
      </c>
      <c r="D11" s="145"/>
      <c r="E11" s="154" t="n">
        <f aca="false">IFERROR(COUNTIFS(pds!C:C,"PSY",pds!AA:AA,"&gt;0"),0)</f>
        <v>0</v>
      </c>
      <c r="F11" s="155" t="n">
        <f aca="false">IFERROR(SUMIFS(pds!AA:AA,pds!C:C,"PSY",pds!AA:AA,"&gt;0"),0)</f>
        <v>0</v>
      </c>
      <c r="G11" s="148"/>
      <c r="H11" s="149"/>
      <c r="I11" s="149"/>
      <c r="J11" s="150"/>
      <c r="L11" s="156" t="s">
        <v>4700</v>
      </c>
      <c r="M11" s="157" t="n">
        <f aca="false">SUM(M6:M10)</f>
        <v>0</v>
      </c>
      <c r="N11" s="157" t="n">
        <f aca="false">SUM(N6:N10)</f>
        <v>0</v>
      </c>
      <c r="O11" s="157" t="n">
        <f aca="false">SUM(O6:O10)</f>
        <v>0</v>
      </c>
      <c r="P11" s="157" t="n">
        <f aca="false">SUM(P6:P10)</f>
        <v>0</v>
      </c>
      <c r="Q11" s="157" t="n">
        <f aca="false">SUM(Q6:Q10)</f>
        <v>0</v>
      </c>
      <c r="R11" s="157" t="n">
        <f aca="false">SUM(R6:R10)</f>
        <v>0</v>
      </c>
      <c r="S11" s="157" t="n">
        <f aca="false">SUM(S6:S10)</f>
        <v>0</v>
      </c>
      <c r="T11" s="157" t="n">
        <f aca="false">SUM(T6:T10)</f>
        <v>0</v>
      </c>
      <c r="U11" s="157" t="n">
        <f aca="false">SUM(U6:U10)</f>
        <v>0</v>
      </c>
      <c r="V11" s="157" t="n">
        <f aca="false">SUM(V6:V10)</f>
        <v>0</v>
      </c>
      <c r="W11" s="157" t="n">
        <f aca="false">SUM(W6:W10)</f>
        <v>0</v>
      </c>
      <c r="X11" s="158" t="n">
        <f aca="false">SUM(X6:X10)</f>
        <v>0</v>
      </c>
    </row>
    <row r="12" s="94" customFormat="true" ht="21" hidden="false" customHeight="true" outlineLevel="0" collapsed="false">
      <c r="B12" s="144" t="s">
        <v>4701</v>
      </c>
      <c r="C12" s="144" t="s">
        <v>4702</v>
      </c>
      <c r="D12" s="145"/>
      <c r="E12" s="154" t="n">
        <f aca="false">IFERROR(COUNTIFS(pds!C:C,"NE",pds!AA:AA,"&gt;0"),0)</f>
        <v>0</v>
      </c>
      <c r="F12" s="155" t="n">
        <f aca="false">IFERROR(SUMIFS(pds!AA:AA,pds!C:C,"NE",pds!AA:AA,"&gt;0"),0)</f>
        <v>0</v>
      </c>
      <c r="G12" s="148"/>
      <c r="H12" s="149"/>
      <c r="I12" s="149"/>
      <c r="J12" s="150"/>
      <c r="L12" s="159" t="s">
        <v>4680</v>
      </c>
      <c r="M12" s="2" t="n">
        <f aca="false" t="array" ref="M12:M12">SUMPRODUCT(($L$6:$L$10)*(M6:M10))</f>
        <v>0</v>
      </c>
      <c r="N12" s="2" t="n">
        <f aca="false" t="array" ref="N12:N12">SUMPRODUCT(($L$6:$L$10)*(N6:N10))</f>
        <v>0</v>
      </c>
      <c r="O12" s="2" t="n">
        <f aca="false" t="array" ref="O12:O12">SUMPRODUCT(($L$6:$L$10)*(O6:O10))</f>
        <v>0</v>
      </c>
      <c r="P12" s="2" t="n">
        <f aca="false" t="array" ref="P12:P12">SUMPRODUCT(($L$6:$L$10)*(P6:P10))</f>
        <v>0</v>
      </c>
      <c r="Q12" s="2" t="n">
        <f aca="false" t="array" ref="Q12:Q12">SUMPRODUCT(($L$6:$L$10)*(Q6:Q10))</f>
        <v>0</v>
      </c>
      <c r="R12" s="2" t="n">
        <f aca="false" t="array" ref="R12:R12">SUMPRODUCT(($L$6:$L$10)*(R6:R10))</f>
        <v>0</v>
      </c>
      <c r="S12" s="2" t="n">
        <f aca="false" t="array" ref="S12:S12">SUMPRODUCT(($L$6:$L$10)*(S6:S10))</f>
        <v>0</v>
      </c>
      <c r="T12" s="2" t="n">
        <f aca="false" t="array" ref="T12:T12">SUMPRODUCT(($L$6:$L$10)*(T6:T10))</f>
        <v>0</v>
      </c>
      <c r="U12" s="2" t="n">
        <f aca="false" t="array" ref="U12:U12">SUMPRODUCT(($L$6:$L$10)*(U6:U10))</f>
        <v>0</v>
      </c>
      <c r="V12" s="2" t="n">
        <f aca="false" t="array" ref="V12:V12">SUMPRODUCT(($L$6:$L$10)*(V6:V10))</f>
        <v>0</v>
      </c>
      <c r="W12" s="2" t="n">
        <f aca="false" t="array" ref="W12:W12">SUMPRODUCT(($L$6:$L$10)*(W6:W10))</f>
        <v>0</v>
      </c>
      <c r="X12" s="2" t="n">
        <f aca="false" t="array" ref="X12:X12">SUMPRODUCT(($L$6:$L$10)*(X6:X10))</f>
        <v>0</v>
      </c>
    </row>
    <row r="13" s="94" customFormat="true" ht="21" hidden="false" customHeight="true" outlineLevel="0" collapsed="false">
      <c r="B13" s="160" t="s">
        <v>4703</v>
      </c>
      <c r="C13" s="160"/>
      <c r="D13" s="161" t="n">
        <f aca="false">SUM(D4:D9)</f>
        <v>1644</v>
      </c>
      <c r="E13" s="161" t="n">
        <f aca="false">SUM(E4:E9)</f>
        <v>249</v>
      </c>
      <c r="F13" s="161" t="n">
        <f aca="false">SUM(F4:F12)</f>
        <v>747</v>
      </c>
      <c r="G13" s="162" t="n">
        <f aca="false">SUM(G4:G12)</f>
        <v>252</v>
      </c>
      <c r="H13" s="162" t="n">
        <f aca="false">SUM(H4:H12)</f>
        <v>756</v>
      </c>
      <c r="I13" s="163" t="n">
        <f aca="false">IFERROR(E13/G13,0)</f>
        <v>0.988095238095238</v>
      </c>
      <c r="J13" s="163" t="n">
        <f aca="false">IFERROR(F13/H13,0)</f>
        <v>0.988095238095238</v>
      </c>
      <c r="L13" s="85"/>
    </row>
    <row r="14" customFormat="false" ht="12.75" hidden="false" customHeight="true" outlineLevel="0" collapsed="false">
      <c r="D14" s="164"/>
      <c r="M14" s="165" t="s">
        <v>4704</v>
      </c>
      <c r="N14" s="166" t="s">
        <v>4705</v>
      </c>
    </row>
    <row r="15" customFormat="false" ht="12.75" hidden="false" customHeight="true" outlineLevel="0" collapsed="false">
      <c r="D15" s="167" t="s">
        <v>4706</v>
      </c>
      <c r="L15" s="168" t="s">
        <v>4707</v>
      </c>
      <c r="M15" s="169" t="n">
        <f aca="false">M11+O11+Q11+S11+U11+W11+G10</f>
        <v>0</v>
      </c>
      <c r="N15" s="169" t="n">
        <f aca="false">M12+O12+Q12+S12+U12+W12+H10</f>
        <v>13</v>
      </c>
    </row>
    <row r="16" customFormat="false" ht="21.75" hidden="false" customHeight="true" outlineLevel="0" collapsed="false">
      <c r="C16" s="170" t="s">
        <v>4708</v>
      </c>
      <c r="D16" s="171" t="n">
        <f aca="false">IFERROR(F13/E13,0)</f>
        <v>3</v>
      </c>
      <c r="L16" s="172" t="s">
        <v>4709</v>
      </c>
      <c r="M16" s="173" t="n">
        <f aca="false">N11+P11+R11+T11+V11+X11+G11</f>
        <v>0</v>
      </c>
      <c r="N16" s="173" t="n">
        <f aca="false">N12+P12+R12+T12+V12+X12+H10</f>
        <v>13</v>
      </c>
    </row>
    <row r="17" customFormat="false" ht="12.75" hidden="false" customHeight="true" outlineLevel="0" collapsed="false">
      <c r="B17" s="174"/>
      <c r="C17" s="175"/>
      <c r="D17" s="174"/>
      <c r="E17" s="174"/>
      <c r="F17" s="174"/>
    </row>
    <row r="18" customFormat="false" ht="12.75" hidden="false" customHeight="true" outlineLevel="0" collapsed="false">
      <c r="C18" s="176"/>
    </row>
    <row r="19" s="85" customFormat="true" ht="36" hidden="false" customHeight="true" outlineLevel="0" collapsed="false">
      <c r="L19" s="177" t="s">
        <v>4710</v>
      </c>
      <c r="M19" s="178" t="s">
        <v>4711</v>
      </c>
      <c r="N19" s="179" t="s">
        <v>4712</v>
      </c>
      <c r="O19" s="179" t="s">
        <v>4713</v>
      </c>
    </row>
    <row r="20" customFormat="false" ht="15" hidden="false" customHeight="true" outlineLevel="0" collapsed="false">
      <c r="L20" s="79" t="e">
        <f aca="false">#VALUE!</f>
        <v>#VALUE!</v>
      </c>
      <c r="M20" s="180" t="e">
        <f aca="false">F13+D28</f>
        <v>#VALUE!</v>
      </c>
      <c r="N20" s="181" t="n">
        <f aca="false">H13+F28</f>
        <v>945</v>
      </c>
      <c r="O20" s="79" t="n">
        <f aca="false">IFERROR(M20/N20,0)</f>
        <v>0</v>
      </c>
    </row>
    <row r="22" s="94" customFormat="true" ht="18.75" hidden="false" customHeight="true" outlineLevel="0" collapsed="false">
      <c r="D22" s="95" t="s">
        <v>4714</v>
      </c>
      <c r="E22" s="95"/>
      <c r="F22" s="95"/>
      <c r="I22" s="96"/>
      <c r="J22" s="96"/>
    </row>
    <row r="27" customFormat="false" ht="24.75" hidden="false" customHeight="true" outlineLevel="0" collapsed="false">
      <c r="C27" s="97" t="s">
        <v>4715</v>
      </c>
      <c r="D27" s="98" t="s">
        <v>4716</v>
      </c>
      <c r="E27" s="100" t="s">
        <v>4717</v>
      </c>
      <c r="F27" s="100" t="s">
        <v>4718</v>
      </c>
      <c r="G27" s="100" t="s">
        <v>4719</v>
      </c>
      <c r="H27" s="182" t="s">
        <v>4684</v>
      </c>
    </row>
    <row r="28" s="94" customFormat="true" ht="27" hidden="false" customHeight="true" outlineLevel="0" collapsed="false">
      <c r="C28" s="183" t="e">
        <f aca="false">COUNTIFS(pharma #REF!,3)</f>
        <v>#VALUE!</v>
      </c>
      <c r="D28" s="184" t="e">
        <f aca="false">C28*3</f>
        <v>#VALUE!</v>
      </c>
      <c r="E28" s="185" t="n">
        <v>63</v>
      </c>
      <c r="F28" s="185" t="n">
        <v>189</v>
      </c>
      <c r="G28" s="186" t="n">
        <f aca="false">IFERROR(C28/E28,0)</f>
        <v>0</v>
      </c>
      <c r="H28" s="187" t="n">
        <f aca="false">IFERROR(D28/F28,0)</f>
        <v>0</v>
      </c>
      <c r="I28" s="96"/>
      <c r="J28" s="96"/>
    </row>
  </sheetData>
  <mergeCells count="28">
    <mergeCell ref="D1:F1"/>
    <mergeCell ref="M3:R3"/>
    <mergeCell ref="S3:T3"/>
    <mergeCell ref="U3:V3"/>
    <mergeCell ref="W3:X3"/>
    <mergeCell ref="Y3:Z3"/>
    <mergeCell ref="AA3:AB3"/>
    <mergeCell ref="AC3:AD3"/>
    <mergeCell ref="B4:B6"/>
    <mergeCell ref="G4:G6"/>
    <mergeCell ref="H4:H6"/>
    <mergeCell ref="I4:I6"/>
    <mergeCell ref="J4:J6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D10:D12"/>
    <mergeCell ref="G10:G12"/>
    <mergeCell ref="H10:H12"/>
    <mergeCell ref="I10:J12"/>
    <mergeCell ref="B13:C13"/>
    <mergeCell ref="D22:F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23" activeCellId="0" sqref="N23"/>
    </sheetView>
  </sheetViews>
  <sheetFormatPr defaultColWidth="8.84765625" defaultRowHeight="12.8" zeroHeight="false" outlineLevelRow="0" outlineLevelCol="0"/>
  <cols>
    <col collapsed="false" customWidth="true" hidden="false" outlineLevel="0" max="1" min="1" style="0" width="15.34"/>
  </cols>
  <sheetData>
    <row r="1" customFormat="false" ht="12.8" hidden="false" customHeight="false" outlineLevel="0" collapsed="false">
      <c r="A1" s="0" t="s">
        <v>4720</v>
      </c>
      <c r="B1" s="188" t="s">
        <v>4721</v>
      </c>
      <c r="C1" s="189" t="s">
        <v>4722</v>
      </c>
      <c r="D1" s="190" t="s">
        <v>4723</v>
      </c>
      <c r="E1" s="191"/>
    </row>
    <row r="2" customFormat="false" ht="12.8" hidden="false" customHeight="false" outlineLevel="0" collapsed="false">
      <c r="A2" s="0" t="s">
        <v>4724</v>
      </c>
      <c r="B2" s="192" t="s">
        <v>4725</v>
      </c>
      <c r="C2" s="193" t="s">
        <v>4726</v>
      </c>
      <c r="D2" s="194" t="s">
        <v>4727</v>
      </c>
      <c r="E2" s="194" t="s">
        <v>4728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2" activeCellId="0" sqref="A32"/>
    </sheetView>
  </sheetViews>
  <sheetFormatPr defaultColWidth="15.015625" defaultRowHeight="12.8" zeroHeight="false" outlineLevelRow="0" outlineLevelCol="0"/>
  <cols>
    <col collapsed="false" customWidth="true" hidden="false" outlineLevel="0" max="1" min="1" style="0" width="61.17"/>
  </cols>
  <sheetData>
    <row r="1" customFormat="false" ht="12.75" hidden="false" customHeight="true" outlineLevel="0" collapsed="false">
      <c r="A1" s="0" t="s">
        <v>4729</v>
      </c>
    </row>
    <row r="2" customFormat="false" ht="12.75" hidden="false" customHeight="true" outlineLevel="0" collapsed="false">
      <c r="A2" s="0" t="s">
        <v>4730</v>
      </c>
    </row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3" customFormat="false" ht="15" hidden="false" customHeight="true" outlineLevel="0" collapsed="false"/>
    <row r="20" customFormat="false" ht="15" hidden="false" customHeight="true" outlineLevel="0" collapsed="false"/>
    <row r="22" customFormat="false" ht="15" hidden="false" customHeight="true" outlineLevel="0" collapsed="false"/>
    <row r="28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0" activeCellId="0" sqref="D10"/>
    </sheetView>
  </sheetViews>
  <sheetFormatPr defaultColWidth="14.33984375" defaultRowHeight="12.8" zeroHeight="false" outlineLevelRow="0" outlineLevelCol="0"/>
  <cols>
    <col collapsed="false" customWidth="false" hidden="false" outlineLevel="0" max="1" min="1" style="79" width="14.34"/>
    <col collapsed="false" customWidth="true" hidden="false" outlineLevel="0" max="2" min="2" style="79" width="21.66"/>
    <col collapsed="false" customWidth="true" hidden="false" outlineLevel="0" max="3" min="3" style="79" width="17.5"/>
    <col collapsed="false" customWidth="true" hidden="false" outlineLevel="0" max="4" min="4" style="79" width="5.66"/>
    <col collapsed="false" customWidth="false" hidden="false" outlineLevel="0" max="1024" min="5" style="79" width="14.34"/>
  </cols>
  <sheetData>
    <row r="1" customFormat="false" ht="13.5" hidden="false" customHeight="true" outlineLevel="0" collapsed="false">
      <c r="A1" s="79" t="s">
        <v>6</v>
      </c>
      <c r="B1" s="79" t="s">
        <v>7</v>
      </c>
      <c r="C1" s="79" t="s">
        <v>4731</v>
      </c>
      <c r="D1" s="79" t="s">
        <v>4732</v>
      </c>
    </row>
    <row r="2" customFormat="false" ht="13.5" hidden="false" customHeight="true" outlineLevel="0" collapsed="false">
      <c r="A2" s="79" t="n">
        <v>75007</v>
      </c>
      <c r="B2" s="79" t="s">
        <v>4733</v>
      </c>
      <c r="C2" s="79" t="s">
        <v>4734</v>
      </c>
      <c r="D2" s="79" t="n">
        <v>6</v>
      </c>
    </row>
    <row r="3" customFormat="false" ht="13.5" hidden="false" customHeight="true" outlineLevel="0" collapsed="false">
      <c r="A3" s="79" t="n">
        <v>75008</v>
      </c>
      <c r="B3" s="79" t="s">
        <v>4733</v>
      </c>
      <c r="C3" s="79" t="s">
        <v>4735</v>
      </c>
      <c r="D3" s="79" t="n">
        <v>6</v>
      </c>
    </row>
    <row r="4" customFormat="false" ht="13.5" hidden="false" customHeight="true" outlineLevel="0" collapsed="false">
      <c r="A4" s="79" t="n">
        <v>75015</v>
      </c>
      <c r="B4" s="79" t="s">
        <v>4733</v>
      </c>
      <c r="C4" s="79" t="s">
        <v>4736</v>
      </c>
      <c r="D4" s="79" t="n">
        <v>4</v>
      </c>
    </row>
    <row r="5" customFormat="false" ht="13.5" hidden="false" customHeight="true" outlineLevel="0" collapsed="false">
      <c r="A5" s="79" t="n">
        <v>75016</v>
      </c>
      <c r="B5" s="79" t="s">
        <v>4733</v>
      </c>
      <c r="C5" s="79" t="s">
        <v>4737</v>
      </c>
      <c r="D5" s="79" t="n">
        <v>4</v>
      </c>
    </row>
    <row r="6" customFormat="false" ht="13.5" hidden="false" customHeight="true" outlineLevel="0" collapsed="false">
      <c r="A6" s="79" t="n">
        <v>75017</v>
      </c>
      <c r="B6" s="79" t="s">
        <v>4733</v>
      </c>
      <c r="C6" s="79" t="s">
        <v>4738</v>
      </c>
      <c r="D6" s="79" t="n">
        <v>4</v>
      </c>
    </row>
    <row r="7" customFormat="false" ht="13.5" hidden="false" customHeight="true" outlineLevel="0" collapsed="false">
      <c r="A7" s="79" t="n">
        <v>92200</v>
      </c>
      <c r="B7" s="79" t="s">
        <v>4739</v>
      </c>
      <c r="C7" s="79" t="s">
        <v>4740</v>
      </c>
      <c r="D7" s="79" t="n">
        <v>4</v>
      </c>
    </row>
    <row r="8" customFormat="false" ht="13.5" hidden="false" customHeight="true" outlineLevel="0" collapsed="false">
      <c r="A8" s="79" t="n">
        <v>92300</v>
      </c>
      <c r="B8" s="79" t="s">
        <v>4741</v>
      </c>
      <c r="C8" s="79" t="s">
        <v>4742</v>
      </c>
      <c r="D8" s="79" t="n">
        <v>4</v>
      </c>
    </row>
    <row r="9" customFormat="false" ht="13.5" hidden="false" customHeight="true" outlineLevel="0" collapsed="false">
      <c r="A9" s="79" t="n">
        <v>92100</v>
      </c>
      <c r="B9" s="79" t="s">
        <v>4743</v>
      </c>
      <c r="C9" s="79" t="s">
        <v>4744</v>
      </c>
      <c r="D9" s="79" t="n">
        <v>4</v>
      </c>
    </row>
    <row r="10" customFormat="false" ht="13.5" hidden="false" customHeight="true" outlineLevel="0" collapsed="false"/>
    <row r="13" customFormat="false" ht="15" hidden="false" customHeight="true" outlineLevel="0" collapsed="false"/>
    <row r="20" customFormat="false" ht="15" hidden="false" customHeight="true" outlineLevel="0" collapsed="false"/>
    <row r="22" customFormat="false" ht="15" hidden="false" customHeight="true" outlineLevel="0" collapsed="false"/>
    <row r="28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9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2" activeCellId="0" sqref="A32"/>
    </sheetView>
  </sheetViews>
  <sheetFormatPr defaultColWidth="14.40625" defaultRowHeight="12.8" zeroHeight="false" outlineLevelRow="0" outlineLevelCol="0"/>
  <cols>
    <col collapsed="false" customWidth="true" hidden="false" outlineLevel="0" max="1" min="1" style="0" width="31.68"/>
    <col collapsed="false" customWidth="true" hidden="false" outlineLevel="0" max="2" min="2" style="0" width="48.89"/>
    <col collapsed="false" customWidth="true" hidden="false" outlineLevel="0" max="3" min="3" style="0" width="7.4"/>
    <col collapsed="false" customWidth="true" hidden="false" outlineLevel="0" max="4" min="4" style="0" width="20.5"/>
  </cols>
  <sheetData>
    <row r="1" customFormat="false" ht="12.8" hidden="false" customHeight="false" outlineLevel="0" collapsed="false">
      <c r="A1" s="195" t="s">
        <v>4</v>
      </c>
      <c r="B1" s="195" t="s">
        <v>5</v>
      </c>
      <c r="C1" s="195" t="s">
        <v>6</v>
      </c>
      <c r="D1" s="196" t="s">
        <v>7</v>
      </c>
    </row>
    <row r="2" customFormat="false" ht="12.8" hidden="false" customHeight="false" outlineLevel="0" collapsed="false">
      <c r="A2" s="27" t="s">
        <v>3135</v>
      </c>
      <c r="B2" s="27" t="s">
        <v>3131</v>
      </c>
      <c r="C2" s="30" t="n">
        <v>75016</v>
      </c>
      <c r="D2" s="31" t="s">
        <v>36</v>
      </c>
    </row>
    <row r="3" customFormat="false" ht="12.8" hidden="false" customHeight="false" outlineLevel="0" collapsed="false">
      <c r="A3" s="27" t="s">
        <v>3202</v>
      </c>
      <c r="B3" s="27" t="s">
        <v>3203</v>
      </c>
      <c r="C3" s="30" t="n">
        <v>75016</v>
      </c>
      <c r="D3" s="31" t="s">
        <v>36</v>
      </c>
    </row>
    <row r="4" customFormat="false" ht="12.8" hidden="false" customHeight="false" outlineLevel="0" collapsed="false">
      <c r="A4" s="27" t="s">
        <v>1404</v>
      </c>
      <c r="B4" s="27" t="s">
        <v>1405</v>
      </c>
      <c r="C4" s="30" t="n">
        <v>75007</v>
      </c>
      <c r="D4" s="31" t="s">
        <v>36</v>
      </c>
    </row>
    <row r="5" customFormat="false" ht="12.8" hidden="false" customHeight="false" outlineLevel="0" collapsed="false">
      <c r="A5" s="27" t="s">
        <v>1556</v>
      </c>
      <c r="B5" s="27" t="s">
        <v>1557</v>
      </c>
      <c r="C5" s="30" t="n">
        <v>75015</v>
      </c>
      <c r="D5" s="31" t="s">
        <v>36</v>
      </c>
    </row>
    <row r="6" customFormat="false" ht="12.8" hidden="false" customHeight="false" outlineLevel="0" collapsed="false">
      <c r="A6" s="27" t="s">
        <v>2740</v>
      </c>
      <c r="B6" s="27" t="s">
        <v>2741</v>
      </c>
      <c r="C6" s="30" t="n">
        <v>75017</v>
      </c>
      <c r="D6" s="31" t="s">
        <v>36</v>
      </c>
    </row>
    <row r="7" customFormat="false" ht="12.8" hidden="false" customHeight="false" outlineLevel="0" collapsed="false">
      <c r="A7" s="27" t="s">
        <v>1914</v>
      </c>
      <c r="B7" s="27" t="s">
        <v>1915</v>
      </c>
      <c r="C7" s="30" t="n">
        <v>75015</v>
      </c>
      <c r="D7" s="31" t="s">
        <v>36</v>
      </c>
    </row>
    <row r="8" customFormat="false" ht="12.8" hidden="false" customHeight="false" outlineLevel="0" collapsed="false">
      <c r="A8" s="27" t="s">
        <v>2035</v>
      </c>
      <c r="B8" s="27" t="s">
        <v>2036</v>
      </c>
      <c r="C8" s="30" t="n">
        <v>75015</v>
      </c>
      <c r="D8" s="31" t="s">
        <v>36</v>
      </c>
    </row>
    <row r="9" customFormat="false" ht="12.8" hidden="false" customHeight="false" outlineLevel="0" collapsed="false">
      <c r="A9" s="27" t="s">
        <v>3690</v>
      </c>
      <c r="B9" s="27" t="s">
        <v>3691</v>
      </c>
      <c r="C9" s="30" t="n">
        <v>92200</v>
      </c>
      <c r="D9" s="31" t="s">
        <v>3626</v>
      </c>
    </row>
    <row r="10" customFormat="false" ht="12.8" hidden="false" customHeight="false" outlineLevel="0" collapsed="false">
      <c r="A10" s="27" t="s">
        <v>3029</v>
      </c>
      <c r="B10" s="27" t="s">
        <v>3030</v>
      </c>
      <c r="C10" s="30" t="n">
        <v>75016</v>
      </c>
      <c r="D10" s="31" t="s">
        <v>36</v>
      </c>
    </row>
    <row r="11" customFormat="false" ht="12.8" hidden="false" customHeight="false" outlineLevel="0" collapsed="false">
      <c r="A11" s="27" t="s">
        <v>1237</v>
      </c>
      <c r="B11" s="27" t="s">
        <v>1238</v>
      </c>
      <c r="C11" s="30" t="n">
        <v>75007</v>
      </c>
      <c r="D11" s="31" t="s">
        <v>36</v>
      </c>
    </row>
    <row r="12" customFormat="false" ht="12.8" hidden="false" customHeight="false" outlineLevel="0" collapsed="false">
      <c r="A12" s="27" t="s">
        <v>2277</v>
      </c>
      <c r="B12" s="27" t="s">
        <v>2278</v>
      </c>
      <c r="C12" s="30" t="n">
        <v>75016</v>
      </c>
      <c r="D12" s="31" t="s">
        <v>36</v>
      </c>
    </row>
    <row r="13" customFormat="false" ht="12.8" hidden="false" customHeight="false" outlineLevel="0" collapsed="false">
      <c r="A13" s="27" t="s">
        <v>142</v>
      </c>
      <c r="B13" s="27" t="s">
        <v>143</v>
      </c>
      <c r="C13" s="30" t="n">
        <v>75016</v>
      </c>
      <c r="D13" s="31" t="s">
        <v>36</v>
      </c>
    </row>
    <row r="14" customFormat="false" ht="12.8" hidden="false" customHeight="false" outlineLevel="0" collapsed="false">
      <c r="A14" s="27" t="s">
        <v>3798</v>
      </c>
      <c r="B14" s="27" t="s">
        <v>3799</v>
      </c>
      <c r="C14" s="30" t="n">
        <v>92200</v>
      </c>
      <c r="D14" s="31" t="s">
        <v>3626</v>
      </c>
    </row>
    <row r="15" customFormat="false" ht="12.8" hidden="false" customHeight="false" outlineLevel="0" collapsed="false">
      <c r="A15" s="27" t="s">
        <v>1288</v>
      </c>
      <c r="B15" s="27" t="s">
        <v>1289</v>
      </c>
      <c r="C15" s="30" t="n">
        <v>75007</v>
      </c>
      <c r="D15" s="31" t="s">
        <v>36</v>
      </c>
    </row>
    <row r="16" customFormat="false" ht="12.8" hidden="false" customHeight="false" outlineLevel="0" collapsed="false">
      <c r="A16" s="27" t="s">
        <v>2639</v>
      </c>
      <c r="B16" s="27" t="s">
        <v>2640</v>
      </c>
      <c r="C16" s="30" t="n">
        <v>75017</v>
      </c>
      <c r="D16" s="31" t="s">
        <v>36</v>
      </c>
    </row>
    <row r="17" customFormat="false" ht="12.8" hidden="false" customHeight="false" outlineLevel="0" collapsed="false">
      <c r="A17" s="27" t="s">
        <v>3776</v>
      </c>
      <c r="B17" s="27" t="s">
        <v>3777</v>
      </c>
      <c r="C17" s="30" t="n">
        <v>92200</v>
      </c>
      <c r="D17" s="31" t="s">
        <v>3626</v>
      </c>
    </row>
    <row r="18" customFormat="false" ht="12.8" hidden="false" customHeight="false" outlineLevel="0" collapsed="false">
      <c r="A18" s="27" t="s">
        <v>1377</v>
      </c>
      <c r="B18" s="27" t="s">
        <v>1378</v>
      </c>
      <c r="C18" s="30" t="n">
        <v>75007</v>
      </c>
      <c r="D18" s="31" t="s">
        <v>36</v>
      </c>
    </row>
    <row r="19" customFormat="false" ht="12.8" hidden="false" customHeight="false" outlineLevel="0" collapsed="false">
      <c r="A19" s="27" t="s">
        <v>513</v>
      </c>
      <c r="B19" s="27" t="s">
        <v>514</v>
      </c>
      <c r="C19" s="30" t="n">
        <v>75008</v>
      </c>
      <c r="D19" s="31" t="s">
        <v>36</v>
      </c>
    </row>
    <row r="20" customFormat="false" ht="12.8" hidden="false" customHeight="false" outlineLevel="0" collapsed="false">
      <c r="A20" s="27" t="s">
        <v>1982</v>
      </c>
      <c r="B20" s="27" t="s">
        <v>1983</v>
      </c>
      <c r="C20" s="30" t="n">
        <v>75015</v>
      </c>
      <c r="D20" s="31" t="s">
        <v>36</v>
      </c>
    </row>
    <row r="21" customFormat="false" ht="12.8" hidden="false" customHeight="false" outlineLevel="0" collapsed="false">
      <c r="A21" s="27" t="s">
        <v>1052</v>
      </c>
      <c r="B21" s="27" t="s">
        <v>1051</v>
      </c>
      <c r="C21" s="30" t="n">
        <v>75015</v>
      </c>
      <c r="D21" s="31" t="s">
        <v>36</v>
      </c>
    </row>
    <row r="22" customFormat="false" ht="12.8" hidden="false" customHeight="false" outlineLevel="0" collapsed="false">
      <c r="A22" s="27" t="s">
        <v>744</v>
      </c>
      <c r="B22" s="27" t="s">
        <v>745</v>
      </c>
      <c r="C22" s="30" t="n">
        <v>75015</v>
      </c>
      <c r="D22" s="31" t="s">
        <v>36</v>
      </c>
    </row>
    <row r="23" customFormat="false" ht="12.8" hidden="false" customHeight="false" outlineLevel="0" collapsed="false">
      <c r="A23" s="27" t="s">
        <v>3822</v>
      </c>
      <c r="B23" s="27" t="s">
        <v>3823</v>
      </c>
      <c r="C23" s="30" t="n">
        <v>92200</v>
      </c>
      <c r="D23" s="31" t="s">
        <v>3626</v>
      </c>
    </row>
    <row r="24" customFormat="false" ht="12.8" hidden="false" customHeight="false" outlineLevel="0" collapsed="false">
      <c r="A24" s="27" t="s">
        <v>3284</v>
      </c>
      <c r="B24" s="27" t="s">
        <v>3285</v>
      </c>
      <c r="C24" s="30" t="n">
        <v>75015</v>
      </c>
      <c r="D24" s="31" t="s">
        <v>36</v>
      </c>
    </row>
    <row r="25" customFormat="false" ht="12.8" hidden="false" customHeight="false" outlineLevel="0" collapsed="false">
      <c r="A25" s="27" t="s">
        <v>3704</v>
      </c>
      <c r="B25" s="27" t="s">
        <v>3705</v>
      </c>
      <c r="C25" s="30" t="n">
        <v>92200</v>
      </c>
      <c r="D25" s="31" t="s">
        <v>3626</v>
      </c>
    </row>
    <row r="26" customFormat="false" ht="12.8" hidden="false" customHeight="false" outlineLevel="0" collapsed="false">
      <c r="A26" s="27" t="s">
        <v>3704</v>
      </c>
      <c r="B26" s="27" t="s">
        <v>3807</v>
      </c>
      <c r="C26" s="30" t="n">
        <v>92200</v>
      </c>
      <c r="D26" s="31" t="s">
        <v>3626</v>
      </c>
    </row>
    <row r="27" customFormat="false" ht="12.8" hidden="false" customHeight="false" outlineLevel="0" collapsed="false">
      <c r="A27" s="27" t="s">
        <v>3457</v>
      </c>
      <c r="B27" s="27" t="s">
        <v>3458</v>
      </c>
      <c r="C27" s="30" t="n">
        <v>92300</v>
      </c>
      <c r="D27" s="31" t="s">
        <v>3403</v>
      </c>
    </row>
    <row r="28" customFormat="false" ht="12.8" hidden="false" customHeight="false" outlineLevel="0" collapsed="false">
      <c r="A28" s="27" t="s">
        <v>3457</v>
      </c>
      <c r="B28" s="27" t="s">
        <v>3498</v>
      </c>
      <c r="C28" s="30" t="n">
        <v>92300</v>
      </c>
      <c r="D28" s="31" t="s">
        <v>3403</v>
      </c>
    </row>
    <row r="29" customFormat="false" ht="12.8" hidden="false" customHeight="false" outlineLevel="0" collapsed="false">
      <c r="A29" s="27" t="s">
        <v>341</v>
      </c>
      <c r="B29" s="27" t="s">
        <v>342</v>
      </c>
      <c r="C29" s="30" t="n">
        <v>75016</v>
      </c>
      <c r="D29" s="31" t="s">
        <v>36</v>
      </c>
    </row>
    <row r="30" customFormat="false" ht="12.8" hidden="false" customHeight="false" outlineLevel="0" collapsed="false">
      <c r="A30" s="27" t="s">
        <v>2709</v>
      </c>
      <c r="B30" s="27" t="s">
        <v>2710</v>
      </c>
      <c r="C30" s="30" t="n">
        <v>75017</v>
      </c>
      <c r="D30" s="31" t="s">
        <v>36</v>
      </c>
    </row>
    <row r="31" customFormat="false" ht="12.8" hidden="false" customHeight="false" outlineLevel="0" collapsed="false">
      <c r="A31" s="27" t="s">
        <v>48</v>
      </c>
      <c r="B31" s="27" t="s">
        <v>49</v>
      </c>
      <c r="C31" s="30" t="n">
        <v>75016</v>
      </c>
      <c r="D31" s="31" t="s">
        <v>36</v>
      </c>
    </row>
    <row r="32" customFormat="false" ht="12.8" hidden="false" customHeight="false" outlineLevel="0" collapsed="false">
      <c r="A32" s="27" t="s">
        <v>1585</v>
      </c>
      <c r="B32" s="27" t="s">
        <v>1586</v>
      </c>
      <c r="C32" s="30" t="n">
        <v>75015</v>
      </c>
      <c r="D32" s="31" t="s">
        <v>36</v>
      </c>
    </row>
    <row r="33" customFormat="false" ht="12.8" hidden="false" customHeight="false" outlineLevel="0" collapsed="false">
      <c r="A33" s="27" t="s">
        <v>3244</v>
      </c>
      <c r="B33" s="27" t="s">
        <v>3245</v>
      </c>
      <c r="C33" s="30" t="n">
        <v>75015</v>
      </c>
      <c r="D33" s="31" t="s">
        <v>36</v>
      </c>
    </row>
    <row r="34" customFormat="false" ht="12.8" hidden="false" customHeight="false" outlineLevel="0" collapsed="false">
      <c r="A34" s="27" t="s">
        <v>2262</v>
      </c>
      <c r="B34" s="27" t="s">
        <v>2263</v>
      </c>
      <c r="C34" s="30" t="n">
        <v>75016</v>
      </c>
      <c r="D34" s="31" t="s">
        <v>36</v>
      </c>
    </row>
    <row r="35" customFormat="false" ht="12.8" hidden="false" customHeight="false" outlineLevel="0" collapsed="false">
      <c r="A35" s="27" t="s">
        <v>1463</v>
      </c>
      <c r="B35" s="27" t="s">
        <v>1464</v>
      </c>
      <c r="C35" s="30" t="n">
        <v>75007</v>
      </c>
      <c r="D35" s="31" t="s">
        <v>36</v>
      </c>
    </row>
    <row r="36" customFormat="false" ht="12.8" hidden="false" customHeight="false" outlineLevel="0" collapsed="false">
      <c r="A36" s="27" t="s">
        <v>3315</v>
      </c>
      <c r="B36" s="27" t="s">
        <v>3316</v>
      </c>
      <c r="C36" s="30" t="n">
        <v>75015</v>
      </c>
      <c r="D36" s="31" t="s">
        <v>36</v>
      </c>
    </row>
    <row r="37" customFormat="false" ht="12.8" hidden="false" customHeight="false" outlineLevel="0" collapsed="false">
      <c r="A37" s="27" t="s">
        <v>661</v>
      </c>
      <c r="B37" s="27" t="s">
        <v>662</v>
      </c>
      <c r="C37" s="30" t="n">
        <v>75015</v>
      </c>
      <c r="D37" s="31" t="s">
        <v>36</v>
      </c>
    </row>
    <row r="38" customFormat="false" ht="12.8" hidden="false" customHeight="false" outlineLevel="0" collapsed="false">
      <c r="A38" s="27" t="s">
        <v>85</v>
      </c>
      <c r="B38" s="27" t="s">
        <v>86</v>
      </c>
      <c r="C38" s="30" t="n">
        <v>75016</v>
      </c>
      <c r="D38" s="31" t="s">
        <v>36</v>
      </c>
    </row>
    <row r="39" customFormat="false" ht="12.8" hidden="false" customHeight="false" outlineLevel="0" collapsed="false">
      <c r="A39" s="27" t="s">
        <v>1923</v>
      </c>
      <c r="B39" s="27" t="s">
        <v>1924</v>
      </c>
      <c r="C39" s="30" t="n">
        <v>75015</v>
      </c>
      <c r="D39" s="31" t="s">
        <v>36</v>
      </c>
    </row>
    <row r="40" customFormat="false" ht="12.8" hidden="false" customHeight="false" outlineLevel="0" collapsed="false">
      <c r="A40" s="27" t="s">
        <v>1923</v>
      </c>
      <c r="B40" s="27" t="s">
        <v>1958</v>
      </c>
      <c r="C40" s="30" t="n">
        <v>75015</v>
      </c>
      <c r="D40" s="31" t="s">
        <v>36</v>
      </c>
    </row>
    <row r="41" customFormat="false" ht="12.8" hidden="false" customHeight="false" outlineLevel="0" collapsed="false">
      <c r="A41" s="27" t="s">
        <v>255</v>
      </c>
      <c r="B41" s="27" t="s">
        <v>256</v>
      </c>
      <c r="C41" s="30" t="n">
        <v>75016</v>
      </c>
      <c r="D41" s="31" t="s">
        <v>36</v>
      </c>
    </row>
    <row r="42" customFormat="false" ht="12.8" hidden="false" customHeight="false" outlineLevel="0" collapsed="false">
      <c r="A42" s="27"/>
      <c r="B42" s="27" t="s">
        <v>35</v>
      </c>
      <c r="C42" s="30" t="n">
        <v>75016</v>
      </c>
      <c r="D42" s="31" t="s">
        <v>36</v>
      </c>
    </row>
    <row r="43" customFormat="false" ht="12.8" hidden="false" customHeight="false" outlineLevel="0" collapsed="false">
      <c r="A43" s="27"/>
      <c r="B43" s="27" t="s">
        <v>42</v>
      </c>
      <c r="C43" s="30" t="n">
        <v>75016</v>
      </c>
      <c r="D43" s="31" t="s">
        <v>36</v>
      </c>
    </row>
    <row r="44" customFormat="false" ht="12.8" hidden="false" customHeight="false" outlineLevel="0" collapsed="false">
      <c r="A44" s="27"/>
      <c r="B44" s="27" t="s">
        <v>45</v>
      </c>
      <c r="C44" s="30" t="n">
        <v>75016</v>
      </c>
      <c r="D44" s="31" t="s">
        <v>36</v>
      </c>
    </row>
    <row r="45" customFormat="false" ht="12.8" hidden="false" customHeight="false" outlineLevel="0" collapsed="false">
      <c r="A45" s="27"/>
      <c r="B45" s="27" t="s">
        <v>82</v>
      </c>
      <c r="C45" s="30" t="n">
        <v>75016</v>
      </c>
      <c r="D45" s="31" t="s">
        <v>36</v>
      </c>
    </row>
    <row r="46" customFormat="false" ht="12.8" hidden="false" customHeight="false" outlineLevel="0" collapsed="false">
      <c r="A46" s="27"/>
      <c r="B46" s="27" t="s">
        <v>107</v>
      </c>
      <c r="C46" s="30" t="n">
        <v>75016</v>
      </c>
      <c r="D46" s="31" t="s">
        <v>36</v>
      </c>
    </row>
    <row r="47" customFormat="false" ht="12.8" hidden="false" customHeight="false" outlineLevel="0" collapsed="false">
      <c r="A47" s="27"/>
      <c r="B47" s="27" t="s">
        <v>114</v>
      </c>
      <c r="C47" s="30" t="n">
        <v>75016</v>
      </c>
      <c r="D47" s="31" t="s">
        <v>36</v>
      </c>
    </row>
    <row r="48" customFormat="false" ht="12.8" hidden="false" customHeight="false" outlineLevel="0" collapsed="false">
      <c r="A48" s="27"/>
      <c r="B48" s="27" t="s">
        <v>117</v>
      </c>
      <c r="C48" s="30" t="n">
        <v>75016</v>
      </c>
      <c r="D48" s="31" t="s">
        <v>36</v>
      </c>
    </row>
    <row r="49" customFormat="false" ht="12.8" hidden="false" customHeight="false" outlineLevel="0" collapsed="false">
      <c r="A49" s="27"/>
      <c r="B49" s="27" t="s">
        <v>122</v>
      </c>
      <c r="C49" s="30" t="n">
        <v>75016</v>
      </c>
      <c r="D49" s="31" t="s">
        <v>36</v>
      </c>
    </row>
    <row r="50" customFormat="false" ht="12.8" hidden="false" customHeight="false" outlineLevel="0" collapsed="false">
      <c r="A50" s="27"/>
      <c r="B50" s="27" t="s">
        <v>125</v>
      </c>
      <c r="C50" s="30" t="n">
        <v>75016</v>
      </c>
      <c r="D50" s="31" t="s">
        <v>36</v>
      </c>
    </row>
    <row r="51" customFormat="false" ht="12.8" hidden="false" customHeight="false" outlineLevel="0" collapsed="false">
      <c r="A51" s="27"/>
      <c r="B51" s="27" t="s">
        <v>128</v>
      </c>
      <c r="C51" s="30" t="n">
        <v>75016</v>
      </c>
      <c r="D51" s="31" t="s">
        <v>36</v>
      </c>
    </row>
    <row r="52" customFormat="false" ht="12.8" hidden="false" customHeight="false" outlineLevel="0" collapsed="false">
      <c r="A52" s="27"/>
      <c r="B52" s="27" t="s">
        <v>131</v>
      </c>
      <c r="C52" s="30" t="n">
        <v>75016</v>
      </c>
      <c r="D52" s="31" t="s">
        <v>36</v>
      </c>
    </row>
    <row r="53" customFormat="false" ht="12.8" hidden="false" customHeight="false" outlineLevel="0" collapsed="false">
      <c r="A53" s="27"/>
      <c r="B53" s="27" t="s">
        <v>135</v>
      </c>
      <c r="C53" s="30" t="n">
        <v>75016</v>
      </c>
      <c r="D53" s="31" t="s">
        <v>36</v>
      </c>
    </row>
    <row r="54" customFormat="false" ht="12.8" hidden="false" customHeight="false" outlineLevel="0" collapsed="false">
      <c r="A54" s="27"/>
      <c r="B54" s="27" t="s">
        <v>139</v>
      </c>
      <c r="C54" s="30" t="n">
        <v>75016</v>
      </c>
      <c r="D54" s="31" t="s">
        <v>36</v>
      </c>
    </row>
    <row r="55" customFormat="false" ht="12.8" hidden="false" customHeight="false" outlineLevel="0" collapsed="false">
      <c r="A55" s="27"/>
      <c r="B55" s="27" t="s">
        <v>154</v>
      </c>
      <c r="C55" s="30" t="n">
        <v>75016</v>
      </c>
      <c r="D55" s="31" t="s">
        <v>36</v>
      </c>
    </row>
    <row r="56" customFormat="false" ht="12.8" hidden="false" customHeight="false" outlineLevel="0" collapsed="false">
      <c r="A56" s="27"/>
      <c r="B56" s="27" t="s">
        <v>158</v>
      </c>
      <c r="C56" s="30" t="n">
        <v>75016</v>
      </c>
      <c r="D56" s="31" t="s">
        <v>36</v>
      </c>
    </row>
    <row r="57" customFormat="false" ht="12.8" hidden="false" customHeight="false" outlineLevel="0" collapsed="false">
      <c r="A57" s="27"/>
      <c r="B57" s="27" t="s">
        <v>161</v>
      </c>
      <c r="C57" s="30" t="n">
        <v>75016</v>
      </c>
      <c r="D57" s="31" t="s">
        <v>36</v>
      </c>
    </row>
    <row r="58" customFormat="false" ht="12.8" hidden="false" customHeight="false" outlineLevel="0" collapsed="false">
      <c r="A58" s="27"/>
      <c r="B58" s="27" t="s">
        <v>163</v>
      </c>
      <c r="C58" s="30" t="n">
        <v>75016</v>
      </c>
      <c r="D58" s="31" t="s">
        <v>36</v>
      </c>
    </row>
    <row r="59" customFormat="false" ht="12.8" hidden="false" customHeight="false" outlineLevel="0" collapsed="false">
      <c r="A59" s="27"/>
      <c r="B59" s="27" t="s">
        <v>168</v>
      </c>
      <c r="C59" s="30" t="n">
        <v>75016</v>
      </c>
      <c r="D59" s="31" t="s">
        <v>36</v>
      </c>
    </row>
    <row r="60" customFormat="false" ht="12.8" hidden="false" customHeight="false" outlineLevel="0" collapsed="false">
      <c r="A60" s="27"/>
      <c r="B60" s="27" t="s">
        <v>170</v>
      </c>
      <c r="C60" s="30" t="n">
        <v>75016</v>
      </c>
      <c r="D60" s="31" t="s">
        <v>36</v>
      </c>
    </row>
    <row r="61" customFormat="false" ht="12.8" hidden="false" customHeight="false" outlineLevel="0" collapsed="false">
      <c r="A61" s="27"/>
      <c r="B61" s="27" t="s">
        <v>173</v>
      </c>
      <c r="C61" s="30" t="n">
        <v>75016</v>
      </c>
      <c r="D61" s="31" t="s">
        <v>36</v>
      </c>
    </row>
    <row r="62" customFormat="false" ht="12.8" hidden="false" customHeight="false" outlineLevel="0" collapsed="false">
      <c r="A62" s="27"/>
      <c r="B62" s="27" t="s">
        <v>179</v>
      </c>
      <c r="C62" s="30" t="n">
        <v>75016</v>
      </c>
      <c r="D62" s="31" t="s">
        <v>36</v>
      </c>
    </row>
    <row r="63" customFormat="false" ht="12.8" hidden="false" customHeight="false" outlineLevel="0" collapsed="false">
      <c r="A63" s="27"/>
      <c r="B63" s="27" t="s">
        <v>183</v>
      </c>
      <c r="C63" s="30" t="n">
        <v>75016</v>
      </c>
      <c r="D63" s="31" t="s">
        <v>36</v>
      </c>
    </row>
    <row r="64" customFormat="false" ht="12.8" hidden="false" customHeight="false" outlineLevel="0" collapsed="false">
      <c r="A64" s="27"/>
      <c r="B64" s="27" t="s">
        <v>185</v>
      </c>
      <c r="C64" s="30" t="n">
        <v>75016</v>
      </c>
      <c r="D64" s="31" t="s">
        <v>36</v>
      </c>
    </row>
    <row r="65" customFormat="false" ht="12.8" hidden="false" customHeight="false" outlineLevel="0" collapsed="false">
      <c r="A65" s="27"/>
      <c r="B65" s="27" t="s">
        <v>190</v>
      </c>
      <c r="C65" s="30" t="n">
        <v>75016</v>
      </c>
      <c r="D65" s="31" t="s">
        <v>36</v>
      </c>
    </row>
    <row r="66" customFormat="false" ht="12.8" hidden="false" customHeight="false" outlineLevel="0" collapsed="false">
      <c r="A66" s="27"/>
      <c r="B66" s="27" t="s">
        <v>193</v>
      </c>
      <c r="C66" s="30" t="n">
        <v>75016</v>
      </c>
      <c r="D66" s="31" t="s">
        <v>36</v>
      </c>
    </row>
    <row r="67" customFormat="false" ht="12.8" hidden="false" customHeight="false" outlineLevel="0" collapsed="false">
      <c r="A67" s="27"/>
      <c r="B67" s="27" t="s">
        <v>196</v>
      </c>
      <c r="C67" s="30" t="n">
        <v>75016</v>
      </c>
      <c r="D67" s="31" t="s">
        <v>36</v>
      </c>
    </row>
    <row r="68" customFormat="false" ht="12.8" hidden="false" customHeight="false" outlineLevel="0" collapsed="false">
      <c r="A68" s="27"/>
      <c r="B68" s="27" t="s">
        <v>199</v>
      </c>
      <c r="C68" s="30" t="n">
        <v>75016</v>
      </c>
      <c r="D68" s="31" t="s">
        <v>36</v>
      </c>
    </row>
    <row r="69" customFormat="false" ht="12.8" hidden="false" customHeight="false" outlineLevel="0" collapsed="false">
      <c r="A69" s="27"/>
      <c r="B69" s="27" t="s">
        <v>202</v>
      </c>
      <c r="C69" s="30" t="n">
        <v>75016</v>
      </c>
      <c r="D69" s="31" t="s">
        <v>36</v>
      </c>
    </row>
    <row r="70" customFormat="false" ht="12.8" hidden="false" customHeight="false" outlineLevel="0" collapsed="false">
      <c r="A70" s="27"/>
      <c r="B70" s="27" t="s">
        <v>211</v>
      </c>
      <c r="C70" s="30" t="n">
        <v>75016</v>
      </c>
      <c r="D70" s="31" t="s">
        <v>36</v>
      </c>
    </row>
    <row r="71" customFormat="false" ht="12.8" hidden="false" customHeight="false" outlineLevel="0" collapsed="false">
      <c r="A71" s="27"/>
      <c r="B71" s="27" t="s">
        <v>220</v>
      </c>
      <c r="C71" s="30" t="n">
        <v>75016</v>
      </c>
      <c r="D71" s="31" t="s">
        <v>36</v>
      </c>
    </row>
    <row r="72" customFormat="false" ht="12.8" hidden="false" customHeight="false" outlineLevel="0" collapsed="false">
      <c r="A72" s="27"/>
      <c r="B72" s="27" t="s">
        <v>223</v>
      </c>
      <c r="C72" s="30" t="n">
        <v>75016</v>
      </c>
      <c r="D72" s="31" t="s">
        <v>36</v>
      </c>
    </row>
    <row r="73" customFormat="false" ht="12.8" hidden="false" customHeight="false" outlineLevel="0" collapsed="false">
      <c r="A73" s="27"/>
      <c r="B73" s="27" t="s">
        <v>226</v>
      </c>
      <c r="C73" s="30" t="n">
        <v>75016</v>
      </c>
      <c r="D73" s="31" t="s">
        <v>36</v>
      </c>
    </row>
    <row r="74" customFormat="false" ht="12.8" hidden="false" customHeight="false" outlineLevel="0" collapsed="false">
      <c r="A74" s="27"/>
      <c r="B74" s="27" t="s">
        <v>230</v>
      </c>
      <c r="C74" s="30" t="n">
        <v>75016</v>
      </c>
      <c r="D74" s="31" t="s">
        <v>36</v>
      </c>
    </row>
    <row r="75" customFormat="false" ht="12.8" hidden="false" customHeight="false" outlineLevel="0" collapsed="false">
      <c r="A75" s="27"/>
      <c r="B75" s="27" t="s">
        <v>235</v>
      </c>
      <c r="C75" s="30" t="n">
        <v>75016</v>
      </c>
      <c r="D75" s="31" t="s">
        <v>36</v>
      </c>
    </row>
    <row r="76" customFormat="false" ht="12.8" hidden="false" customHeight="false" outlineLevel="0" collapsed="false">
      <c r="A76" s="27"/>
      <c r="B76" s="27" t="s">
        <v>240</v>
      </c>
      <c r="C76" s="30" t="n">
        <v>75016</v>
      </c>
      <c r="D76" s="31" t="s">
        <v>36</v>
      </c>
    </row>
    <row r="77" customFormat="false" ht="12.8" hidden="false" customHeight="false" outlineLevel="0" collapsed="false">
      <c r="A77" s="27"/>
      <c r="B77" s="27" t="s">
        <v>243</v>
      </c>
      <c r="C77" s="30" t="n">
        <v>75016</v>
      </c>
      <c r="D77" s="31" t="s">
        <v>36</v>
      </c>
    </row>
    <row r="78" customFormat="false" ht="12.8" hidden="false" customHeight="false" outlineLevel="0" collapsed="false">
      <c r="A78" s="27"/>
      <c r="B78" s="27" t="s">
        <v>247</v>
      </c>
      <c r="C78" s="30" t="n">
        <v>75016</v>
      </c>
      <c r="D78" s="31" t="s">
        <v>36</v>
      </c>
    </row>
    <row r="79" customFormat="false" ht="12.8" hidden="false" customHeight="false" outlineLevel="0" collapsed="false">
      <c r="A79" s="27"/>
      <c r="B79" s="27" t="s">
        <v>259</v>
      </c>
      <c r="C79" s="30" t="n">
        <v>75016</v>
      </c>
      <c r="D79" s="31" t="s">
        <v>36</v>
      </c>
    </row>
    <row r="80" customFormat="false" ht="12.8" hidden="false" customHeight="false" outlineLevel="0" collapsed="false">
      <c r="A80" s="27"/>
      <c r="B80" s="27" t="s">
        <v>261</v>
      </c>
      <c r="C80" s="30" t="n">
        <v>75016</v>
      </c>
      <c r="D80" s="31" t="s">
        <v>36</v>
      </c>
    </row>
    <row r="81" customFormat="false" ht="12.8" hidden="false" customHeight="false" outlineLevel="0" collapsed="false">
      <c r="A81" s="27"/>
      <c r="B81" s="27" t="s">
        <v>264</v>
      </c>
      <c r="C81" s="30" t="n">
        <v>75016</v>
      </c>
      <c r="D81" s="31" t="s">
        <v>36</v>
      </c>
    </row>
    <row r="82" customFormat="false" ht="12.8" hidden="false" customHeight="false" outlineLevel="0" collapsed="false">
      <c r="A82" s="27"/>
      <c r="B82" s="27" t="s">
        <v>267</v>
      </c>
      <c r="C82" s="30" t="n">
        <v>75016</v>
      </c>
      <c r="D82" s="31" t="s">
        <v>36</v>
      </c>
    </row>
    <row r="83" customFormat="false" ht="12.8" hidden="false" customHeight="false" outlineLevel="0" collapsed="false">
      <c r="A83" s="27"/>
      <c r="B83" s="27" t="s">
        <v>269</v>
      </c>
      <c r="C83" s="30" t="n">
        <v>75016</v>
      </c>
      <c r="D83" s="31" t="s">
        <v>36</v>
      </c>
    </row>
    <row r="84" customFormat="false" ht="12.8" hidden="false" customHeight="false" outlineLevel="0" collapsed="false">
      <c r="A84" s="27"/>
      <c r="B84" s="27" t="s">
        <v>274</v>
      </c>
      <c r="C84" s="30" t="n">
        <v>75016</v>
      </c>
      <c r="D84" s="31" t="s">
        <v>36</v>
      </c>
    </row>
    <row r="85" customFormat="false" ht="12.8" hidden="false" customHeight="false" outlineLevel="0" collapsed="false">
      <c r="A85" s="27"/>
      <c r="B85" s="27" t="s">
        <v>278</v>
      </c>
      <c r="C85" s="30" t="n">
        <v>75016</v>
      </c>
      <c r="D85" s="31" t="s">
        <v>36</v>
      </c>
    </row>
    <row r="86" customFormat="false" ht="12.8" hidden="false" customHeight="false" outlineLevel="0" collapsed="false">
      <c r="A86" s="27"/>
      <c r="B86" s="27" t="s">
        <v>281</v>
      </c>
      <c r="C86" s="30" t="n">
        <v>75016</v>
      </c>
      <c r="D86" s="31" t="s">
        <v>36</v>
      </c>
    </row>
    <row r="87" customFormat="false" ht="12.8" hidden="false" customHeight="false" outlineLevel="0" collapsed="false">
      <c r="A87" s="27"/>
      <c r="B87" s="27" t="s">
        <v>283</v>
      </c>
      <c r="C87" s="30" t="n">
        <v>75016</v>
      </c>
      <c r="D87" s="31" t="s">
        <v>36</v>
      </c>
    </row>
    <row r="88" customFormat="false" ht="12.8" hidden="false" customHeight="false" outlineLevel="0" collapsed="false">
      <c r="A88" s="27"/>
      <c r="B88" s="27" t="s">
        <v>286</v>
      </c>
      <c r="C88" s="30" t="n">
        <v>75016</v>
      </c>
      <c r="D88" s="31" t="s">
        <v>36</v>
      </c>
    </row>
    <row r="89" customFormat="false" ht="12.8" hidden="false" customHeight="false" outlineLevel="0" collapsed="false">
      <c r="A89" s="27"/>
      <c r="B89" s="27" t="s">
        <v>289</v>
      </c>
      <c r="C89" s="30" t="n">
        <v>75016</v>
      </c>
      <c r="D89" s="31" t="s">
        <v>36</v>
      </c>
    </row>
    <row r="90" customFormat="false" ht="12.8" hidden="false" customHeight="false" outlineLevel="0" collapsed="false">
      <c r="A90" s="27"/>
      <c r="B90" s="27" t="s">
        <v>294</v>
      </c>
      <c r="C90" s="30" t="n">
        <v>75016</v>
      </c>
      <c r="D90" s="31" t="s">
        <v>36</v>
      </c>
    </row>
    <row r="91" customFormat="false" ht="12.8" hidden="false" customHeight="false" outlineLevel="0" collapsed="false">
      <c r="A91" s="27"/>
      <c r="B91" s="27" t="s">
        <v>300</v>
      </c>
      <c r="C91" s="30" t="n">
        <v>75016</v>
      </c>
      <c r="D91" s="31" t="s">
        <v>36</v>
      </c>
    </row>
    <row r="92" customFormat="false" ht="12.8" hidden="false" customHeight="false" outlineLevel="0" collapsed="false">
      <c r="A92" s="27"/>
      <c r="B92" s="27" t="s">
        <v>302</v>
      </c>
      <c r="C92" s="30" t="n">
        <v>75016</v>
      </c>
      <c r="D92" s="31" t="s">
        <v>36</v>
      </c>
    </row>
    <row r="93" customFormat="false" ht="12.8" hidden="false" customHeight="false" outlineLevel="0" collapsed="false">
      <c r="A93" s="27"/>
      <c r="B93" s="27" t="s">
        <v>310</v>
      </c>
      <c r="C93" s="30" t="n">
        <v>75016</v>
      </c>
      <c r="D93" s="31" t="s">
        <v>36</v>
      </c>
    </row>
    <row r="94" customFormat="false" ht="12.8" hidden="false" customHeight="false" outlineLevel="0" collapsed="false">
      <c r="A94" s="27"/>
      <c r="B94" s="27" t="s">
        <v>4745</v>
      </c>
      <c r="C94" s="30" t="n">
        <v>75016</v>
      </c>
      <c r="D94" s="31" t="s">
        <v>36</v>
      </c>
    </row>
    <row r="95" customFormat="false" ht="12.8" hidden="false" customHeight="false" outlineLevel="0" collapsed="false">
      <c r="A95" s="27"/>
      <c r="B95" s="27" t="s">
        <v>315</v>
      </c>
      <c r="C95" s="30" t="n">
        <v>75016</v>
      </c>
      <c r="D95" s="31" t="s">
        <v>36</v>
      </c>
    </row>
    <row r="96" customFormat="false" ht="12.8" hidden="false" customHeight="false" outlineLevel="0" collapsed="false">
      <c r="A96" s="27"/>
      <c r="B96" s="27" t="s">
        <v>318</v>
      </c>
      <c r="C96" s="30" t="n">
        <v>75016</v>
      </c>
      <c r="D96" s="31" t="s">
        <v>36</v>
      </c>
    </row>
    <row r="97" customFormat="false" ht="12.8" hidden="false" customHeight="false" outlineLevel="0" collapsed="false">
      <c r="A97" s="27"/>
      <c r="B97" s="27" t="s">
        <v>320</v>
      </c>
      <c r="C97" s="30" t="n">
        <v>75016</v>
      </c>
      <c r="D97" s="31" t="s">
        <v>36</v>
      </c>
    </row>
    <row r="98" customFormat="false" ht="12.8" hidden="false" customHeight="false" outlineLevel="0" collapsed="false">
      <c r="A98" s="27"/>
      <c r="B98" s="27" t="s">
        <v>325</v>
      </c>
      <c r="C98" s="30" t="n">
        <v>75016</v>
      </c>
      <c r="D98" s="31" t="s">
        <v>36</v>
      </c>
    </row>
    <row r="99" customFormat="false" ht="12.8" hidden="false" customHeight="false" outlineLevel="0" collapsed="false">
      <c r="A99" s="27"/>
      <c r="B99" s="27" t="s">
        <v>327</v>
      </c>
      <c r="C99" s="30" t="n">
        <v>75016</v>
      </c>
      <c r="D99" s="31" t="s">
        <v>36</v>
      </c>
    </row>
    <row r="100" customFormat="false" ht="12.8" hidden="false" customHeight="false" outlineLevel="0" collapsed="false">
      <c r="A100" s="27"/>
      <c r="B100" s="27" t="s">
        <v>330</v>
      </c>
      <c r="C100" s="30" t="n">
        <v>75016</v>
      </c>
      <c r="D100" s="31" t="s">
        <v>36</v>
      </c>
    </row>
    <row r="101" customFormat="false" ht="12.8" hidden="false" customHeight="false" outlineLevel="0" collapsed="false">
      <c r="A101" s="27"/>
      <c r="B101" s="27" t="s">
        <v>333</v>
      </c>
      <c r="C101" s="30" t="n">
        <v>75016</v>
      </c>
      <c r="D101" s="31" t="s">
        <v>36</v>
      </c>
    </row>
    <row r="102" customFormat="false" ht="12.8" hidden="false" customHeight="false" outlineLevel="0" collapsed="false">
      <c r="A102" s="27"/>
      <c r="B102" s="27" t="s">
        <v>336</v>
      </c>
      <c r="C102" s="30" t="n">
        <v>75016</v>
      </c>
      <c r="D102" s="31" t="s">
        <v>36</v>
      </c>
    </row>
    <row r="103" customFormat="false" ht="12.8" hidden="false" customHeight="false" outlineLevel="0" collapsed="false">
      <c r="A103" s="27"/>
      <c r="B103" s="27" t="s">
        <v>338</v>
      </c>
      <c r="C103" s="30" t="n">
        <v>75016</v>
      </c>
      <c r="D103" s="31" t="s">
        <v>36</v>
      </c>
    </row>
    <row r="104" customFormat="false" ht="12.8" hidden="false" customHeight="false" outlineLevel="0" collapsed="false">
      <c r="A104" s="27"/>
      <c r="B104" s="27" t="s">
        <v>354</v>
      </c>
      <c r="C104" s="30" t="n">
        <v>75016</v>
      </c>
      <c r="D104" s="31" t="s">
        <v>36</v>
      </c>
    </row>
    <row r="105" customFormat="false" ht="12.8" hidden="false" customHeight="false" outlineLevel="0" collapsed="false">
      <c r="A105" s="27"/>
      <c r="B105" s="27" t="s">
        <v>358</v>
      </c>
      <c r="C105" s="30" t="n">
        <v>75008</v>
      </c>
      <c r="D105" s="31" t="s">
        <v>36</v>
      </c>
    </row>
    <row r="106" customFormat="false" ht="12.8" hidden="false" customHeight="false" outlineLevel="0" collapsed="false">
      <c r="A106" s="27"/>
      <c r="B106" s="27" t="s">
        <v>361</v>
      </c>
      <c r="C106" s="30" t="n">
        <v>75008</v>
      </c>
      <c r="D106" s="31" t="s">
        <v>36</v>
      </c>
    </row>
    <row r="107" customFormat="false" ht="12.8" hidden="false" customHeight="false" outlineLevel="0" collapsed="false">
      <c r="A107" s="27"/>
      <c r="B107" s="27" t="s">
        <v>364</v>
      </c>
      <c r="C107" s="30" t="n">
        <v>75008</v>
      </c>
      <c r="D107" s="31" t="s">
        <v>36</v>
      </c>
    </row>
    <row r="108" customFormat="false" ht="12.8" hidden="false" customHeight="false" outlineLevel="0" collapsed="false">
      <c r="A108" s="27"/>
      <c r="B108" s="27" t="s">
        <v>366</v>
      </c>
      <c r="C108" s="30" t="n">
        <v>75008</v>
      </c>
      <c r="D108" s="31" t="s">
        <v>36</v>
      </c>
    </row>
    <row r="109" customFormat="false" ht="12.8" hidden="false" customHeight="false" outlineLevel="0" collapsed="false">
      <c r="A109" s="27"/>
      <c r="B109" s="27" t="s">
        <v>368</v>
      </c>
      <c r="C109" s="30" t="n">
        <v>75008</v>
      </c>
      <c r="D109" s="31" t="s">
        <v>36</v>
      </c>
    </row>
    <row r="110" customFormat="false" ht="12.8" hidden="false" customHeight="false" outlineLevel="0" collapsed="false">
      <c r="A110" s="27"/>
      <c r="B110" s="27" t="s">
        <v>372</v>
      </c>
      <c r="C110" s="30" t="n">
        <v>75008</v>
      </c>
      <c r="D110" s="31" t="s">
        <v>36</v>
      </c>
    </row>
    <row r="111" customFormat="false" ht="12.8" hidden="false" customHeight="false" outlineLevel="0" collapsed="false">
      <c r="A111" s="27"/>
      <c r="B111" s="27" t="s">
        <v>375</v>
      </c>
      <c r="C111" s="30" t="n">
        <v>75008</v>
      </c>
      <c r="D111" s="31" t="s">
        <v>36</v>
      </c>
    </row>
    <row r="112" customFormat="false" ht="12.8" hidden="false" customHeight="false" outlineLevel="0" collapsed="false">
      <c r="A112" s="27"/>
      <c r="B112" s="27" t="s">
        <v>378</v>
      </c>
      <c r="C112" s="30" t="n">
        <v>75008</v>
      </c>
      <c r="D112" s="31" t="s">
        <v>36</v>
      </c>
    </row>
    <row r="113" customFormat="false" ht="12.8" hidden="false" customHeight="false" outlineLevel="0" collapsed="false">
      <c r="A113" s="27"/>
      <c r="B113" s="27" t="s">
        <v>382</v>
      </c>
      <c r="C113" s="30" t="n">
        <v>75008</v>
      </c>
      <c r="D113" s="31" t="s">
        <v>36</v>
      </c>
    </row>
    <row r="114" customFormat="false" ht="12.8" hidden="false" customHeight="false" outlineLevel="0" collapsed="false">
      <c r="A114" s="27"/>
      <c r="B114" s="27" t="s">
        <v>385</v>
      </c>
      <c r="C114" s="30" t="n">
        <v>75008</v>
      </c>
      <c r="D114" s="31" t="s">
        <v>36</v>
      </c>
    </row>
    <row r="115" customFormat="false" ht="12.8" hidden="false" customHeight="false" outlineLevel="0" collapsed="false">
      <c r="A115" s="27"/>
      <c r="B115" s="27" t="s">
        <v>388</v>
      </c>
      <c r="C115" s="30" t="n">
        <v>75008</v>
      </c>
      <c r="D115" s="31" t="s">
        <v>36</v>
      </c>
    </row>
    <row r="116" customFormat="false" ht="12.8" hidden="false" customHeight="false" outlineLevel="0" collapsed="false">
      <c r="A116" s="27"/>
      <c r="B116" s="27" t="s">
        <v>390</v>
      </c>
      <c r="C116" s="30" t="n">
        <v>75008</v>
      </c>
      <c r="D116" s="31" t="s">
        <v>36</v>
      </c>
    </row>
    <row r="117" customFormat="false" ht="12.8" hidden="false" customHeight="false" outlineLevel="0" collapsed="false">
      <c r="A117" s="27"/>
      <c r="B117" s="27" t="s">
        <v>4746</v>
      </c>
      <c r="C117" s="30" t="n">
        <v>75008</v>
      </c>
      <c r="D117" s="31" t="s">
        <v>36</v>
      </c>
    </row>
    <row r="118" customFormat="false" ht="12.8" hidden="false" customHeight="false" outlineLevel="0" collapsed="false">
      <c r="A118" s="27"/>
      <c r="B118" s="27" t="s">
        <v>396</v>
      </c>
      <c r="C118" s="30" t="n">
        <v>75008</v>
      </c>
      <c r="D118" s="31" t="s">
        <v>36</v>
      </c>
    </row>
    <row r="119" customFormat="false" ht="12.8" hidden="false" customHeight="false" outlineLevel="0" collapsed="false">
      <c r="A119" s="27"/>
      <c r="B119" s="27" t="s">
        <v>399</v>
      </c>
      <c r="C119" s="30" t="n">
        <v>75008</v>
      </c>
      <c r="D119" s="31" t="s">
        <v>36</v>
      </c>
    </row>
    <row r="120" customFormat="false" ht="12.8" hidden="false" customHeight="false" outlineLevel="0" collapsed="false">
      <c r="A120" s="27"/>
      <c r="B120" s="27" t="s">
        <v>402</v>
      </c>
      <c r="C120" s="30" t="n">
        <v>75008</v>
      </c>
      <c r="D120" s="31" t="s">
        <v>36</v>
      </c>
    </row>
    <row r="121" customFormat="false" ht="12.8" hidden="false" customHeight="false" outlineLevel="0" collapsed="false">
      <c r="A121" s="27"/>
      <c r="B121" s="27" t="s">
        <v>404</v>
      </c>
      <c r="C121" s="30" t="n">
        <v>75008</v>
      </c>
      <c r="D121" s="31" t="s">
        <v>36</v>
      </c>
    </row>
    <row r="122" customFormat="false" ht="12.8" hidden="false" customHeight="false" outlineLevel="0" collapsed="false">
      <c r="A122" s="27"/>
      <c r="B122" s="27" t="s">
        <v>407</v>
      </c>
      <c r="C122" s="30" t="n">
        <v>75008</v>
      </c>
      <c r="D122" s="31" t="s">
        <v>36</v>
      </c>
    </row>
    <row r="123" customFormat="false" ht="12.8" hidden="false" customHeight="false" outlineLevel="0" collapsed="false">
      <c r="A123" s="27"/>
      <c r="B123" s="27" t="s">
        <v>410</v>
      </c>
      <c r="C123" s="30" t="n">
        <v>75008</v>
      </c>
      <c r="D123" s="31" t="s">
        <v>36</v>
      </c>
    </row>
    <row r="124" customFormat="false" ht="12.8" hidden="false" customHeight="false" outlineLevel="0" collapsed="false">
      <c r="A124" s="27"/>
      <c r="B124" s="27" t="s">
        <v>412</v>
      </c>
      <c r="C124" s="30" t="n">
        <v>75008</v>
      </c>
      <c r="D124" s="31" t="s">
        <v>36</v>
      </c>
    </row>
    <row r="125" customFormat="false" ht="12.8" hidden="false" customHeight="false" outlineLevel="0" collapsed="false">
      <c r="A125" s="27"/>
      <c r="B125" s="27" t="s">
        <v>420</v>
      </c>
      <c r="C125" s="30" t="n">
        <v>75008</v>
      </c>
      <c r="D125" s="31" t="s">
        <v>36</v>
      </c>
    </row>
    <row r="126" customFormat="false" ht="12.8" hidden="false" customHeight="false" outlineLevel="0" collapsed="false">
      <c r="A126" s="27"/>
      <c r="B126" s="27" t="s">
        <v>423</v>
      </c>
      <c r="C126" s="30" t="n">
        <v>75008</v>
      </c>
      <c r="D126" s="31" t="s">
        <v>36</v>
      </c>
    </row>
    <row r="127" customFormat="false" ht="12.8" hidden="false" customHeight="false" outlineLevel="0" collapsed="false">
      <c r="A127" s="27"/>
      <c r="B127" s="27" t="s">
        <v>426</v>
      </c>
      <c r="C127" s="30" t="n">
        <v>75008</v>
      </c>
      <c r="D127" s="31" t="s">
        <v>36</v>
      </c>
    </row>
    <row r="128" customFormat="false" ht="12.8" hidden="false" customHeight="false" outlineLevel="0" collapsed="false">
      <c r="A128" s="27"/>
      <c r="B128" s="27" t="s">
        <v>429</v>
      </c>
      <c r="C128" s="30" t="n">
        <v>75008</v>
      </c>
      <c r="D128" s="31" t="s">
        <v>36</v>
      </c>
    </row>
    <row r="129" customFormat="false" ht="12.8" hidden="false" customHeight="false" outlineLevel="0" collapsed="false">
      <c r="A129" s="27"/>
      <c r="B129" s="27" t="s">
        <v>431</v>
      </c>
      <c r="C129" s="30" t="n">
        <v>75008</v>
      </c>
      <c r="D129" s="31" t="s">
        <v>36</v>
      </c>
    </row>
    <row r="130" customFormat="false" ht="12.8" hidden="false" customHeight="false" outlineLevel="0" collapsed="false">
      <c r="A130" s="27"/>
      <c r="B130" s="27" t="s">
        <v>433</v>
      </c>
      <c r="C130" s="30" t="n">
        <v>75008</v>
      </c>
      <c r="D130" s="31" t="s">
        <v>36</v>
      </c>
    </row>
    <row r="131" customFormat="false" ht="12.8" hidden="false" customHeight="false" outlineLevel="0" collapsed="false">
      <c r="A131" s="27"/>
      <c r="B131" s="27" t="s">
        <v>438</v>
      </c>
      <c r="C131" s="30" t="n">
        <v>75008</v>
      </c>
      <c r="D131" s="31" t="s">
        <v>36</v>
      </c>
    </row>
    <row r="132" customFormat="false" ht="12.8" hidden="false" customHeight="false" outlineLevel="0" collapsed="false">
      <c r="A132" s="27"/>
      <c r="B132" s="27" t="s">
        <v>4747</v>
      </c>
      <c r="C132" s="30" t="n">
        <v>75008</v>
      </c>
      <c r="D132" s="31" t="s">
        <v>36</v>
      </c>
    </row>
    <row r="133" customFormat="false" ht="12.8" hidden="false" customHeight="false" outlineLevel="0" collapsed="false">
      <c r="A133" s="27"/>
      <c r="B133" s="27" t="s">
        <v>444</v>
      </c>
      <c r="C133" s="30" t="n">
        <v>75008</v>
      </c>
      <c r="D133" s="31" t="s">
        <v>36</v>
      </c>
    </row>
    <row r="134" customFormat="false" ht="12.8" hidden="false" customHeight="false" outlineLevel="0" collapsed="false">
      <c r="A134" s="27"/>
      <c r="B134" s="27" t="s">
        <v>447</v>
      </c>
      <c r="C134" s="30" t="n">
        <v>75008</v>
      </c>
      <c r="D134" s="31" t="s">
        <v>36</v>
      </c>
    </row>
    <row r="135" customFormat="false" ht="12.8" hidden="false" customHeight="false" outlineLevel="0" collapsed="false">
      <c r="A135" s="27"/>
      <c r="B135" s="27" t="s">
        <v>450</v>
      </c>
      <c r="C135" s="30" t="n">
        <v>75008</v>
      </c>
      <c r="D135" s="31" t="s">
        <v>36</v>
      </c>
    </row>
    <row r="136" customFormat="false" ht="12.8" hidden="false" customHeight="false" outlineLevel="0" collapsed="false">
      <c r="A136" s="27"/>
      <c r="B136" s="27" t="s">
        <v>453</v>
      </c>
      <c r="C136" s="30" t="n">
        <v>75008</v>
      </c>
      <c r="D136" s="31" t="s">
        <v>36</v>
      </c>
    </row>
    <row r="137" customFormat="false" ht="12.8" hidden="false" customHeight="false" outlineLevel="0" collapsed="false">
      <c r="A137" s="27"/>
      <c r="B137" s="27" t="s">
        <v>456</v>
      </c>
      <c r="C137" s="30" t="n">
        <v>75008</v>
      </c>
      <c r="D137" s="31" t="s">
        <v>36</v>
      </c>
    </row>
    <row r="138" customFormat="false" ht="12.8" hidden="false" customHeight="false" outlineLevel="0" collapsed="false">
      <c r="A138" s="27"/>
      <c r="B138" s="27" t="s">
        <v>461</v>
      </c>
      <c r="C138" s="30" t="n">
        <v>75008</v>
      </c>
      <c r="D138" s="31" t="s">
        <v>36</v>
      </c>
    </row>
    <row r="139" customFormat="false" ht="12.8" hidden="false" customHeight="false" outlineLevel="0" collapsed="false">
      <c r="A139" s="27"/>
      <c r="B139" s="27" t="s">
        <v>463</v>
      </c>
      <c r="C139" s="30" t="n">
        <v>75008</v>
      </c>
      <c r="D139" s="31" t="s">
        <v>36</v>
      </c>
    </row>
    <row r="140" customFormat="false" ht="12.8" hidden="false" customHeight="false" outlineLevel="0" collapsed="false">
      <c r="A140" s="27"/>
      <c r="B140" s="27" t="s">
        <v>467</v>
      </c>
      <c r="C140" s="30" t="n">
        <v>75008</v>
      </c>
      <c r="D140" s="31" t="s">
        <v>36</v>
      </c>
    </row>
    <row r="141" customFormat="false" ht="12.8" hidden="false" customHeight="false" outlineLevel="0" collapsed="false">
      <c r="A141" s="27"/>
      <c r="B141" s="27" t="s">
        <v>473</v>
      </c>
      <c r="C141" s="30" t="n">
        <v>75008</v>
      </c>
      <c r="D141" s="31" t="s">
        <v>36</v>
      </c>
    </row>
    <row r="142" customFormat="false" ht="12.8" hidden="false" customHeight="false" outlineLevel="0" collapsed="false">
      <c r="A142" s="27"/>
      <c r="B142" s="27" t="s">
        <v>476</v>
      </c>
      <c r="C142" s="30" t="n">
        <v>75008</v>
      </c>
      <c r="D142" s="31" t="s">
        <v>36</v>
      </c>
    </row>
    <row r="143" customFormat="false" ht="12.8" hidden="false" customHeight="false" outlineLevel="0" collapsed="false">
      <c r="A143" s="27"/>
      <c r="B143" s="27" t="s">
        <v>479</v>
      </c>
      <c r="C143" s="30" t="n">
        <v>75008</v>
      </c>
      <c r="D143" s="31" t="s">
        <v>36</v>
      </c>
    </row>
    <row r="144" customFormat="false" ht="12.8" hidden="false" customHeight="false" outlineLevel="0" collapsed="false">
      <c r="A144" s="27"/>
      <c r="B144" s="27" t="s">
        <v>483</v>
      </c>
      <c r="C144" s="30" t="n">
        <v>75008</v>
      </c>
      <c r="D144" s="31" t="s">
        <v>36</v>
      </c>
    </row>
    <row r="145" customFormat="false" ht="12.8" hidden="false" customHeight="false" outlineLevel="0" collapsed="false">
      <c r="A145" s="27"/>
      <c r="B145" s="27" t="s">
        <v>485</v>
      </c>
      <c r="C145" s="30" t="n">
        <v>75008</v>
      </c>
      <c r="D145" s="31" t="s">
        <v>36</v>
      </c>
    </row>
    <row r="146" customFormat="false" ht="12.8" hidden="false" customHeight="false" outlineLevel="0" collapsed="false">
      <c r="A146" s="27"/>
      <c r="B146" s="27" t="s">
        <v>488</v>
      </c>
      <c r="C146" s="30" t="n">
        <v>75008</v>
      </c>
      <c r="D146" s="31" t="s">
        <v>36</v>
      </c>
    </row>
    <row r="147" customFormat="false" ht="12.8" hidden="false" customHeight="false" outlineLevel="0" collapsed="false">
      <c r="A147" s="27"/>
      <c r="B147" s="27" t="s">
        <v>491</v>
      </c>
      <c r="C147" s="30" t="n">
        <v>75008</v>
      </c>
      <c r="D147" s="31" t="s">
        <v>36</v>
      </c>
    </row>
    <row r="148" customFormat="false" ht="12.8" hidden="false" customHeight="false" outlineLevel="0" collapsed="false">
      <c r="A148" s="27"/>
      <c r="B148" s="27" t="s">
        <v>494</v>
      </c>
      <c r="C148" s="30" t="n">
        <v>75008</v>
      </c>
      <c r="D148" s="31" t="s">
        <v>36</v>
      </c>
    </row>
    <row r="149" customFormat="false" ht="12.8" hidden="false" customHeight="false" outlineLevel="0" collapsed="false">
      <c r="A149" s="27"/>
      <c r="B149" s="27" t="s">
        <v>496</v>
      </c>
      <c r="C149" s="30" t="n">
        <v>75008</v>
      </c>
      <c r="D149" s="31" t="s">
        <v>36</v>
      </c>
    </row>
    <row r="150" customFormat="false" ht="12.8" hidden="false" customHeight="false" outlineLevel="0" collapsed="false">
      <c r="A150" s="27"/>
      <c r="B150" s="27" t="s">
        <v>499</v>
      </c>
      <c r="C150" s="30" t="n">
        <v>75008</v>
      </c>
      <c r="D150" s="31" t="s">
        <v>36</v>
      </c>
    </row>
    <row r="151" customFormat="false" ht="12.8" hidden="false" customHeight="false" outlineLevel="0" collapsed="false">
      <c r="A151" s="27"/>
      <c r="B151" s="27" t="s">
        <v>501</v>
      </c>
      <c r="C151" s="30" t="n">
        <v>75008</v>
      </c>
      <c r="D151" s="31" t="s">
        <v>36</v>
      </c>
    </row>
    <row r="152" customFormat="false" ht="12.8" hidden="false" customHeight="false" outlineLevel="0" collapsed="false">
      <c r="A152" s="27"/>
      <c r="B152" s="27" t="s">
        <v>503</v>
      </c>
      <c r="C152" s="30" t="n">
        <v>75008</v>
      </c>
      <c r="D152" s="31" t="s">
        <v>36</v>
      </c>
    </row>
    <row r="153" customFormat="false" ht="12.8" hidden="false" customHeight="false" outlineLevel="0" collapsed="false">
      <c r="A153" s="27"/>
      <c r="B153" s="27" t="s">
        <v>506</v>
      </c>
      <c r="C153" s="30" t="n">
        <v>75008</v>
      </c>
      <c r="D153" s="31" t="s">
        <v>36</v>
      </c>
    </row>
    <row r="154" customFormat="false" ht="12.8" hidden="false" customHeight="false" outlineLevel="0" collapsed="false">
      <c r="A154" s="27"/>
      <c r="B154" s="27" t="s">
        <v>509</v>
      </c>
      <c r="C154" s="30" t="n">
        <v>75008</v>
      </c>
      <c r="D154" s="31" t="s">
        <v>36</v>
      </c>
    </row>
    <row r="155" customFormat="false" ht="12.8" hidden="false" customHeight="false" outlineLevel="0" collapsed="false">
      <c r="A155" s="27"/>
      <c r="B155" s="27" t="s">
        <v>582</v>
      </c>
      <c r="C155" s="30" t="n">
        <v>75008</v>
      </c>
      <c r="D155" s="31" t="s">
        <v>36</v>
      </c>
    </row>
    <row r="156" customFormat="false" ht="12.8" hidden="false" customHeight="false" outlineLevel="0" collapsed="false">
      <c r="A156" s="27"/>
      <c r="B156" s="27" t="s">
        <v>585</v>
      </c>
      <c r="C156" s="30" t="n">
        <v>75008</v>
      </c>
      <c r="D156" s="31" t="s">
        <v>36</v>
      </c>
    </row>
    <row r="157" customFormat="false" ht="12.8" hidden="false" customHeight="false" outlineLevel="0" collapsed="false">
      <c r="A157" s="27"/>
      <c r="B157" s="27" t="s">
        <v>588</v>
      </c>
      <c r="C157" s="30" t="n">
        <v>75008</v>
      </c>
      <c r="D157" s="31" t="s">
        <v>36</v>
      </c>
    </row>
    <row r="158" customFormat="false" ht="12.8" hidden="false" customHeight="false" outlineLevel="0" collapsed="false">
      <c r="A158" s="27"/>
      <c r="B158" s="27" t="s">
        <v>591</v>
      </c>
      <c r="C158" s="30" t="n">
        <v>75008</v>
      </c>
      <c r="D158" s="31" t="s">
        <v>36</v>
      </c>
    </row>
    <row r="159" customFormat="false" ht="12.8" hidden="false" customHeight="false" outlineLevel="0" collapsed="false">
      <c r="A159" s="27"/>
      <c r="B159" s="27" t="s">
        <v>594</v>
      </c>
      <c r="C159" s="30" t="n">
        <v>75008</v>
      </c>
      <c r="D159" s="31" t="s">
        <v>36</v>
      </c>
    </row>
    <row r="160" customFormat="false" ht="12.8" hidden="false" customHeight="false" outlineLevel="0" collapsed="false">
      <c r="A160" s="27"/>
      <c r="B160" s="27" t="s">
        <v>599</v>
      </c>
      <c r="C160" s="30" t="n">
        <v>75008</v>
      </c>
      <c r="D160" s="31" t="s">
        <v>36</v>
      </c>
    </row>
    <row r="161" customFormat="false" ht="12.8" hidden="false" customHeight="false" outlineLevel="0" collapsed="false">
      <c r="A161" s="27"/>
      <c r="B161" s="27" t="s">
        <v>602</v>
      </c>
      <c r="C161" s="30" t="n">
        <v>75008</v>
      </c>
      <c r="D161" s="31" t="s">
        <v>36</v>
      </c>
    </row>
    <row r="162" customFormat="false" ht="12.8" hidden="false" customHeight="false" outlineLevel="0" collapsed="false">
      <c r="A162" s="27"/>
      <c r="B162" s="27" t="s">
        <v>605</v>
      </c>
      <c r="C162" s="30" t="n">
        <v>75008</v>
      </c>
      <c r="D162" s="31" t="s">
        <v>36</v>
      </c>
    </row>
    <row r="163" customFormat="false" ht="12.8" hidden="false" customHeight="false" outlineLevel="0" collapsed="false">
      <c r="A163" s="27"/>
      <c r="B163" s="27" t="s">
        <v>609</v>
      </c>
      <c r="C163" s="30" t="n">
        <v>75008</v>
      </c>
      <c r="D163" s="31" t="s">
        <v>36</v>
      </c>
    </row>
    <row r="164" customFormat="false" ht="12.8" hidden="false" customHeight="false" outlineLevel="0" collapsed="false">
      <c r="A164" s="27"/>
      <c r="B164" s="27" t="s">
        <v>611</v>
      </c>
      <c r="C164" s="30" t="n">
        <v>75008</v>
      </c>
      <c r="D164" s="31" t="s">
        <v>36</v>
      </c>
    </row>
    <row r="165" customFormat="false" ht="12.8" hidden="false" customHeight="false" outlineLevel="0" collapsed="false">
      <c r="A165" s="27"/>
      <c r="B165" s="27" t="s">
        <v>614</v>
      </c>
      <c r="C165" s="30" t="n">
        <v>75008</v>
      </c>
      <c r="D165" s="31" t="s">
        <v>36</v>
      </c>
    </row>
    <row r="166" customFormat="false" ht="12.8" hidden="false" customHeight="false" outlineLevel="0" collapsed="false">
      <c r="A166" s="27"/>
      <c r="B166" s="27" t="s">
        <v>616</v>
      </c>
      <c r="C166" s="30" t="n">
        <v>75008</v>
      </c>
      <c r="D166" s="31" t="s">
        <v>36</v>
      </c>
    </row>
    <row r="167" customFormat="false" ht="12.8" hidden="false" customHeight="false" outlineLevel="0" collapsed="false">
      <c r="A167" s="27"/>
      <c r="B167" s="27" t="s">
        <v>621</v>
      </c>
      <c r="C167" s="30" t="n">
        <v>75008</v>
      </c>
      <c r="D167" s="31" t="s">
        <v>36</v>
      </c>
    </row>
    <row r="168" customFormat="false" ht="12.8" hidden="false" customHeight="false" outlineLevel="0" collapsed="false">
      <c r="A168" s="27"/>
      <c r="B168" s="27" t="s">
        <v>625</v>
      </c>
      <c r="C168" s="30" t="n">
        <v>75008</v>
      </c>
      <c r="D168" s="31" t="s">
        <v>36</v>
      </c>
    </row>
    <row r="169" customFormat="false" ht="12.8" hidden="false" customHeight="false" outlineLevel="0" collapsed="false">
      <c r="A169" s="27"/>
      <c r="B169" s="27" t="s">
        <v>627</v>
      </c>
      <c r="C169" s="30" t="n">
        <v>75008</v>
      </c>
      <c r="D169" s="31" t="s">
        <v>36</v>
      </c>
    </row>
    <row r="170" customFormat="false" ht="12.8" hidden="false" customHeight="false" outlineLevel="0" collapsed="false">
      <c r="A170" s="27"/>
      <c r="B170" s="27" t="s">
        <v>629</v>
      </c>
      <c r="C170" s="30" t="n">
        <v>75008</v>
      </c>
      <c r="D170" s="31" t="s">
        <v>36</v>
      </c>
    </row>
    <row r="171" customFormat="false" ht="12.8" hidden="false" customHeight="false" outlineLevel="0" collapsed="false">
      <c r="A171" s="27"/>
      <c r="B171" s="27" t="s">
        <v>631</v>
      </c>
      <c r="C171" s="30" t="n">
        <v>75008</v>
      </c>
      <c r="D171" s="31" t="s">
        <v>36</v>
      </c>
    </row>
    <row r="172" customFormat="false" ht="12.8" hidden="false" customHeight="false" outlineLevel="0" collapsed="false">
      <c r="A172" s="27"/>
      <c r="B172" s="27" t="s">
        <v>637</v>
      </c>
      <c r="C172" s="30" t="n">
        <v>75008</v>
      </c>
      <c r="D172" s="31" t="s">
        <v>36</v>
      </c>
    </row>
    <row r="173" customFormat="false" ht="12.8" hidden="false" customHeight="false" outlineLevel="0" collapsed="false">
      <c r="A173" s="27"/>
      <c r="B173" s="27" t="s">
        <v>640</v>
      </c>
      <c r="C173" s="30" t="n">
        <v>75008</v>
      </c>
      <c r="D173" s="31" t="s">
        <v>36</v>
      </c>
    </row>
    <row r="174" customFormat="false" ht="12.8" hidden="false" customHeight="false" outlineLevel="0" collapsed="false">
      <c r="A174" s="27"/>
      <c r="B174" s="27" t="s">
        <v>643</v>
      </c>
      <c r="C174" s="30" t="n">
        <v>75008</v>
      </c>
      <c r="D174" s="31" t="s">
        <v>36</v>
      </c>
    </row>
    <row r="175" customFormat="false" ht="12.8" hidden="false" customHeight="false" outlineLevel="0" collapsed="false">
      <c r="A175" s="27"/>
      <c r="B175" s="27" t="s">
        <v>646</v>
      </c>
      <c r="C175" s="30" t="n">
        <v>75015</v>
      </c>
      <c r="D175" s="31" t="s">
        <v>36</v>
      </c>
    </row>
    <row r="176" customFormat="false" ht="12.8" hidden="false" customHeight="false" outlineLevel="0" collapsed="false">
      <c r="A176" s="27"/>
      <c r="B176" s="27" t="s">
        <v>655</v>
      </c>
      <c r="C176" s="30" t="n">
        <v>75015</v>
      </c>
      <c r="D176" s="31" t="s">
        <v>36</v>
      </c>
    </row>
    <row r="177" customFormat="false" ht="12.8" hidden="false" customHeight="false" outlineLevel="0" collapsed="false">
      <c r="A177" s="27"/>
      <c r="B177" s="27" t="s">
        <v>657</v>
      </c>
      <c r="C177" s="30" t="n">
        <v>75015</v>
      </c>
      <c r="D177" s="31" t="s">
        <v>36</v>
      </c>
    </row>
    <row r="178" customFormat="false" ht="12.8" hidden="false" customHeight="false" outlineLevel="0" collapsed="false">
      <c r="A178" s="27"/>
      <c r="B178" s="27" t="s">
        <v>670</v>
      </c>
      <c r="C178" s="30" t="n">
        <v>75015</v>
      </c>
      <c r="D178" s="31" t="s">
        <v>36</v>
      </c>
    </row>
    <row r="179" customFormat="false" ht="12.8" hidden="false" customHeight="false" outlineLevel="0" collapsed="false">
      <c r="A179" s="27"/>
      <c r="B179" s="27" t="s">
        <v>673</v>
      </c>
      <c r="C179" s="30" t="n">
        <v>75015</v>
      </c>
      <c r="D179" s="31" t="s">
        <v>36</v>
      </c>
    </row>
    <row r="180" customFormat="false" ht="12.8" hidden="false" customHeight="false" outlineLevel="0" collapsed="false">
      <c r="A180" s="27"/>
      <c r="B180" s="27" t="s">
        <v>675</v>
      </c>
      <c r="C180" s="30" t="n">
        <v>75015</v>
      </c>
      <c r="D180" s="31" t="s">
        <v>36</v>
      </c>
    </row>
    <row r="181" customFormat="false" ht="12.8" hidden="false" customHeight="false" outlineLevel="0" collapsed="false">
      <c r="A181" s="27"/>
      <c r="B181" s="27" t="s">
        <v>676</v>
      </c>
      <c r="C181" s="30" t="n">
        <v>75015</v>
      </c>
      <c r="D181" s="31" t="s">
        <v>36</v>
      </c>
    </row>
    <row r="182" customFormat="false" ht="12.8" hidden="false" customHeight="false" outlineLevel="0" collapsed="false">
      <c r="A182" s="27"/>
      <c r="B182" s="27" t="s">
        <v>679</v>
      </c>
      <c r="C182" s="30" t="n">
        <v>75015</v>
      </c>
      <c r="D182" s="31" t="s">
        <v>36</v>
      </c>
    </row>
    <row r="183" customFormat="false" ht="12.8" hidden="false" customHeight="false" outlineLevel="0" collapsed="false">
      <c r="A183" s="27"/>
      <c r="B183" s="27" t="s">
        <v>681</v>
      </c>
      <c r="C183" s="30" t="n">
        <v>75015</v>
      </c>
      <c r="D183" s="31" t="s">
        <v>36</v>
      </c>
    </row>
    <row r="184" customFormat="false" ht="12.8" hidden="false" customHeight="false" outlineLevel="0" collapsed="false">
      <c r="A184" s="27"/>
      <c r="B184" s="27" t="s">
        <v>684</v>
      </c>
      <c r="C184" s="30" t="n">
        <v>75015</v>
      </c>
      <c r="D184" s="31" t="s">
        <v>36</v>
      </c>
    </row>
    <row r="185" customFormat="false" ht="12.8" hidden="false" customHeight="false" outlineLevel="0" collapsed="false">
      <c r="A185" s="27"/>
      <c r="B185" s="27" t="s">
        <v>686</v>
      </c>
      <c r="C185" s="30" t="n">
        <v>75015</v>
      </c>
      <c r="D185" s="31" t="s">
        <v>36</v>
      </c>
    </row>
    <row r="186" customFormat="false" ht="12.8" hidden="false" customHeight="false" outlineLevel="0" collapsed="false">
      <c r="A186" s="27"/>
      <c r="B186" s="27" t="s">
        <v>689</v>
      </c>
      <c r="C186" s="30" t="n">
        <v>75015</v>
      </c>
      <c r="D186" s="31" t="s">
        <v>36</v>
      </c>
    </row>
    <row r="187" customFormat="false" ht="12.8" hidden="false" customHeight="false" outlineLevel="0" collapsed="false">
      <c r="A187" s="27"/>
      <c r="B187" s="27" t="s">
        <v>692</v>
      </c>
      <c r="C187" s="30" t="n">
        <v>75015</v>
      </c>
      <c r="D187" s="31" t="s">
        <v>36</v>
      </c>
    </row>
    <row r="188" customFormat="false" ht="12.8" hidden="false" customHeight="false" outlineLevel="0" collapsed="false">
      <c r="A188" s="27"/>
      <c r="B188" s="27" t="s">
        <v>695</v>
      </c>
      <c r="C188" s="30" t="n">
        <v>75015</v>
      </c>
      <c r="D188" s="31" t="s">
        <v>36</v>
      </c>
    </row>
    <row r="189" customFormat="false" ht="12.8" hidden="false" customHeight="false" outlineLevel="0" collapsed="false">
      <c r="A189" s="27"/>
      <c r="B189" s="27" t="s">
        <v>699</v>
      </c>
      <c r="C189" s="30" t="n">
        <v>75015</v>
      </c>
      <c r="D189" s="31" t="s">
        <v>36</v>
      </c>
    </row>
    <row r="190" customFormat="false" ht="12.8" hidden="false" customHeight="false" outlineLevel="0" collapsed="false">
      <c r="A190" s="27"/>
      <c r="B190" s="27" t="s">
        <v>704</v>
      </c>
      <c r="C190" s="30" t="n">
        <v>75015</v>
      </c>
      <c r="D190" s="31" t="s">
        <v>36</v>
      </c>
    </row>
    <row r="191" customFormat="false" ht="12.8" hidden="false" customHeight="false" outlineLevel="0" collapsed="false">
      <c r="A191" s="27"/>
      <c r="B191" s="27" t="s">
        <v>706</v>
      </c>
      <c r="C191" s="30" t="n">
        <v>75015</v>
      </c>
      <c r="D191" s="31" t="s">
        <v>36</v>
      </c>
    </row>
    <row r="192" customFormat="false" ht="12.8" hidden="false" customHeight="false" outlineLevel="0" collapsed="false">
      <c r="A192" s="27"/>
      <c r="B192" s="27" t="s">
        <v>709</v>
      </c>
      <c r="C192" s="30" t="n">
        <v>75015</v>
      </c>
      <c r="D192" s="31" t="s">
        <v>36</v>
      </c>
    </row>
    <row r="193" customFormat="false" ht="12.8" hidden="false" customHeight="false" outlineLevel="0" collapsed="false">
      <c r="A193" s="27"/>
      <c r="B193" s="27" t="s">
        <v>712</v>
      </c>
      <c r="C193" s="30" t="n">
        <v>75015</v>
      </c>
      <c r="D193" s="31" t="s">
        <v>36</v>
      </c>
    </row>
    <row r="194" customFormat="false" ht="12.8" hidden="false" customHeight="false" outlineLevel="0" collapsed="false">
      <c r="A194" s="27"/>
      <c r="B194" s="27" t="s">
        <v>715</v>
      </c>
      <c r="C194" s="30" t="n">
        <v>75015</v>
      </c>
      <c r="D194" s="31" t="s">
        <v>36</v>
      </c>
    </row>
    <row r="195" customFormat="false" ht="12.8" hidden="false" customHeight="false" outlineLevel="0" collapsed="false">
      <c r="A195" s="27"/>
      <c r="B195" s="27" t="s">
        <v>720</v>
      </c>
      <c r="C195" s="30" t="n">
        <v>75015</v>
      </c>
      <c r="D195" s="31" t="s">
        <v>36</v>
      </c>
    </row>
    <row r="196" customFormat="false" ht="12.8" hidden="false" customHeight="false" outlineLevel="0" collapsed="false">
      <c r="A196" s="27"/>
      <c r="B196" s="27" t="s">
        <v>723</v>
      </c>
      <c r="C196" s="30" t="n">
        <v>75015</v>
      </c>
      <c r="D196" s="31" t="s">
        <v>36</v>
      </c>
    </row>
    <row r="197" customFormat="false" ht="12.8" hidden="false" customHeight="false" outlineLevel="0" collapsed="false">
      <c r="A197" s="27"/>
      <c r="B197" s="27" t="s">
        <v>728</v>
      </c>
      <c r="C197" s="30" t="n">
        <v>75015</v>
      </c>
      <c r="D197" s="31" t="s">
        <v>36</v>
      </c>
    </row>
    <row r="198" customFormat="false" ht="12.8" hidden="false" customHeight="false" outlineLevel="0" collapsed="false">
      <c r="A198" s="27"/>
      <c r="B198" s="27" t="s">
        <v>730</v>
      </c>
      <c r="C198" s="30" t="n">
        <v>75015</v>
      </c>
      <c r="D198" s="31" t="s">
        <v>36</v>
      </c>
    </row>
    <row r="199" customFormat="false" ht="12.8" hidden="false" customHeight="false" outlineLevel="0" collapsed="false">
      <c r="A199" s="27"/>
      <c r="B199" s="27" t="s">
        <v>733</v>
      </c>
      <c r="C199" s="30" t="n">
        <v>75015</v>
      </c>
      <c r="D199" s="31" t="s">
        <v>36</v>
      </c>
    </row>
    <row r="200" customFormat="false" ht="12.8" hidden="false" customHeight="false" outlineLevel="0" collapsed="false">
      <c r="A200" s="27"/>
      <c r="B200" s="27" t="s">
        <v>736</v>
      </c>
      <c r="C200" s="30" t="n">
        <v>75015</v>
      </c>
      <c r="D200" s="31" t="s">
        <v>36</v>
      </c>
    </row>
    <row r="201" customFormat="false" ht="12.8" hidden="false" customHeight="false" outlineLevel="0" collapsed="false">
      <c r="A201" s="27"/>
      <c r="B201" s="27" t="s">
        <v>738</v>
      </c>
      <c r="C201" s="30" t="n">
        <v>75015</v>
      </c>
      <c r="D201" s="31" t="s">
        <v>36</v>
      </c>
    </row>
    <row r="202" customFormat="false" ht="12.8" hidden="false" customHeight="false" outlineLevel="0" collapsed="false">
      <c r="A202" s="27"/>
      <c r="B202" s="27" t="s">
        <v>741</v>
      </c>
      <c r="C202" s="30" t="n">
        <v>75015</v>
      </c>
      <c r="D202" s="31" t="s">
        <v>36</v>
      </c>
    </row>
    <row r="203" customFormat="false" ht="12.8" hidden="false" customHeight="false" outlineLevel="0" collapsed="false">
      <c r="A203" s="27"/>
      <c r="B203" s="27" t="s">
        <v>4748</v>
      </c>
      <c r="C203" s="30" t="n">
        <v>75015</v>
      </c>
      <c r="D203" s="31" t="s">
        <v>36</v>
      </c>
    </row>
    <row r="204" customFormat="false" ht="12.8" hidden="false" customHeight="false" outlineLevel="0" collapsed="false">
      <c r="A204" s="27"/>
      <c r="B204" s="27" t="s">
        <v>893</v>
      </c>
      <c r="C204" s="30" t="n">
        <v>75015</v>
      </c>
      <c r="D204" s="31" t="s">
        <v>36</v>
      </c>
    </row>
    <row r="205" customFormat="false" ht="12.8" hidden="false" customHeight="false" outlineLevel="0" collapsed="false">
      <c r="A205" s="27"/>
      <c r="B205" s="27" t="s">
        <v>895</v>
      </c>
      <c r="C205" s="30" t="n">
        <v>75015</v>
      </c>
      <c r="D205" s="31" t="s">
        <v>36</v>
      </c>
    </row>
    <row r="206" customFormat="false" ht="12.8" hidden="false" customHeight="false" outlineLevel="0" collapsed="false">
      <c r="A206" s="27"/>
      <c r="B206" s="27" t="s">
        <v>898</v>
      </c>
      <c r="C206" s="30" t="n">
        <v>75015</v>
      </c>
      <c r="D206" s="31" t="s">
        <v>36</v>
      </c>
    </row>
    <row r="207" customFormat="false" ht="12.8" hidden="false" customHeight="false" outlineLevel="0" collapsed="false">
      <c r="A207" s="27"/>
      <c r="B207" s="27" t="s">
        <v>900</v>
      </c>
      <c r="C207" s="30" t="n">
        <v>75015</v>
      </c>
      <c r="D207" s="31" t="s">
        <v>36</v>
      </c>
    </row>
    <row r="208" customFormat="false" ht="12.8" hidden="false" customHeight="false" outlineLevel="0" collapsed="false">
      <c r="A208" s="27"/>
      <c r="B208" s="27" t="s">
        <v>904</v>
      </c>
      <c r="C208" s="30" t="n">
        <v>75015</v>
      </c>
      <c r="D208" s="31" t="s">
        <v>36</v>
      </c>
    </row>
    <row r="209" customFormat="false" ht="12.8" hidden="false" customHeight="false" outlineLevel="0" collapsed="false">
      <c r="A209" s="27"/>
      <c r="B209" s="27" t="s">
        <v>907</v>
      </c>
      <c r="C209" s="30" t="n">
        <v>75015</v>
      </c>
      <c r="D209" s="31" t="s">
        <v>36</v>
      </c>
    </row>
    <row r="210" customFormat="false" ht="12.8" hidden="false" customHeight="false" outlineLevel="0" collapsed="false">
      <c r="A210" s="27"/>
      <c r="B210" s="27" t="s">
        <v>910</v>
      </c>
      <c r="C210" s="30" t="n">
        <v>75015</v>
      </c>
      <c r="D210" s="31" t="s">
        <v>36</v>
      </c>
    </row>
    <row r="211" customFormat="false" ht="12.8" hidden="false" customHeight="false" outlineLevel="0" collapsed="false">
      <c r="A211" s="27"/>
      <c r="B211" s="27" t="s">
        <v>914</v>
      </c>
      <c r="C211" s="30" t="n">
        <v>75015</v>
      </c>
      <c r="D211" s="31" t="s">
        <v>36</v>
      </c>
    </row>
    <row r="212" customFormat="false" ht="12.8" hidden="false" customHeight="false" outlineLevel="0" collapsed="false">
      <c r="A212" s="27"/>
      <c r="B212" s="27" t="s">
        <v>917</v>
      </c>
      <c r="C212" s="30" t="n">
        <v>75015</v>
      </c>
      <c r="D212" s="31" t="s">
        <v>36</v>
      </c>
    </row>
    <row r="213" customFormat="false" ht="12.8" hidden="false" customHeight="false" outlineLevel="0" collapsed="false">
      <c r="A213" s="27"/>
      <c r="B213" s="27" t="s">
        <v>919</v>
      </c>
      <c r="C213" s="30" t="n">
        <v>75015</v>
      </c>
      <c r="D213" s="31" t="s">
        <v>36</v>
      </c>
    </row>
    <row r="214" customFormat="false" ht="12.8" hidden="false" customHeight="false" outlineLevel="0" collapsed="false">
      <c r="A214" s="27"/>
      <c r="B214" s="27" t="s">
        <v>921</v>
      </c>
      <c r="C214" s="30" t="n">
        <v>75015</v>
      </c>
      <c r="D214" s="31" t="s">
        <v>36</v>
      </c>
    </row>
    <row r="215" customFormat="false" ht="12.8" hidden="false" customHeight="false" outlineLevel="0" collapsed="false">
      <c r="A215" s="27"/>
      <c r="B215" s="27" t="s">
        <v>924</v>
      </c>
      <c r="C215" s="30" t="n">
        <v>75015</v>
      </c>
      <c r="D215" s="31" t="s">
        <v>36</v>
      </c>
    </row>
    <row r="216" customFormat="false" ht="12.8" hidden="false" customHeight="false" outlineLevel="0" collapsed="false">
      <c r="A216" s="27"/>
      <c r="B216" s="27" t="s">
        <v>926</v>
      </c>
      <c r="C216" s="30" t="n">
        <v>75015</v>
      </c>
      <c r="D216" s="31" t="s">
        <v>36</v>
      </c>
    </row>
    <row r="217" customFormat="false" ht="12.8" hidden="false" customHeight="false" outlineLevel="0" collapsed="false">
      <c r="A217" s="27"/>
      <c r="B217" s="27" t="s">
        <v>929</v>
      </c>
      <c r="C217" s="30" t="n">
        <v>75015</v>
      </c>
      <c r="D217" s="31" t="s">
        <v>36</v>
      </c>
    </row>
    <row r="218" customFormat="false" ht="12.8" hidden="false" customHeight="false" outlineLevel="0" collapsed="false">
      <c r="A218" s="27"/>
      <c r="B218" s="27" t="s">
        <v>932</v>
      </c>
      <c r="C218" s="30" t="n">
        <v>75015</v>
      </c>
      <c r="D218" s="31" t="s">
        <v>36</v>
      </c>
    </row>
    <row r="219" customFormat="false" ht="12.8" hidden="false" customHeight="false" outlineLevel="0" collapsed="false">
      <c r="A219" s="27"/>
      <c r="B219" s="27" t="s">
        <v>934</v>
      </c>
      <c r="C219" s="30" t="n">
        <v>75015</v>
      </c>
      <c r="D219" s="31" t="s">
        <v>36</v>
      </c>
    </row>
    <row r="220" customFormat="false" ht="12.8" hidden="false" customHeight="false" outlineLevel="0" collapsed="false">
      <c r="A220" s="27"/>
      <c r="B220" s="27" t="s">
        <v>937</v>
      </c>
      <c r="C220" s="30" t="n">
        <v>75015</v>
      </c>
      <c r="D220" s="31" t="s">
        <v>36</v>
      </c>
    </row>
    <row r="221" customFormat="false" ht="12.8" hidden="false" customHeight="false" outlineLevel="0" collapsed="false">
      <c r="A221" s="27"/>
      <c r="B221" s="27" t="s">
        <v>941</v>
      </c>
      <c r="C221" s="30" t="n">
        <v>75015</v>
      </c>
      <c r="D221" s="31" t="s">
        <v>36</v>
      </c>
    </row>
    <row r="222" customFormat="false" ht="12.8" hidden="false" customHeight="false" outlineLevel="0" collapsed="false">
      <c r="A222" s="27"/>
      <c r="B222" s="27" t="s">
        <v>943</v>
      </c>
      <c r="C222" s="30" t="n">
        <v>75015</v>
      </c>
      <c r="D222" s="31" t="s">
        <v>36</v>
      </c>
    </row>
    <row r="223" customFormat="false" ht="12.8" hidden="false" customHeight="false" outlineLevel="0" collapsed="false">
      <c r="A223" s="27"/>
      <c r="B223" s="27" t="s">
        <v>946</v>
      </c>
      <c r="C223" s="30" t="n">
        <v>75015</v>
      </c>
      <c r="D223" s="31" t="s">
        <v>36</v>
      </c>
    </row>
    <row r="224" customFormat="false" ht="12.8" hidden="false" customHeight="false" outlineLevel="0" collapsed="false">
      <c r="A224" s="27"/>
      <c r="B224" s="27" t="s">
        <v>950</v>
      </c>
      <c r="C224" s="30" t="n">
        <v>75015</v>
      </c>
      <c r="D224" s="31" t="s">
        <v>36</v>
      </c>
    </row>
    <row r="225" customFormat="false" ht="12.8" hidden="false" customHeight="false" outlineLevel="0" collapsed="false">
      <c r="A225" s="27"/>
      <c r="B225" s="27" t="s">
        <v>953</v>
      </c>
      <c r="C225" s="30" t="n">
        <v>75015</v>
      </c>
      <c r="D225" s="31" t="s">
        <v>36</v>
      </c>
    </row>
    <row r="226" customFormat="false" ht="12.8" hidden="false" customHeight="false" outlineLevel="0" collapsed="false">
      <c r="A226" s="27"/>
      <c r="B226" s="27" t="s">
        <v>956</v>
      </c>
      <c r="C226" s="30" t="n">
        <v>75015</v>
      </c>
      <c r="D226" s="31" t="s">
        <v>36</v>
      </c>
    </row>
    <row r="227" customFormat="false" ht="12.8" hidden="false" customHeight="false" outlineLevel="0" collapsed="false">
      <c r="A227" s="27"/>
      <c r="B227" s="27" t="s">
        <v>959</v>
      </c>
      <c r="C227" s="30" t="n">
        <v>75015</v>
      </c>
      <c r="D227" s="31" t="s">
        <v>36</v>
      </c>
    </row>
    <row r="228" customFormat="false" ht="12.8" hidden="false" customHeight="false" outlineLevel="0" collapsed="false">
      <c r="A228" s="27"/>
      <c r="B228" s="27" t="s">
        <v>963</v>
      </c>
      <c r="C228" s="30" t="n">
        <v>75015</v>
      </c>
      <c r="D228" s="31" t="s">
        <v>36</v>
      </c>
    </row>
    <row r="229" customFormat="false" ht="12.8" hidden="false" customHeight="false" outlineLevel="0" collapsed="false">
      <c r="A229" s="27"/>
      <c r="B229" s="27" t="s">
        <v>965</v>
      </c>
      <c r="C229" s="30" t="n">
        <v>75015</v>
      </c>
      <c r="D229" s="31" t="s">
        <v>36</v>
      </c>
    </row>
    <row r="230" customFormat="false" ht="12.8" hidden="false" customHeight="false" outlineLevel="0" collapsed="false">
      <c r="A230" s="27"/>
      <c r="B230" s="27" t="s">
        <v>4749</v>
      </c>
      <c r="C230" s="30" t="n">
        <v>75015</v>
      </c>
      <c r="D230" s="31" t="s">
        <v>36</v>
      </c>
    </row>
    <row r="231" customFormat="false" ht="12.8" hidden="false" customHeight="false" outlineLevel="0" collapsed="false">
      <c r="A231" s="27"/>
      <c r="B231" s="27" t="s">
        <v>974</v>
      </c>
      <c r="C231" s="30" t="n">
        <v>75015</v>
      </c>
      <c r="D231" s="31" t="s">
        <v>36</v>
      </c>
    </row>
    <row r="232" customFormat="false" ht="12.8" hidden="false" customHeight="false" outlineLevel="0" collapsed="false">
      <c r="A232" s="27"/>
      <c r="B232" s="27" t="s">
        <v>979</v>
      </c>
      <c r="C232" s="30" t="n">
        <v>75015</v>
      </c>
      <c r="D232" s="31" t="s">
        <v>36</v>
      </c>
    </row>
    <row r="233" customFormat="false" ht="12.8" hidden="false" customHeight="false" outlineLevel="0" collapsed="false">
      <c r="A233" s="27"/>
      <c r="B233" s="27" t="s">
        <v>982</v>
      </c>
      <c r="C233" s="30" t="n">
        <v>75015</v>
      </c>
      <c r="D233" s="31" t="s">
        <v>36</v>
      </c>
    </row>
    <row r="234" customFormat="false" ht="12.8" hidden="false" customHeight="false" outlineLevel="0" collapsed="false">
      <c r="A234" s="27"/>
      <c r="B234" s="27" t="s">
        <v>985</v>
      </c>
      <c r="C234" s="30" t="n">
        <v>75015</v>
      </c>
      <c r="D234" s="31" t="s">
        <v>36</v>
      </c>
    </row>
    <row r="235" customFormat="false" ht="12.8" hidden="false" customHeight="false" outlineLevel="0" collapsed="false">
      <c r="A235" s="27"/>
      <c r="B235" s="27" t="s">
        <v>987</v>
      </c>
      <c r="C235" s="30" t="n">
        <v>75015</v>
      </c>
      <c r="D235" s="31" t="s">
        <v>36</v>
      </c>
    </row>
    <row r="236" customFormat="false" ht="12.8" hidden="false" customHeight="false" outlineLevel="0" collapsed="false">
      <c r="A236" s="27"/>
      <c r="B236" s="27" t="s">
        <v>989</v>
      </c>
      <c r="C236" s="30" t="n">
        <v>75015</v>
      </c>
      <c r="D236" s="31" t="s">
        <v>36</v>
      </c>
    </row>
    <row r="237" customFormat="false" ht="12.8" hidden="false" customHeight="false" outlineLevel="0" collapsed="false">
      <c r="A237" s="27"/>
      <c r="B237" s="27" t="s">
        <v>991</v>
      </c>
      <c r="C237" s="30" t="n">
        <v>75015</v>
      </c>
      <c r="D237" s="31" t="s">
        <v>36</v>
      </c>
    </row>
    <row r="238" customFormat="false" ht="12.8" hidden="false" customHeight="false" outlineLevel="0" collapsed="false">
      <c r="A238" s="27"/>
      <c r="B238" s="27" t="s">
        <v>997</v>
      </c>
      <c r="C238" s="30" t="n">
        <v>75015</v>
      </c>
      <c r="D238" s="31" t="s">
        <v>36</v>
      </c>
    </row>
    <row r="239" customFormat="false" ht="12.8" hidden="false" customHeight="false" outlineLevel="0" collapsed="false">
      <c r="A239" s="27"/>
      <c r="B239" s="27" t="s">
        <v>1000</v>
      </c>
      <c r="C239" s="30" t="n">
        <v>75015</v>
      </c>
      <c r="D239" s="31" t="s">
        <v>36</v>
      </c>
    </row>
    <row r="240" customFormat="false" ht="12.8" hidden="false" customHeight="false" outlineLevel="0" collapsed="false">
      <c r="A240" s="27"/>
      <c r="B240" s="27" t="s">
        <v>1005</v>
      </c>
      <c r="C240" s="30" t="n">
        <v>75015</v>
      </c>
      <c r="D240" s="31" t="s">
        <v>36</v>
      </c>
    </row>
    <row r="241" customFormat="false" ht="12.8" hidden="false" customHeight="false" outlineLevel="0" collapsed="false">
      <c r="A241" s="27"/>
      <c r="B241" s="27" t="s">
        <v>1007</v>
      </c>
      <c r="C241" s="30" t="n">
        <v>75015</v>
      </c>
      <c r="D241" s="31" t="s">
        <v>36</v>
      </c>
    </row>
    <row r="242" customFormat="false" ht="12.8" hidden="false" customHeight="false" outlineLevel="0" collapsed="false">
      <c r="A242" s="27"/>
      <c r="B242" s="27" t="s">
        <v>1013</v>
      </c>
      <c r="C242" s="30" t="n">
        <v>75015</v>
      </c>
      <c r="D242" s="31" t="s">
        <v>36</v>
      </c>
    </row>
    <row r="243" customFormat="false" ht="12.8" hidden="false" customHeight="false" outlineLevel="0" collapsed="false">
      <c r="A243" s="27"/>
      <c r="B243" s="27" t="s">
        <v>1015</v>
      </c>
      <c r="C243" s="30" t="n">
        <v>75015</v>
      </c>
      <c r="D243" s="31" t="s">
        <v>36</v>
      </c>
    </row>
    <row r="244" customFormat="false" ht="12.8" hidden="false" customHeight="false" outlineLevel="0" collapsed="false">
      <c r="A244" s="27"/>
      <c r="B244" s="27" t="s">
        <v>1017</v>
      </c>
      <c r="C244" s="30" t="n">
        <v>75015</v>
      </c>
      <c r="D244" s="31" t="s">
        <v>36</v>
      </c>
    </row>
    <row r="245" customFormat="false" ht="12.8" hidden="false" customHeight="false" outlineLevel="0" collapsed="false">
      <c r="A245" s="27"/>
      <c r="B245" s="27" t="s">
        <v>1020</v>
      </c>
      <c r="C245" s="30" t="n">
        <v>75015</v>
      </c>
      <c r="D245" s="31" t="s">
        <v>36</v>
      </c>
    </row>
    <row r="246" customFormat="false" ht="12.8" hidden="false" customHeight="false" outlineLevel="0" collapsed="false">
      <c r="A246" s="27"/>
      <c r="B246" s="27" t="s">
        <v>1022</v>
      </c>
      <c r="C246" s="30" t="n">
        <v>75015</v>
      </c>
      <c r="D246" s="31" t="s">
        <v>36</v>
      </c>
    </row>
    <row r="247" customFormat="false" ht="12.8" hidden="false" customHeight="false" outlineLevel="0" collapsed="false">
      <c r="A247" s="27"/>
      <c r="B247" s="27" t="s">
        <v>1024</v>
      </c>
      <c r="C247" s="30" t="n">
        <v>75015</v>
      </c>
      <c r="D247" s="31" t="s">
        <v>36</v>
      </c>
    </row>
    <row r="248" customFormat="false" ht="12.8" hidden="false" customHeight="false" outlineLevel="0" collapsed="false">
      <c r="A248" s="27"/>
      <c r="B248" s="27" t="s">
        <v>1027</v>
      </c>
      <c r="C248" s="30" t="n">
        <v>75015</v>
      </c>
      <c r="D248" s="31" t="s">
        <v>36</v>
      </c>
    </row>
    <row r="249" customFormat="false" ht="12.8" hidden="false" customHeight="false" outlineLevel="0" collapsed="false">
      <c r="A249" s="27"/>
      <c r="B249" s="27" t="s">
        <v>1030</v>
      </c>
      <c r="C249" s="30" t="n">
        <v>75015</v>
      </c>
      <c r="D249" s="31" t="s">
        <v>36</v>
      </c>
    </row>
    <row r="250" customFormat="false" ht="12.8" hidden="false" customHeight="false" outlineLevel="0" collapsed="false">
      <c r="A250" s="27"/>
      <c r="B250" s="27" t="s">
        <v>1032</v>
      </c>
      <c r="C250" s="30" t="n">
        <v>75015</v>
      </c>
      <c r="D250" s="31" t="s">
        <v>36</v>
      </c>
    </row>
    <row r="251" customFormat="false" ht="12.8" hidden="false" customHeight="false" outlineLevel="0" collapsed="false">
      <c r="A251" s="27"/>
      <c r="B251" s="27" t="s">
        <v>1040</v>
      </c>
      <c r="C251" s="30" t="n">
        <v>75015</v>
      </c>
      <c r="D251" s="31" t="s">
        <v>36</v>
      </c>
    </row>
    <row r="252" customFormat="false" ht="12.8" hidden="false" customHeight="false" outlineLevel="0" collapsed="false">
      <c r="A252" s="27"/>
      <c r="B252" s="27" t="s">
        <v>1042</v>
      </c>
      <c r="C252" s="30" t="n">
        <v>75015</v>
      </c>
      <c r="D252" s="31" t="s">
        <v>36</v>
      </c>
    </row>
    <row r="253" customFormat="false" ht="12.8" hidden="false" customHeight="false" outlineLevel="0" collapsed="false">
      <c r="A253" s="27"/>
      <c r="B253" s="27" t="s">
        <v>1045</v>
      </c>
      <c r="C253" s="30" t="n">
        <v>75015</v>
      </c>
      <c r="D253" s="31" t="s">
        <v>36</v>
      </c>
    </row>
    <row r="254" customFormat="false" ht="12.8" hidden="false" customHeight="false" outlineLevel="0" collapsed="false">
      <c r="A254" s="27"/>
      <c r="B254" s="27" t="s">
        <v>1060</v>
      </c>
      <c r="C254" s="30" t="n">
        <v>75015</v>
      </c>
      <c r="D254" s="31" t="s">
        <v>36</v>
      </c>
    </row>
    <row r="255" customFormat="false" ht="12.8" hidden="false" customHeight="false" outlineLevel="0" collapsed="false">
      <c r="A255" s="27"/>
      <c r="B255" s="27" t="s">
        <v>1063</v>
      </c>
      <c r="C255" s="30" t="n">
        <v>75015</v>
      </c>
      <c r="D255" s="31" t="s">
        <v>36</v>
      </c>
    </row>
    <row r="256" customFormat="false" ht="12.8" hidden="false" customHeight="false" outlineLevel="0" collapsed="false">
      <c r="A256" s="27"/>
      <c r="B256" s="27" t="s">
        <v>1069</v>
      </c>
      <c r="C256" s="30" t="n">
        <v>75015</v>
      </c>
      <c r="D256" s="31" t="s">
        <v>36</v>
      </c>
    </row>
    <row r="257" customFormat="false" ht="12.8" hidden="false" customHeight="false" outlineLevel="0" collapsed="false">
      <c r="A257" s="27"/>
      <c r="B257" s="27" t="s">
        <v>1073</v>
      </c>
      <c r="C257" s="30" t="n">
        <v>75015</v>
      </c>
      <c r="D257" s="31" t="s">
        <v>36</v>
      </c>
    </row>
    <row r="258" customFormat="false" ht="12.8" hidden="false" customHeight="false" outlineLevel="0" collapsed="false">
      <c r="A258" s="27"/>
      <c r="B258" s="27" t="s">
        <v>1075</v>
      </c>
      <c r="C258" s="30" t="n">
        <v>75015</v>
      </c>
      <c r="D258" s="31" t="s">
        <v>36</v>
      </c>
    </row>
    <row r="259" customFormat="false" ht="12.8" hidden="false" customHeight="false" outlineLevel="0" collapsed="false">
      <c r="A259" s="27"/>
      <c r="B259" s="27" t="s">
        <v>1077</v>
      </c>
      <c r="C259" s="30" t="n">
        <v>75015</v>
      </c>
      <c r="D259" s="31" t="s">
        <v>36</v>
      </c>
    </row>
    <row r="260" customFormat="false" ht="12.8" hidden="false" customHeight="false" outlineLevel="0" collapsed="false">
      <c r="A260" s="27"/>
      <c r="B260" s="27" t="s">
        <v>1079</v>
      </c>
      <c r="C260" s="30" t="n">
        <v>75015</v>
      </c>
      <c r="D260" s="31" t="s">
        <v>36</v>
      </c>
    </row>
    <row r="261" customFormat="false" ht="12.8" hidden="false" customHeight="false" outlineLevel="0" collapsed="false">
      <c r="A261" s="27"/>
      <c r="B261" s="27" t="s">
        <v>1081</v>
      </c>
      <c r="C261" s="30" t="n">
        <v>75015</v>
      </c>
      <c r="D261" s="31" t="s">
        <v>36</v>
      </c>
    </row>
    <row r="262" customFormat="false" ht="12.8" hidden="false" customHeight="false" outlineLevel="0" collapsed="false">
      <c r="A262" s="27"/>
      <c r="B262" s="27" t="s">
        <v>4750</v>
      </c>
      <c r="C262" s="30" t="n">
        <v>75015</v>
      </c>
      <c r="D262" s="31" t="s">
        <v>36</v>
      </c>
    </row>
    <row r="263" customFormat="false" ht="12.8" hidden="false" customHeight="false" outlineLevel="0" collapsed="false">
      <c r="A263" s="27"/>
      <c r="B263" s="27" t="s">
        <v>1086</v>
      </c>
      <c r="C263" s="30" t="n">
        <v>75015</v>
      </c>
      <c r="D263" s="31" t="s">
        <v>36</v>
      </c>
    </row>
    <row r="264" customFormat="false" ht="12.8" hidden="false" customHeight="false" outlineLevel="0" collapsed="false">
      <c r="A264" s="27"/>
      <c r="B264" s="27" t="s">
        <v>1088</v>
      </c>
      <c r="C264" s="30" t="n">
        <v>75015</v>
      </c>
      <c r="D264" s="31" t="s">
        <v>36</v>
      </c>
    </row>
    <row r="265" customFormat="false" ht="12.8" hidden="false" customHeight="false" outlineLevel="0" collapsed="false">
      <c r="A265" s="27"/>
      <c r="B265" s="27" t="s">
        <v>1090</v>
      </c>
      <c r="C265" s="30" t="n">
        <v>75015</v>
      </c>
      <c r="D265" s="31" t="s">
        <v>36</v>
      </c>
    </row>
    <row r="266" customFormat="false" ht="12.8" hidden="false" customHeight="false" outlineLevel="0" collapsed="false">
      <c r="A266" s="27"/>
      <c r="B266" s="27" t="s">
        <v>1092</v>
      </c>
      <c r="C266" s="30" t="n">
        <v>75015</v>
      </c>
      <c r="D266" s="31" t="s">
        <v>36</v>
      </c>
    </row>
    <row r="267" customFormat="false" ht="12.8" hidden="false" customHeight="false" outlineLevel="0" collapsed="false">
      <c r="A267" s="27"/>
      <c r="B267" s="27" t="s">
        <v>1095</v>
      </c>
      <c r="C267" s="30" t="n">
        <v>75015</v>
      </c>
      <c r="D267" s="31" t="s">
        <v>36</v>
      </c>
    </row>
    <row r="268" customFormat="false" ht="12.8" hidden="false" customHeight="false" outlineLevel="0" collapsed="false">
      <c r="A268" s="27"/>
      <c r="B268" s="27" t="s">
        <v>1097</v>
      </c>
      <c r="C268" s="30" t="n">
        <v>75015</v>
      </c>
      <c r="D268" s="31" t="s">
        <v>36</v>
      </c>
    </row>
    <row r="269" customFormat="false" ht="12.8" hidden="false" customHeight="false" outlineLevel="0" collapsed="false">
      <c r="A269" s="27"/>
      <c r="B269" s="27" t="s">
        <v>1104</v>
      </c>
      <c r="C269" s="30" t="n">
        <v>75015</v>
      </c>
      <c r="D269" s="31" t="s">
        <v>36</v>
      </c>
    </row>
    <row r="270" customFormat="false" ht="12.8" hidden="false" customHeight="false" outlineLevel="0" collapsed="false">
      <c r="A270" s="27"/>
      <c r="B270" s="27" t="s">
        <v>1106</v>
      </c>
      <c r="C270" s="30" t="n">
        <v>75015</v>
      </c>
      <c r="D270" s="31" t="s">
        <v>36</v>
      </c>
    </row>
    <row r="271" customFormat="false" ht="12.8" hidden="false" customHeight="false" outlineLevel="0" collapsed="false">
      <c r="A271" s="27"/>
      <c r="B271" s="27" t="s">
        <v>1108</v>
      </c>
      <c r="C271" s="30" t="n">
        <v>75015</v>
      </c>
      <c r="D271" s="31" t="s">
        <v>36</v>
      </c>
    </row>
    <row r="272" customFormat="false" ht="12.8" hidden="false" customHeight="false" outlineLevel="0" collapsed="false">
      <c r="A272" s="27"/>
      <c r="B272" s="27" t="s">
        <v>1111</v>
      </c>
      <c r="C272" s="30" t="n">
        <v>75015</v>
      </c>
      <c r="D272" s="31" t="s">
        <v>36</v>
      </c>
    </row>
    <row r="273" customFormat="false" ht="12.8" hidden="false" customHeight="false" outlineLevel="0" collapsed="false">
      <c r="A273" s="27"/>
      <c r="B273" s="27" t="s">
        <v>1114</v>
      </c>
      <c r="C273" s="30" t="n">
        <v>75015</v>
      </c>
      <c r="D273" s="31" t="s">
        <v>36</v>
      </c>
    </row>
    <row r="274" customFormat="false" ht="12.8" hidden="false" customHeight="false" outlineLevel="0" collapsed="false">
      <c r="A274" s="27"/>
      <c r="B274" s="27" t="s">
        <v>1116</v>
      </c>
      <c r="C274" s="30" t="n">
        <v>75015</v>
      </c>
      <c r="D274" s="31" t="s">
        <v>36</v>
      </c>
    </row>
    <row r="275" customFormat="false" ht="12.8" hidden="false" customHeight="false" outlineLevel="0" collapsed="false">
      <c r="A275" s="27"/>
      <c r="B275" s="27" t="s">
        <v>1119</v>
      </c>
      <c r="C275" s="30" t="n">
        <v>75015</v>
      </c>
      <c r="D275" s="31" t="s">
        <v>36</v>
      </c>
    </row>
    <row r="276" customFormat="false" ht="12.8" hidden="false" customHeight="false" outlineLevel="0" collapsed="false">
      <c r="A276" s="27"/>
      <c r="B276" s="27" t="s">
        <v>1125</v>
      </c>
      <c r="C276" s="30" t="n">
        <v>75007</v>
      </c>
      <c r="D276" s="31" t="s">
        <v>36</v>
      </c>
    </row>
    <row r="277" customFormat="false" ht="12.8" hidden="false" customHeight="false" outlineLevel="0" collapsed="false">
      <c r="A277" s="27"/>
      <c r="B277" s="27" t="s">
        <v>4751</v>
      </c>
      <c r="C277" s="30" t="n">
        <v>75007</v>
      </c>
      <c r="D277" s="31" t="s">
        <v>36</v>
      </c>
    </row>
    <row r="278" customFormat="false" ht="12.8" hidden="false" customHeight="false" outlineLevel="0" collapsed="false">
      <c r="A278" s="27"/>
      <c r="B278" s="27" t="s">
        <v>4752</v>
      </c>
      <c r="C278" s="30" t="n">
        <v>75007</v>
      </c>
      <c r="D278" s="31" t="s">
        <v>36</v>
      </c>
    </row>
    <row r="279" customFormat="false" ht="12.8" hidden="false" customHeight="false" outlineLevel="0" collapsed="false">
      <c r="A279" s="27"/>
      <c r="B279" s="27" t="s">
        <v>1133</v>
      </c>
      <c r="C279" s="30" t="n">
        <v>75007</v>
      </c>
      <c r="D279" s="31" t="s">
        <v>36</v>
      </c>
    </row>
    <row r="280" customFormat="false" ht="12.8" hidden="false" customHeight="false" outlineLevel="0" collapsed="false">
      <c r="A280" s="27"/>
      <c r="B280" s="27" t="s">
        <v>1135</v>
      </c>
      <c r="C280" s="30" t="n">
        <v>75007</v>
      </c>
      <c r="D280" s="31" t="s">
        <v>36</v>
      </c>
    </row>
    <row r="281" customFormat="false" ht="12.8" hidden="false" customHeight="false" outlineLevel="0" collapsed="false">
      <c r="A281" s="27"/>
      <c r="B281" s="27" t="s">
        <v>1139</v>
      </c>
      <c r="C281" s="30" t="n">
        <v>75007</v>
      </c>
      <c r="D281" s="31" t="s">
        <v>36</v>
      </c>
    </row>
    <row r="282" customFormat="false" ht="12.8" hidden="false" customHeight="false" outlineLevel="0" collapsed="false">
      <c r="A282" s="27"/>
      <c r="B282" s="27" t="s">
        <v>1143</v>
      </c>
      <c r="C282" s="30" t="n">
        <v>75007</v>
      </c>
      <c r="D282" s="31" t="s">
        <v>36</v>
      </c>
    </row>
    <row r="283" customFormat="false" ht="12.8" hidden="false" customHeight="false" outlineLevel="0" collapsed="false">
      <c r="A283" s="27"/>
      <c r="B283" s="27" t="s">
        <v>1147</v>
      </c>
      <c r="C283" s="30" t="n">
        <v>75007</v>
      </c>
      <c r="D283" s="31" t="s">
        <v>36</v>
      </c>
    </row>
    <row r="284" customFormat="false" ht="12.8" hidden="false" customHeight="false" outlineLevel="0" collapsed="false">
      <c r="A284" s="27"/>
      <c r="B284" s="27" t="s">
        <v>1150</v>
      </c>
      <c r="C284" s="30" t="n">
        <v>75007</v>
      </c>
      <c r="D284" s="31" t="s">
        <v>36</v>
      </c>
    </row>
    <row r="285" customFormat="false" ht="12.8" hidden="false" customHeight="false" outlineLevel="0" collapsed="false">
      <c r="A285" s="27"/>
      <c r="B285" s="27" t="s">
        <v>1152</v>
      </c>
      <c r="C285" s="30" t="n">
        <v>75007</v>
      </c>
      <c r="D285" s="31" t="s">
        <v>36</v>
      </c>
    </row>
    <row r="286" customFormat="false" ht="12.8" hidden="false" customHeight="false" outlineLevel="0" collapsed="false">
      <c r="A286" s="27"/>
      <c r="B286" s="27" t="s">
        <v>1156</v>
      </c>
      <c r="C286" s="30" t="n">
        <v>75007</v>
      </c>
      <c r="D286" s="31" t="s">
        <v>36</v>
      </c>
    </row>
    <row r="287" customFormat="false" ht="12.8" hidden="false" customHeight="false" outlineLevel="0" collapsed="false">
      <c r="A287" s="27"/>
      <c r="B287" s="27" t="s">
        <v>1158</v>
      </c>
      <c r="C287" s="30" t="n">
        <v>75007</v>
      </c>
      <c r="D287" s="31" t="s">
        <v>36</v>
      </c>
    </row>
    <row r="288" customFormat="false" ht="12.8" hidden="false" customHeight="false" outlineLevel="0" collapsed="false">
      <c r="A288" s="27"/>
      <c r="B288" s="27" t="s">
        <v>1161</v>
      </c>
      <c r="C288" s="30" t="n">
        <v>75007</v>
      </c>
      <c r="D288" s="31" t="s">
        <v>36</v>
      </c>
    </row>
    <row r="289" customFormat="false" ht="12.8" hidden="false" customHeight="false" outlineLevel="0" collapsed="false">
      <c r="A289" s="27"/>
      <c r="B289" s="27" t="s">
        <v>1164</v>
      </c>
      <c r="C289" s="30" t="n">
        <v>75007</v>
      </c>
      <c r="D289" s="31" t="s">
        <v>36</v>
      </c>
    </row>
    <row r="290" customFormat="false" ht="12.8" hidden="false" customHeight="false" outlineLevel="0" collapsed="false">
      <c r="A290" s="27"/>
      <c r="B290" s="27" t="s">
        <v>4753</v>
      </c>
      <c r="C290" s="30" t="n">
        <v>75007</v>
      </c>
      <c r="D290" s="31" t="s">
        <v>36</v>
      </c>
    </row>
    <row r="291" customFormat="false" ht="12.8" hidden="false" customHeight="false" outlineLevel="0" collapsed="false">
      <c r="A291" s="27"/>
      <c r="B291" s="27" t="s">
        <v>1168</v>
      </c>
      <c r="C291" s="30" t="n">
        <v>75007</v>
      </c>
      <c r="D291" s="31" t="s">
        <v>36</v>
      </c>
    </row>
    <row r="292" customFormat="false" ht="12.8" hidden="false" customHeight="false" outlineLevel="0" collapsed="false">
      <c r="A292" s="27"/>
      <c r="B292" s="27" t="s">
        <v>1173</v>
      </c>
      <c r="C292" s="30" t="n">
        <v>75007</v>
      </c>
      <c r="D292" s="31" t="s">
        <v>36</v>
      </c>
    </row>
    <row r="293" customFormat="false" ht="12.8" hidden="false" customHeight="false" outlineLevel="0" collapsed="false">
      <c r="A293" s="27"/>
      <c r="B293" s="27" t="s">
        <v>1176</v>
      </c>
      <c r="C293" s="30" t="n">
        <v>75007</v>
      </c>
      <c r="D293" s="31" t="s">
        <v>36</v>
      </c>
    </row>
    <row r="294" customFormat="false" ht="12.8" hidden="false" customHeight="false" outlineLevel="0" collapsed="false">
      <c r="A294" s="27"/>
      <c r="B294" s="27" t="s">
        <v>1178</v>
      </c>
      <c r="C294" s="30" t="n">
        <v>75007</v>
      </c>
      <c r="D294" s="31" t="s">
        <v>36</v>
      </c>
    </row>
    <row r="295" customFormat="false" ht="12.8" hidden="false" customHeight="false" outlineLevel="0" collapsed="false">
      <c r="A295" s="27"/>
      <c r="B295" s="27" t="s">
        <v>1181</v>
      </c>
      <c r="C295" s="30" t="n">
        <v>75007</v>
      </c>
      <c r="D295" s="31" t="s">
        <v>36</v>
      </c>
    </row>
    <row r="296" customFormat="false" ht="12.8" hidden="false" customHeight="false" outlineLevel="0" collapsed="false">
      <c r="A296" s="27"/>
      <c r="B296" s="27" t="s">
        <v>1184</v>
      </c>
      <c r="C296" s="30" t="n">
        <v>75007</v>
      </c>
      <c r="D296" s="31" t="s">
        <v>36</v>
      </c>
    </row>
    <row r="297" customFormat="false" ht="12.8" hidden="false" customHeight="false" outlineLevel="0" collapsed="false">
      <c r="A297" s="27"/>
      <c r="B297" s="27" t="s">
        <v>1186</v>
      </c>
      <c r="C297" s="30" t="n">
        <v>75007</v>
      </c>
      <c r="D297" s="31" t="s">
        <v>36</v>
      </c>
    </row>
    <row r="298" customFormat="false" ht="12.8" hidden="false" customHeight="false" outlineLevel="0" collapsed="false">
      <c r="A298" s="27"/>
      <c r="B298" s="27" t="s">
        <v>1188</v>
      </c>
      <c r="C298" s="30" t="n">
        <v>75007</v>
      </c>
      <c r="D298" s="31" t="s">
        <v>36</v>
      </c>
    </row>
    <row r="299" customFormat="false" ht="12.8" hidden="false" customHeight="false" outlineLevel="0" collapsed="false">
      <c r="A299" s="27"/>
      <c r="B299" s="27" t="s">
        <v>1190</v>
      </c>
      <c r="C299" s="30" t="n">
        <v>75007</v>
      </c>
      <c r="D299" s="31" t="s">
        <v>36</v>
      </c>
    </row>
    <row r="300" customFormat="false" ht="12.8" hidden="false" customHeight="false" outlineLevel="0" collapsed="false">
      <c r="A300" s="27"/>
      <c r="B300" s="27" t="s">
        <v>1192</v>
      </c>
      <c r="C300" s="30" t="n">
        <v>75007</v>
      </c>
      <c r="D300" s="31" t="s">
        <v>36</v>
      </c>
    </row>
    <row r="301" customFormat="false" ht="12.8" hidden="false" customHeight="false" outlineLevel="0" collapsed="false">
      <c r="A301" s="27"/>
      <c r="B301" s="27" t="s">
        <v>1194</v>
      </c>
      <c r="C301" s="30" t="n">
        <v>75007</v>
      </c>
      <c r="D301" s="31" t="s">
        <v>36</v>
      </c>
    </row>
    <row r="302" customFormat="false" ht="12.8" hidden="false" customHeight="false" outlineLevel="0" collapsed="false">
      <c r="A302" s="27"/>
      <c r="B302" s="27" t="s">
        <v>1197</v>
      </c>
      <c r="C302" s="30" t="n">
        <v>75007</v>
      </c>
      <c r="D302" s="31" t="s">
        <v>36</v>
      </c>
    </row>
    <row r="303" customFormat="false" ht="12.8" hidden="false" customHeight="false" outlineLevel="0" collapsed="false">
      <c r="A303" s="27"/>
      <c r="B303" s="27" t="s">
        <v>1200</v>
      </c>
      <c r="C303" s="30" t="n">
        <v>75007</v>
      </c>
      <c r="D303" s="31" t="s">
        <v>36</v>
      </c>
    </row>
    <row r="304" customFormat="false" ht="12.8" hidden="false" customHeight="false" outlineLevel="0" collapsed="false">
      <c r="A304" s="27"/>
      <c r="B304" s="27" t="s">
        <v>1203</v>
      </c>
      <c r="C304" s="30" t="n">
        <v>75007</v>
      </c>
      <c r="D304" s="31" t="s">
        <v>36</v>
      </c>
    </row>
    <row r="305" customFormat="false" ht="12.8" hidden="false" customHeight="false" outlineLevel="0" collapsed="false">
      <c r="A305" s="27"/>
      <c r="B305" s="27" t="s">
        <v>1206</v>
      </c>
      <c r="C305" s="30" t="n">
        <v>75007</v>
      </c>
      <c r="D305" s="31" t="s">
        <v>36</v>
      </c>
    </row>
    <row r="306" customFormat="false" ht="12.8" hidden="false" customHeight="false" outlineLevel="0" collapsed="false">
      <c r="A306" s="27"/>
      <c r="B306" s="27" t="s">
        <v>1208</v>
      </c>
      <c r="C306" s="30" t="n">
        <v>75007</v>
      </c>
      <c r="D306" s="31" t="s">
        <v>36</v>
      </c>
    </row>
    <row r="307" customFormat="false" ht="12.8" hidden="false" customHeight="false" outlineLevel="0" collapsed="false">
      <c r="A307" s="27"/>
      <c r="B307" s="27" t="s">
        <v>1212</v>
      </c>
      <c r="C307" s="30" t="n">
        <v>75007</v>
      </c>
      <c r="D307" s="31" t="s">
        <v>36</v>
      </c>
    </row>
    <row r="308" customFormat="false" ht="12.8" hidden="false" customHeight="false" outlineLevel="0" collapsed="false">
      <c r="A308" s="27"/>
      <c r="B308" s="27" t="s">
        <v>4754</v>
      </c>
      <c r="C308" s="30" t="n">
        <v>75007</v>
      </c>
      <c r="D308" s="31" t="s">
        <v>36</v>
      </c>
    </row>
    <row r="309" customFormat="false" ht="12.8" hidden="false" customHeight="false" outlineLevel="0" collapsed="false">
      <c r="A309" s="27"/>
      <c r="B309" s="27" t="s">
        <v>1217</v>
      </c>
      <c r="C309" s="30" t="n">
        <v>75007</v>
      </c>
      <c r="D309" s="31" t="s">
        <v>36</v>
      </c>
    </row>
    <row r="310" customFormat="false" ht="12.8" hidden="false" customHeight="false" outlineLevel="0" collapsed="false">
      <c r="A310" s="27"/>
      <c r="B310" s="27" t="s">
        <v>1219</v>
      </c>
      <c r="C310" s="30" t="n">
        <v>75007</v>
      </c>
      <c r="D310" s="31" t="s">
        <v>36</v>
      </c>
    </row>
    <row r="311" customFormat="false" ht="12.8" hidden="false" customHeight="false" outlineLevel="0" collapsed="false">
      <c r="A311" s="27"/>
      <c r="B311" s="27" t="s">
        <v>1221</v>
      </c>
      <c r="C311" s="30" t="n">
        <v>75007</v>
      </c>
      <c r="D311" s="31" t="s">
        <v>36</v>
      </c>
    </row>
    <row r="312" customFormat="false" ht="12.8" hidden="false" customHeight="false" outlineLevel="0" collapsed="false">
      <c r="A312" s="27"/>
      <c r="B312" s="27" t="s">
        <v>1225</v>
      </c>
      <c r="C312" s="30" t="n">
        <v>75007</v>
      </c>
      <c r="D312" s="31" t="s">
        <v>36</v>
      </c>
    </row>
    <row r="313" customFormat="false" ht="12.8" hidden="false" customHeight="false" outlineLevel="0" collapsed="false">
      <c r="A313" s="27"/>
      <c r="B313" s="27" t="s">
        <v>1228</v>
      </c>
      <c r="C313" s="30" t="n">
        <v>75007</v>
      </c>
      <c r="D313" s="31" t="s">
        <v>36</v>
      </c>
    </row>
    <row r="314" customFormat="false" ht="12.8" hidden="false" customHeight="false" outlineLevel="0" collapsed="false">
      <c r="A314" s="27"/>
      <c r="B314" s="27" t="s">
        <v>1231</v>
      </c>
      <c r="C314" s="30" t="n">
        <v>75007</v>
      </c>
      <c r="D314" s="31" t="s">
        <v>36</v>
      </c>
    </row>
    <row r="315" customFormat="false" ht="12.8" hidden="false" customHeight="false" outlineLevel="0" collapsed="false">
      <c r="A315" s="27"/>
      <c r="B315" s="27" t="s">
        <v>1234</v>
      </c>
      <c r="C315" s="30" t="n">
        <v>75007</v>
      </c>
      <c r="D315" s="31" t="s">
        <v>36</v>
      </c>
    </row>
    <row r="316" customFormat="false" ht="12.8" hidden="false" customHeight="false" outlineLevel="0" collapsed="false">
      <c r="A316" s="27"/>
      <c r="B316" s="27" t="s">
        <v>1241</v>
      </c>
      <c r="C316" s="30" t="n">
        <v>75007</v>
      </c>
      <c r="D316" s="31" t="s">
        <v>36</v>
      </c>
    </row>
    <row r="317" customFormat="false" ht="12.8" hidden="false" customHeight="false" outlineLevel="0" collapsed="false">
      <c r="A317" s="27"/>
      <c r="B317" s="27" t="s">
        <v>1246</v>
      </c>
      <c r="C317" s="30" t="n">
        <v>75007</v>
      </c>
      <c r="D317" s="31" t="s">
        <v>36</v>
      </c>
    </row>
    <row r="318" customFormat="false" ht="12.8" hidden="false" customHeight="false" outlineLevel="0" collapsed="false">
      <c r="A318" s="27"/>
      <c r="B318" s="27" t="s">
        <v>1248</v>
      </c>
      <c r="C318" s="30" t="n">
        <v>75007</v>
      </c>
      <c r="D318" s="31" t="s">
        <v>36</v>
      </c>
    </row>
    <row r="319" customFormat="false" ht="12.8" hidden="false" customHeight="false" outlineLevel="0" collapsed="false">
      <c r="A319" s="27"/>
      <c r="B319" s="27" t="s">
        <v>1251</v>
      </c>
      <c r="C319" s="30" t="n">
        <v>75007</v>
      </c>
      <c r="D319" s="31" t="s">
        <v>36</v>
      </c>
    </row>
    <row r="320" customFormat="false" ht="12.8" hidden="false" customHeight="false" outlineLevel="0" collapsed="false">
      <c r="A320" s="27"/>
      <c r="B320" s="27" t="s">
        <v>1253</v>
      </c>
      <c r="C320" s="30" t="n">
        <v>75007</v>
      </c>
      <c r="D320" s="31" t="s">
        <v>36</v>
      </c>
    </row>
    <row r="321" customFormat="false" ht="12.8" hidden="false" customHeight="false" outlineLevel="0" collapsed="false">
      <c r="A321" s="27"/>
      <c r="B321" s="27" t="s">
        <v>1255</v>
      </c>
      <c r="C321" s="30" t="n">
        <v>75007</v>
      </c>
      <c r="D321" s="31" t="s">
        <v>36</v>
      </c>
    </row>
    <row r="322" customFormat="false" ht="12.8" hidden="false" customHeight="false" outlineLevel="0" collapsed="false">
      <c r="A322" s="27"/>
      <c r="B322" s="27" t="s">
        <v>1259</v>
      </c>
      <c r="C322" s="30" t="n">
        <v>75007</v>
      </c>
      <c r="D322" s="31" t="s">
        <v>36</v>
      </c>
    </row>
    <row r="323" customFormat="false" ht="12.8" hidden="false" customHeight="false" outlineLevel="0" collapsed="false">
      <c r="A323" s="27"/>
      <c r="B323" s="27" t="s">
        <v>1267</v>
      </c>
      <c r="C323" s="30" t="n">
        <v>75007</v>
      </c>
      <c r="D323" s="31" t="s">
        <v>36</v>
      </c>
    </row>
    <row r="324" customFormat="false" ht="12.8" hidden="false" customHeight="false" outlineLevel="0" collapsed="false">
      <c r="A324" s="27"/>
      <c r="B324" s="27" t="s">
        <v>1269</v>
      </c>
      <c r="C324" s="30" t="n">
        <v>75007</v>
      </c>
      <c r="D324" s="31" t="s">
        <v>36</v>
      </c>
    </row>
    <row r="325" customFormat="false" ht="12.8" hidden="false" customHeight="false" outlineLevel="0" collapsed="false">
      <c r="A325" s="27"/>
      <c r="B325" s="27" t="s">
        <v>1271</v>
      </c>
      <c r="C325" s="30" t="n">
        <v>75007</v>
      </c>
      <c r="D325" s="31" t="s">
        <v>36</v>
      </c>
    </row>
    <row r="326" customFormat="false" ht="12.8" hidden="false" customHeight="false" outlineLevel="0" collapsed="false">
      <c r="A326" s="27"/>
      <c r="B326" s="27" t="s">
        <v>1277</v>
      </c>
      <c r="C326" s="30" t="n">
        <v>75007</v>
      </c>
      <c r="D326" s="31" t="s">
        <v>36</v>
      </c>
    </row>
    <row r="327" customFormat="false" ht="12.8" hidden="false" customHeight="false" outlineLevel="0" collapsed="false">
      <c r="A327" s="27"/>
      <c r="B327" s="27" t="s">
        <v>4755</v>
      </c>
      <c r="C327" s="30" t="n">
        <v>75007</v>
      </c>
      <c r="D327" s="31" t="s">
        <v>36</v>
      </c>
    </row>
    <row r="328" customFormat="false" ht="12.8" hidden="false" customHeight="false" outlineLevel="0" collapsed="false">
      <c r="A328" s="27"/>
      <c r="B328" s="27" t="s">
        <v>1282</v>
      </c>
      <c r="C328" s="30" t="n">
        <v>75007</v>
      </c>
      <c r="D328" s="31" t="s">
        <v>36</v>
      </c>
    </row>
    <row r="329" customFormat="false" ht="12.8" hidden="false" customHeight="false" outlineLevel="0" collapsed="false">
      <c r="A329" s="27"/>
      <c r="B329" s="27" t="s">
        <v>1300</v>
      </c>
      <c r="C329" s="30" t="n">
        <v>75007</v>
      </c>
      <c r="D329" s="31" t="s">
        <v>36</v>
      </c>
    </row>
    <row r="330" customFormat="false" ht="12.8" hidden="false" customHeight="false" outlineLevel="0" collapsed="false">
      <c r="A330" s="27"/>
      <c r="B330" s="27" t="s">
        <v>1303</v>
      </c>
      <c r="C330" s="30" t="n">
        <v>75007</v>
      </c>
      <c r="D330" s="31" t="s">
        <v>36</v>
      </c>
    </row>
    <row r="331" customFormat="false" ht="12.8" hidden="false" customHeight="false" outlineLevel="0" collapsed="false">
      <c r="A331" s="27"/>
      <c r="B331" s="27" t="s">
        <v>4756</v>
      </c>
      <c r="C331" s="30" t="n">
        <v>75007</v>
      </c>
      <c r="D331" s="31" t="s">
        <v>36</v>
      </c>
    </row>
    <row r="332" customFormat="false" ht="12.8" hidden="false" customHeight="false" outlineLevel="0" collapsed="false">
      <c r="A332" s="27"/>
      <c r="B332" s="27" t="s">
        <v>1309</v>
      </c>
      <c r="C332" s="30" t="n">
        <v>75007</v>
      </c>
      <c r="D332" s="31" t="s">
        <v>36</v>
      </c>
    </row>
    <row r="333" customFormat="false" ht="12.8" hidden="false" customHeight="false" outlineLevel="0" collapsed="false">
      <c r="A333" s="27"/>
      <c r="B333" s="27" t="s">
        <v>1312</v>
      </c>
      <c r="C333" s="30" t="n">
        <v>75007</v>
      </c>
      <c r="D333" s="31" t="s">
        <v>36</v>
      </c>
    </row>
    <row r="334" customFormat="false" ht="12.8" hidden="false" customHeight="false" outlineLevel="0" collapsed="false">
      <c r="A334" s="27"/>
      <c r="B334" s="27" t="s">
        <v>1315</v>
      </c>
      <c r="C334" s="30" t="n">
        <v>75007</v>
      </c>
      <c r="D334" s="31" t="s">
        <v>36</v>
      </c>
    </row>
    <row r="335" customFormat="false" ht="12.8" hidden="false" customHeight="false" outlineLevel="0" collapsed="false">
      <c r="A335" s="27"/>
      <c r="B335" s="27" t="s">
        <v>1318</v>
      </c>
      <c r="C335" s="30" t="n">
        <v>75007</v>
      </c>
      <c r="D335" s="31" t="s">
        <v>36</v>
      </c>
    </row>
    <row r="336" customFormat="false" ht="12.8" hidden="false" customHeight="false" outlineLevel="0" collapsed="false">
      <c r="A336" s="27"/>
      <c r="B336" s="27" t="s">
        <v>1323</v>
      </c>
      <c r="C336" s="30" t="n">
        <v>75007</v>
      </c>
      <c r="D336" s="31" t="s">
        <v>36</v>
      </c>
    </row>
    <row r="337" customFormat="false" ht="12.8" hidden="false" customHeight="false" outlineLevel="0" collapsed="false">
      <c r="A337" s="27"/>
      <c r="B337" s="27" t="s">
        <v>1325</v>
      </c>
      <c r="C337" s="30" t="n">
        <v>75007</v>
      </c>
      <c r="D337" s="31" t="s">
        <v>36</v>
      </c>
    </row>
    <row r="338" customFormat="false" ht="12.8" hidden="false" customHeight="false" outlineLevel="0" collapsed="false">
      <c r="A338" s="27"/>
      <c r="B338" s="27" t="s">
        <v>1327</v>
      </c>
      <c r="C338" s="30" t="n">
        <v>75007</v>
      </c>
      <c r="D338" s="31" t="s">
        <v>36</v>
      </c>
    </row>
    <row r="339" customFormat="false" ht="12.8" hidden="false" customHeight="false" outlineLevel="0" collapsed="false">
      <c r="A339" s="27"/>
      <c r="B339" s="27" t="s">
        <v>1330</v>
      </c>
      <c r="C339" s="30" t="n">
        <v>75007</v>
      </c>
      <c r="D339" s="31" t="s">
        <v>36</v>
      </c>
    </row>
    <row r="340" customFormat="false" ht="12.8" hidden="false" customHeight="false" outlineLevel="0" collapsed="false">
      <c r="A340" s="27"/>
      <c r="B340" s="27" t="s">
        <v>1332</v>
      </c>
      <c r="C340" s="30" t="n">
        <v>75007</v>
      </c>
      <c r="D340" s="31" t="s">
        <v>36</v>
      </c>
    </row>
    <row r="341" customFormat="false" ht="12.8" hidden="false" customHeight="false" outlineLevel="0" collapsed="false">
      <c r="A341" s="27"/>
      <c r="B341" s="27" t="s">
        <v>1335</v>
      </c>
      <c r="C341" s="30" t="n">
        <v>75007</v>
      </c>
      <c r="D341" s="31" t="s">
        <v>36</v>
      </c>
    </row>
    <row r="342" customFormat="false" ht="12.8" hidden="false" customHeight="false" outlineLevel="0" collapsed="false">
      <c r="A342" s="27"/>
      <c r="B342" s="27" t="s">
        <v>1337</v>
      </c>
      <c r="C342" s="30" t="n">
        <v>75007</v>
      </c>
      <c r="D342" s="31" t="s">
        <v>36</v>
      </c>
    </row>
    <row r="343" customFormat="false" ht="12.8" hidden="false" customHeight="false" outlineLevel="0" collapsed="false">
      <c r="A343" s="27"/>
      <c r="B343" s="27" t="s">
        <v>1339</v>
      </c>
      <c r="C343" s="30" t="n">
        <v>75007</v>
      </c>
      <c r="D343" s="31" t="s">
        <v>36</v>
      </c>
    </row>
    <row r="344" customFormat="false" ht="12.8" hidden="false" customHeight="false" outlineLevel="0" collapsed="false">
      <c r="A344" s="27"/>
      <c r="B344" s="27" t="s">
        <v>1342</v>
      </c>
      <c r="C344" s="30" t="n">
        <v>75007</v>
      </c>
      <c r="D344" s="31" t="s">
        <v>36</v>
      </c>
    </row>
    <row r="345" customFormat="false" ht="12.8" hidden="false" customHeight="false" outlineLevel="0" collapsed="false">
      <c r="A345" s="27"/>
      <c r="B345" s="27" t="s">
        <v>1344</v>
      </c>
      <c r="C345" s="30" t="n">
        <v>75007</v>
      </c>
      <c r="D345" s="31" t="s">
        <v>36</v>
      </c>
    </row>
    <row r="346" customFormat="false" ht="12.8" hidden="false" customHeight="false" outlineLevel="0" collapsed="false">
      <c r="A346" s="27"/>
      <c r="B346" s="27" t="s">
        <v>1346</v>
      </c>
      <c r="C346" s="30" t="n">
        <v>75007</v>
      </c>
      <c r="D346" s="31" t="s">
        <v>36</v>
      </c>
    </row>
    <row r="347" customFormat="false" ht="12.8" hidden="false" customHeight="false" outlineLevel="0" collapsed="false">
      <c r="A347" s="27"/>
      <c r="B347" s="27" t="s">
        <v>1348</v>
      </c>
      <c r="C347" s="30" t="n">
        <v>75007</v>
      </c>
      <c r="D347" s="31" t="s">
        <v>36</v>
      </c>
    </row>
    <row r="348" customFormat="false" ht="12.8" hidden="false" customHeight="false" outlineLevel="0" collapsed="false">
      <c r="A348" s="27"/>
      <c r="B348" s="27" t="s">
        <v>1350</v>
      </c>
      <c r="C348" s="30" t="n">
        <v>75007</v>
      </c>
      <c r="D348" s="31" t="s">
        <v>36</v>
      </c>
    </row>
    <row r="349" customFormat="false" ht="12.8" hidden="false" customHeight="false" outlineLevel="0" collapsed="false">
      <c r="A349" s="27"/>
      <c r="B349" s="27" t="s">
        <v>1352</v>
      </c>
      <c r="C349" s="30" t="n">
        <v>75007</v>
      </c>
      <c r="D349" s="31" t="s">
        <v>36</v>
      </c>
    </row>
    <row r="350" customFormat="false" ht="12.8" hidden="false" customHeight="false" outlineLevel="0" collapsed="false">
      <c r="A350" s="27"/>
      <c r="B350" s="27" t="s">
        <v>1354</v>
      </c>
      <c r="C350" s="30" t="n">
        <v>75007</v>
      </c>
      <c r="D350" s="31" t="s">
        <v>36</v>
      </c>
    </row>
    <row r="351" customFormat="false" ht="12.8" hidden="false" customHeight="false" outlineLevel="0" collapsed="false">
      <c r="A351" s="27"/>
      <c r="B351" s="27" t="s">
        <v>1358</v>
      </c>
      <c r="C351" s="30" t="n">
        <v>75007</v>
      </c>
      <c r="D351" s="31" t="s">
        <v>36</v>
      </c>
    </row>
    <row r="352" customFormat="false" ht="12.8" hidden="false" customHeight="false" outlineLevel="0" collapsed="false">
      <c r="A352" s="27"/>
      <c r="B352" s="27" t="s">
        <v>1360</v>
      </c>
      <c r="C352" s="30" t="n">
        <v>75007</v>
      </c>
      <c r="D352" s="31" t="s">
        <v>36</v>
      </c>
    </row>
    <row r="353" customFormat="false" ht="12.8" hidden="false" customHeight="false" outlineLevel="0" collapsed="false">
      <c r="A353" s="27"/>
      <c r="B353" s="27" t="s">
        <v>1365</v>
      </c>
      <c r="C353" s="30" t="n">
        <v>75007</v>
      </c>
      <c r="D353" s="31" t="s">
        <v>36</v>
      </c>
    </row>
    <row r="354" customFormat="false" ht="12.8" hidden="false" customHeight="false" outlineLevel="0" collapsed="false">
      <c r="A354" s="27"/>
      <c r="B354" s="27" t="s">
        <v>1367</v>
      </c>
      <c r="C354" s="30" t="n">
        <v>75007</v>
      </c>
      <c r="D354" s="31" t="s">
        <v>36</v>
      </c>
    </row>
    <row r="355" customFormat="false" ht="12.8" hidden="false" customHeight="false" outlineLevel="0" collapsed="false">
      <c r="A355" s="27"/>
      <c r="B355" s="27" t="s">
        <v>1370</v>
      </c>
      <c r="C355" s="30" t="n">
        <v>75007</v>
      </c>
      <c r="D355" s="31" t="s">
        <v>36</v>
      </c>
    </row>
    <row r="356" customFormat="false" ht="12.8" hidden="false" customHeight="false" outlineLevel="0" collapsed="false">
      <c r="A356" s="27"/>
      <c r="B356" s="27" t="s">
        <v>1372</v>
      </c>
      <c r="C356" s="30" t="n">
        <v>75007</v>
      </c>
      <c r="D356" s="31" t="s">
        <v>36</v>
      </c>
    </row>
    <row r="357" customFormat="false" ht="12.8" hidden="false" customHeight="false" outlineLevel="0" collapsed="false">
      <c r="A357" s="27"/>
      <c r="B357" s="27" t="s">
        <v>1375</v>
      </c>
      <c r="C357" s="30" t="n">
        <v>75007</v>
      </c>
      <c r="D357" s="31" t="s">
        <v>36</v>
      </c>
    </row>
    <row r="358" customFormat="false" ht="12.8" hidden="false" customHeight="false" outlineLevel="0" collapsed="false">
      <c r="A358" s="27"/>
      <c r="B358" s="27" t="s">
        <v>1387</v>
      </c>
      <c r="C358" s="30" t="n">
        <v>75007</v>
      </c>
      <c r="D358" s="31" t="s">
        <v>36</v>
      </c>
    </row>
    <row r="359" customFormat="false" ht="12.8" hidden="false" customHeight="false" outlineLevel="0" collapsed="false">
      <c r="A359" s="27"/>
      <c r="B359" s="27" t="s">
        <v>1389</v>
      </c>
      <c r="C359" s="30" t="n">
        <v>75007</v>
      </c>
      <c r="D359" s="31" t="s">
        <v>36</v>
      </c>
    </row>
    <row r="360" customFormat="false" ht="12.8" hidden="false" customHeight="false" outlineLevel="0" collapsed="false">
      <c r="A360" s="27"/>
      <c r="B360" s="27" t="s">
        <v>1392</v>
      </c>
      <c r="C360" s="30" t="n">
        <v>75007</v>
      </c>
      <c r="D360" s="31" t="s">
        <v>36</v>
      </c>
    </row>
    <row r="361" customFormat="false" ht="12.8" hidden="false" customHeight="false" outlineLevel="0" collapsed="false">
      <c r="A361" s="27"/>
      <c r="B361" s="27" t="s">
        <v>1394</v>
      </c>
      <c r="C361" s="30" t="n">
        <v>75007</v>
      </c>
      <c r="D361" s="31" t="s">
        <v>36</v>
      </c>
    </row>
    <row r="362" customFormat="false" ht="12.8" hidden="false" customHeight="false" outlineLevel="0" collapsed="false">
      <c r="A362" s="27"/>
      <c r="B362" s="27" t="s">
        <v>1397</v>
      </c>
      <c r="C362" s="30" t="n">
        <v>75007</v>
      </c>
      <c r="D362" s="31" t="s">
        <v>36</v>
      </c>
    </row>
    <row r="363" customFormat="false" ht="12.8" hidden="false" customHeight="false" outlineLevel="0" collapsed="false">
      <c r="A363" s="27"/>
      <c r="B363" s="27" t="s">
        <v>1399</v>
      </c>
      <c r="C363" s="30" t="n">
        <v>75007</v>
      </c>
      <c r="D363" s="31" t="s">
        <v>36</v>
      </c>
    </row>
    <row r="364" customFormat="false" ht="12.8" hidden="false" customHeight="false" outlineLevel="0" collapsed="false">
      <c r="A364" s="27"/>
      <c r="B364" s="27" t="s">
        <v>1401</v>
      </c>
      <c r="C364" s="30" t="n">
        <v>75007</v>
      </c>
      <c r="D364" s="31" t="s">
        <v>36</v>
      </c>
    </row>
    <row r="365" customFormat="false" ht="12.8" hidden="false" customHeight="false" outlineLevel="0" collapsed="false">
      <c r="A365" s="27"/>
      <c r="B365" s="27" t="s">
        <v>1411</v>
      </c>
      <c r="C365" s="30" t="n">
        <v>75007</v>
      </c>
      <c r="D365" s="31" t="s">
        <v>36</v>
      </c>
    </row>
    <row r="366" customFormat="false" ht="12.8" hidden="false" customHeight="false" outlineLevel="0" collapsed="false">
      <c r="A366" s="27"/>
      <c r="B366" s="27" t="s">
        <v>1414</v>
      </c>
      <c r="C366" s="30" t="n">
        <v>75007</v>
      </c>
      <c r="D366" s="31" t="s">
        <v>36</v>
      </c>
    </row>
    <row r="367" customFormat="false" ht="12.8" hidden="false" customHeight="false" outlineLevel="0" collapsed="false">
      <c r="A367" s="27"/>
      <c r="B367" s="27" t="s">
        <v>1416</v>
      </c>
      <c r="C367" s="30" t="n">
        <v>75007</v>
      </c>
      <c r="D367" s="31" t="s">
        <v>36</v>
      </c>
    </row>
    <row r="368" customFormat="false" ht="12.8" hidden="false" customHeight="false" outlineLevel="0" collapsed="false">
      <c r="A368" s="27"/>
      <c r="B368" s="27" t="s">
        <v>1419</v>
      </c>
      <c r="C368" s="30" t="n">
        <v>75007</v>
      </c>
      <c r="D368" s="31" t="s">
        <v>36</v>
      </c>
    </row>
    <row r="369" customFormat="false" ht="12.8" hidden="false" customHeight="false" outlineLevel="0" collapsed="false">
      <c r="A369" s="27"/>
      <c r="B369" s="27" t="s">
        <v>1421</v>
      </c>
      <c r="C369" s="30" t="n">
        <v>75007</v>
      </c>
      <c r="D369" s="31" t="s">
        <v>36</v>
      </c>
    </row>
    <row r="370" customFormat="false" ht="12.8" hidden="false" customHeight="false" outlineLevel="0" collapsed="false">
      <c r="A370" s="27"/>
      <c r="B370" s="27" t="s">
        <v>1423</v>
      </c>
      <c r="C370" s="30" t="n">
        <v>75007</v>
      </c>
      <c r="D370" s="31" t="s">
        <v>36</v>
      </c>
    </row>
    <row r="371" customFormat="false" ht="12.8" hidden="false" customHeight="false" outlineLevel="0" collapsed="false">
      <c r="A371" s="27"/>
      <c r="B371" s="27" t="s">
        <v>1428</v>
      </c>
      <c r="C371" s="30" t="n">
        <v>75007</v>
      </c>
      <c r="D371" s="31" t="s">
        <v>36</v>
      </c>
    </row>
    <row r="372" customFormat="false" ht="12.8" hidden="false" customHeight="false" outlineLevel="0" collapsed="false">
      <c r="A372" s="27"/>
      <c r="B372" s="27" t="s">
        <v>1430</v>
      </c>
      <c r="C372" s="30" t="n">
        <v>75007</v>
      </c>
      <c r="D372" s="31" t="s">
        <v>36</v>
      </c>
    </row>
    <row r="373" customFormat="false" ht="12.8" hidden="false" customHeight="false" outlineLevel="0" collapsed="false">
      <c r="A373" s="27"/>
      <c r="B373" s="27" t="s">
        <v>1433</v>
      </c>
      <c r="C373" s="30" t="n">
        <v>75007</v>
      </c>
      <c r="D373" s="31" t="s">
        <v>36</v>
      </c>
    </row>
    <row r="374" customFormat="false" ht="12.8" hidden="false" customHeight="false" outlineLevel="0" collapsed="false">
      <c r="A374" s="27"/>
      <c r="B374" s="27" t="s">
        <v>1435</v>
      </c>
      <c r="C374" s="30" t="n">
        <v>75007</v>
      </c>
      <c r="D374" s="31" t="s">
        <v>36</v>
      </c>
    </row>
    <row r="375" customFormat="false" ht="12.8" hidden="false" customHeight="false" outlineLevel="0" collapsed="false">
      <c r="A375" s="27"/>
      <c r="B375" s="27" t="s">
        <v>1437</v>
      </c>
      <c r="C375" s="30" t="n">
        <v>75007</v>
      </c>
      <c r="D375" s="31" t="s">
        <v>36</v>
      </c>
    </row>
    <row r="376" customFormat="false" ht="12.8" hidden="false" customHeight="false" outlineLevel="0" collapsed="false">
      <c r="A376" s="27"/>
      <c r="B376" s="27" t="s">
        <v>1444</v>
      </c>
      <c r="C376" s="30" t="n">
        <v>75007</v>
      </c>
      <c r="D376" s="31" t="s">
        <v>36</v>
      </c>
    </row>
    <row r="377" customFormat="false" ht="12.8" hidden="false" customHeight="false" outlineLevel="0" collapsed="false">
      <c r="A377" s="27"/>
      <c r="B377" s="27" t="s">
        <v>1446</v>
      </c>
      <c r="C377" s="30" t="n">
        <v>75007</v>
      </c>
      <c r="D377" s="31" t="s">
        <v>36</v>
      </c>
    </row>
    <row r="378" customFormat="false" ht="12.8" hidden="false" customHeight="false" outlineLevel="0" collapsed="false">
      <c r="A378" s="27"/>
      <c r="B378" s="27" t="s">
        <v>1448</v>
      </c>
      <c r="C378" s="30" t="n">
        <v>75007</v>
      </c>
      <c r="D378" s="31" t="s">
        <v>36</v>
      </c>
    </row>
    <row r="379" customFormat="false" ht="12.8" hidden="false" customHeight="false" outlineLevel="0" collapsed="false">
      <c r="A379" s="27"/>
      <c r="B379" s="27" t="s">
        <v>1450</v>
      </c>
      <c r="C379" s="30" t="n">
        <v>75007</v>
      </c>
      <c r="D379" s="31" t="s">
        <v>36</v>
      </c>
    </row>
    <row r="380" customFormat="false" ht="12.8" hidden="false" customHeight="false" outlineLevel="0" collapsed="false">
      <c r="A380" s="27"/>
      <c r="B380" s="27" t="s">
        <v>1452</v>
      </c>
      <c r="C380" s="30" t="n">
        <v>75007</v>
      </c>
      <c r="D380" s="31" t="s">
        <v>36</v>
      </c>
    </row>
    <row r="381" customFormat="false" ht="12.8" hidden="false" customHeight="false" outlineLevel="0" collapsed="false">
      <c r="A381" s="27"/>
      <c r="B381" s="27" t="s">
        <v>1453</v>
      </c>
      <c r="C381" s="30" t="n">
        <v>75007</v>
      </c>
      <c r="D381" s="31" t="s">
        <v>36</v>
      </c>
    </row>
    <row r="382" customFormat="false" ht="12.8" hidden="false" customHeight="false" outlineLevel="0" collapsed="false">
      <c r="A382" s="27"/>
      <c r="B382" s="27" t="s">
        <v>1455</v>
      </c>
      <c r="C382" s="30" t="n">
        <v>75007</v>
      </c>
      <c r="D382" s="31" t="s">
        <v>36</v>
      </c>
    </row>
    <row r="383" customFormat="false" ht="12.8" hidden="false" customHeight="false" outlineLevel="0" collapsed="false">
      <c r="A383" s="27"/>
      <c r="B383" s="27" t="s">
        <v>1457</v>
      </c>
      <c r="C383" s="30" t="n">
        <v>75007</v>
      </c>
      <c r="D383" s="31" t="s">
        <v>36</v>
      </c>
    </row>
    <row r="384" customFormat="false" ht="12.8" hidden="false" customHeight="false" outlineLevel="0" collapsed="false">
      <c r="A384" s="27"/>
      <c r="B384" s="27" t="s">
        <v>1459</v>
      </c>
      <c r="C384" s="30" t="n">
        <v>75007</v>
      </c>
      <c r="D384" s="31" t="s">
        <v>36</v>
      </c>
    </row>
    <row r="385" customFormat="false" ht="12.8" hidden="false" customHeight="false" outlineLevel="0" collapsed="false">
      <c r="A385" s="27"/>
      <c r="B385" s="27" t="s">
        <v>1472</v>
      </c>
      <c r="C385" s="30" t="n">
        <v>75007</v>
      </c>
      <c r="D385" s="31" t="s">
        <v>36</v>
      </c>
    </row>
    <row r="386" customFormat="false" ht="12.8" hidden="false" customHeight="false" outlineLevel="0" collapsed="false">
      <c r="A386" s="27"/>
      <c r="B386" s="27" t="s">
        <v>1474</v>
      </c>
      <c r="C386" s="30" t="n">
        <v>75007</v>
      </c>
      <c r="D386" s="31" t="s">
        <v>36</v>
      </c>
    </row>
    <row r="387" customFormat="false" ht="12.8" hidden="false" customHeight="false" outlineLevel="0" collapsed="false">
      <c r="A387" s="27"/>
      <c r="B387" s="27" t="s">
        <v>1477</v>
      </c>
      <c r="C387" s="30" t="n">
        <v>75007</v>
      </c>
      <c r="D387" s="31" t="s">
        <v>36</v>
      </c>
    </row>
    <row r="388" customFormat="false" ht="12.8" hidden="false" customHeight="false" outlineLevel="0" collapsed="false">
      <c r="A388" s="27"/>
      <c r="B388" s="27" t="s">
        <v>1480</v>
      </c>
      <c r="C388" s="30" t="n">
        <v>75007</v>
      </c>
      <c r="D388" s="31" t="s">
        <v>36</v>
      </c>
    </row>
    <row r="389" customFormat="false" ht="12.8" hidden="false" customHeight="false" outlineLevel="0" collapsed="false">
      <c r="A389" s="27"/>
      <c r="B389" s="27" t="s">
        <v>1482</v>
      </c>
      <c r="C389" s="30" t="n">
        <v>75007</v>
      </c>
      <c r="D389" s="31" t="s">
        <v>36</v>
      </c>
    </row>
    <row r="390" customFormat="false" ht="12.8" hidden="false" customHeight="false" outlineLevel="0" collapsed="false">
      <c r="A390" s="27"/>
      <c r="B390" s="27" t="s">
        <v>1488</v>
      </c>
      <c r="C390" s="30" t="n">
        <v>75007</v>
      </c>
      <c r="D390" s="31" t="s">
        <v>36</v>
      </c>
    </row>
    <row r="391" customFormat="false" ht="12.8" hidden="false" customHeight="false" outlineLevel="0" collapsed="false">
      <c r="A391" s="27"/>
      <c r="B391" s="27" t="s">
        <v>1490</v>
      </c>
      <c r="C391" s="30" t="n">
        <v>75007</v>
      </c>
      <c r="D391" s="31" t="s">
        <v>36</v>
      </c>
    </row>
    <row r="392" customFormat="false" ht="12.8" hidden="false" customHeight="false" outlineLevel="0" collapsed="false">
      <c r="A392" s="27"/>
      <c r="B392" s="27" t="s">
        <v>1492</v>
      </c>
      <c r="C392" s="30" t="n">
        <v>75007</v>
      </c>
      <c r="D392" s="31" t="s">
        <v>36</v>
      </c>
    </row>
    <row r="393" customFormat="false" ht="12.8" hidden="false" customHeight="false" outlineLevel="0" collapsed="false">
      <c r="A393" s="27"/>
      <c r="B393" s="27" t="s">
        <v>1494</v>
      </c>
      <c r="C393" s="30" t="n">
        <v>75007</v>
      </c>
      <c r="D393" s="31" t="s">
        <v>36</v>
      </c>
    </row>
    <row r="394" customFormat="false" ht="12.8" hidden="false" customHeight="false" outlineLevel="0" collapsed="false">
      <c r="A394" s="27"/>
      <c r="B394" s="27" t="s">
        <v>1496</v>
      </c>
      <c r="C394" s="30" t="n">
        <v>75007</v>
      </c>
      <c r="D394" s="31" t="s">
        <v>36</v>
      </c>
    </row>
    <row r="395" customFormat="false" ht="12.8" hidden="false" customHeight="false" outlineLevel="0" collapsed="false">
      <c r="A395" s="27"/>
      <c r="B395" s="27" t="s">
        <v>4757</v>
      </c>
      <c r="C395" s="30" t="n">
        <v>75007</v>
      </c>
      <c r="D395" s="31" t="s">
        <v>36</v>
      </c>
    </row>
    <row r="396" customFormat="false" ht="12.8" hidden="false" customHeight="false" outlineLevel="0" collapsed="false">
      <c r="A396" s="27"/>
      <c r="B396" s="27" t="s">
        <v>1502</v>
      </c>
      <c r="C396" s="30" t="n">
        <v>75007</v>
      </c>
      <c r="D396" s="31" t="s">
        <v>36</v>
      </c>
    </row>
    <row r="397" customFormat="false" ht="12.8" hidden="false" customHeight="false" outlineLevel="0" collapsed="false">
      <c r="A397" s="27"/>
      <c r="B397" s="27" t="s">
        <v>1504</v>
      </c>
      <c r="C397" s="30" t="n">
        <v>75007</v>
      </c>
      <c r="D397" s="31" t="s">
        <v>36</v>
      </c>
    </row>
    <row r="398" customFormat="false" ht="12.8" hidden="false" customHeight="false" outlineLevel="0" collapsed="false">
      <c r="A398" s="27"/>
      <c r="B398" s="27" t="s">
        <v>1506</v>
      </c>
      <c r="C398" s="30" t="n">
        <v>75007</v>
      </c>
      <c r="D398" s="31" t="s">
        <v>36</v>
      </c>
    </row>
    <row r="399" customFormat="false" ht="12.8" hidden="false" customHeight="false" outlineLevel="0" collapsed="false">
      <c r="A399" s="27"/>
      <c r="B399" s="27" t="s">
        <v>1508</v>
      </c>
      <c r="C399" s="30" t="n">
        <v>75007</v>
      </c>
      <c r="D399" s="31" t="s">
        <v>36</v>
      </c>
    </row>
    <row r="400" customFormat="false" ht="12.8" hidden="false" customHeight="false" outlineLevel="0" collapsed="false">
      <c r="A400" s="27"/>
      <c r="B400" s="27" t="s">
        <v>1511</v>
      </c>
      <c r="C400" s="30" t="n">
        <v>75007</v>
      </c>
      <c r="D400" s="31" t="s">
        <v>36</v>
      </c>
    </row>
    <row r="401" customFormat="false" ht="12.8" hidden="false" customHeight="false" outlineLevel="0" collapsed="false">
      <c r="A401" s="27"/>
      <c r="B401" s="27" t="s">
        <v>1515</v>
      </c>
      <c r="C401" s="30" t="n">
        <v>75007</v>
      </c>
      <c r="D401" s="31" t="s">
        <v>36</v>
      </c>
    </row>
    <row r="402" customFormat="false" ht="12.8" hidden="false" customHeight="false" outlineLevel="0" collapsed="false">
      <c r="A402" s="27"/>
      <c r="B402" s="27" t="s">
        <v>1517</v>
      </c>
      <c r="C402" s="30" t="n">
        <v>75007</v>
      </c>
      <c r="D402" s="31" t="s">
        <v>36</v>
      </c>
    </row>
    <row r="403" customFormat="false" ht="12.8" hidden="false" customHeight="false" outlineLevel="0" collapsed="false">
      <c r="A403" s="27"/>
      <c r="B403" s="27" t="s">
        <v>1522</v>
      </c>
      <c r="C403" s="30" t="n">
        <v>75007</v>
      </c>
      <c r="D403" s="31" t="s">
        <v>36</v>
      </c>
    </row>
    <row r="404" customFormat="false" ht="12.8" hidden="false" customHeight="false" outlineLevel="0" collapsed="false">
      <c r="A404" s="27"/>
      <c r="B404" s="27" t="s">
        <v>1524</v>
      </c>
      <c r="C404" s="30" t="n">
        <v>75007</v>
      </c>
      <c r="D404" s="31" t="s">
        <v>36</v>
      </c>
    </row>
    <row r="405" customFormat="false" ht="12.8" hidden="false" customHeight="false" outlineLevel="0" collapsed="false">
      <c r="A405" s="27"/>
      <c r="B405" s="27" t="s">
        <v>1527</v>
      </c>
      <c r="C405" s="30" t="n">
        <v>75007</v>
      </c>
      <c r="D405" s="31" t="s">
        <v>36</v>
      </c>
    </row>
    <row r="406" customFormat="false" ht="12.8" hidden="false" customHeight="false" outlineLevel="0" collapsed="false">
      <c r="A406" s="27"/>
      <c r="B406" s="27" t="s">
        <v>1534</v>
      </c>
      <c r="C406" s="30" t="n">
        <v>75007</v>
      </c>
      <c r="D406" s="31" t="s">
        <v>36</v>
      </c>
    </row>
    <row r="407" customFormat="false" ht="12.8" hidden="false" customHeight="false" outlineLevel="0" collapsed="false">
      <c r="A407" s="27"/>
      <c r="B407" s="27" t="s">
        <v>1537</v>
      </c>
      <c r="C407" s="30" t="n">
        <v>75015</v>
      </c>
      <c r="D407" s="31" t="s">
        <v>36</v>
      </c>
    </row>
    <row r="408" customFormat="false" ht="12.8" hidden="false" customHeight="false" outlineLevel="0" collapsed="false">
      <c r="A408" s="27"/>
      <c r="B408" s="27" t="s">
        <v>1540</v>
      </c>
      <c r="C408" s="30" t="n">
        <v>75015</v>
      </c>
      <c r="D408" s="31" t="s">
        <v>36</v>
      </c>
    </row>
    <row r="409" customFormat="false" ht="12.8" hidden="false" customHeight="false" outlineLevel="0" collapsed="false">
      <c r="A409" s="27"/>
      <c r="B409" s="27" t="s">
        <v>1542</v>
      </c>
      <c r="C409" s="30" t="n">
        <v>75015</v>
      </c>
      <c r="D409" s="31" t="s">
        <v>36</v>
      </c>
    </row>
    <row r="410" customFormat="false" ht="12.8" hidden="false" customHeight="false" outlineLevel="0" collapsed="false">
      <c r="A410" s="27"/>
      <c r="B410" s="27" t="s">
        <v>1545</v>
      </c>
      <c r="C410" s="30" t="n">
        <v>75015</v>
      </c>
      <c r="D410" s="31" t="s">
        <v>36</v>
      </c>
    </row>
    <row r="411" customFormat="false" ht="12.8" hidden="false" customHeight="false" outlineLevel="0" collapsed="false">
      <c r="A411" s="27"/>
      <c r="B411" s="27" t="s">
        <v>1547</v>
      </c>
      <c r="C411" s="30" t="n">
        <v>75015</v>
      </c>
      <c r="D411" s="31" t="s">
        <v>36</v>
      </c>
    </row>
    <row r="412" customFormat="false" ht="12.8" hidden="false" customHeight="false" outlineLevel="0" collapsed="false">
      <c r="A412" s="27"/>
      <c r="B412" s="27" t="s">
        <v>1549</v>
      </c>
      <c r="C412" s="30" t="n">
        <v>75015</v>
      </c>
      <c r="D412" s="31" t="s">
        <v>36</v>
      </c>
    </row>
    <row r="413" customFormat="false" ht="12.8" hidden="false" customHeight="false" outlineLevel="0" collapsed="false">
      <c r="A413" s="27"/>
      <c r="B413" s="27" t="s">
        <v>1552</v>
      </c>
      <c r="C413" s="30" t="n">
        <v>75015</v>
      </c>
      <c r="D413" s="31" t="s">
        <v>36</v>
      </c>
    </row>
    <row r="414" customFormat="false" ht="12.8" hidden="false" customHeight="false" outlineLevel="0" collapsed="false">
      <c r="A414" s="27"/>
      <c r="B414" s="27" t="s">
        <v>1554</v>
      </c>
      <c r="C414" s="30" t="n">
        <v>75015</v>
      </c>
      <c r="D414" s="31" t="s">
        <v>36</v>
      </c>
    </row>
    <row r="415" customFormat="false" ht="12.8" hidden="false" customHeight="false" outlineLevel="0" collapsed="false">
      <c r="A415" s="27"/>
      <c r="B415" s="27" t="s">
        <v>1574</v>
      </c>
      <c r="C415" s="30" t="n">
        <v>75015</v>
      </c>
      <c r="D415" s="31" t="s">
        <v>36</v>
      </c>
    </row>
    <row r="416" customFormat="false" ht="12.8" hidden="false" customHeight="false" outlineLevel="0" collapsed="false">
      <c r="A416" s="27"/>
      <c r="B416" s="27" t="s">
        <v>1578</v>
      </c>
      <c r="C416" s="30" t="n">
        <v>75015</v>
      </c>
      <c r="D416" s="31" t="s">
        <v>36</v>
      </c>
    </row>
    <row r="417" customFormat="false" ht="12.8" hidden="false" customHeight="false" outlineLevel="0" collapsed="false">
      <c r="A417" s="27"/>
      <c r="B417" s="27" t="s">
        <v>1580</v>
      </c>
      <c r="C417" s="30" t="n">
        <v>75015</v>
      </c>
      <c r="D417" s="31" t="s">
        <v>36</v>
      </c>
    </row>
    <row r="418" customFormat="false" ht="12.8" hidden="false" customHeight="false" outlineLevel="0" collapsed="false">
      <c r="A418" s="27"/>
      <c r="B418" s="27" t="s">
        <v>1583</v>
      </c>
      <c r="C418" s="30" t="n">
        <v>75015</v>
      </c>
      <c r="D418" s="31" t="s">
        <v>36</v>
      </c>
    </row>
    <row r="419" customFormat="false" ht="12.8" hidden="false" customHeight="false" outlineLevel="0" collapsed="false">
      <c r="A419" s="27"/>
      <c r="B419" s="27" t="s">
        <v>1907</v>
      </c>
      <c r="C419" s="30" t="n">
        <v>75015</v>
      </c>
      <c r="D419" s="31" t="s">
        <v>36</v>
      </c>
    </row>
    <row r="420" customFormat="false" ht="12.8" hidden="false" customHeight="false" outlineLevel="0" collapsed="false">
      <c r="A420" s="27"/>
      <c r="B420" s="27" t="s">
        <v>1909</v>
      </c>
      <c r="C420" s="30" t="n">
        <v>75015</v>
      </c>
      <c r="D420" s="31" t="s">
        <v>36</v>
      </c>
    </row>
    <row r="421" customFormat="false" ht="12.8" hidden="false" customHeight="false" outlineLevel="0" collapsed="false">
      <c r="A421" s="27"/>
      <c r="B421" s="27" t="s">
        <v>1911</v>
      </c>
      <c r="C421" s="30" t="n">
        <v>75015</v>
      </c>
      <c r="D421" s="31" t="s">
        <v>36</v>
      </c>
    </row>
    <row r="422" customFormat="false" ht="12.8" hidden="false" customHeight="false" outlineLevel="0" collapsed="false">
      <c r="A422" s="27"/>
      <c r="B422" s="27" t="s">
        <v>1967</v>
      </c>
      <c r="C422" s="30" t="n">
        <v>75015</v>
      </c>
      <c r="D422" s="31" t="s">
        <v>36</v>
      </c>
    </row>
    <row r="423" customFormat="false" ht="12.8" hidden="false" customHeight="false" outlineLevel="0" collapsed="false">
      <c r="A423" s="27"/>
      <c r="B423" s="27" t="s">
        <v>1970</v>
      </c>
      <c r="C423" s="30" t="n">
        <v>75015</v>
      </c>
      <c r="D423" s="31" t="s">
        <v>36</v>
      </c>
    </row>
    <row r="424" customFormat="false" ht="12.8" hidden="false" customHeight="false" outlineLevel="0" collapsed="false">
      <c r="A424" s="27"/>
      <c r="B424" s="27" t="s">
        <v>1973</v>
      </c>
      <c r="C424" s="30" t="n">
        <v>75015</v>
      </c>
      <c r="D424" s="31" t="s">
        <v>36</v>
      </c>
    </row>
    <row r="425" customFormat="false" ht="12.8" hidden="false" customHeight="false" outlineLevel="0" collapsed="false">
      <c r="A425" s="27"/>
      <c r="B425" s="27" t="s">
        <v>1975</v>
      </c>
      <c r="C425" s="30" t="n">
        <v>75015</v>
      </c>
      <c r="D425" s="31" t="s">
        <v>36</v>
      </c>
    </row>
    <row r="426" customFormat="false" ht="12.8" hidden="false" customHeight="false" outlineLevel="0" collapsed="false">
      <c r="A426" s="27"/>
      <c r="B426" s="27" t="s">
        <v>1978</v>
      </c>
      <c r="C426" s="30" t="n">
        <v>75015</v>
      </c>
      <c r="D426" s="31" t="s">
        <v>36</v>
      </c>
    </row>
    <row r="427" customFormat="false" ht="12.8" hidden="false" customHeight="false" outlineLevel="0" collapsed="false">
      <c r="A427" s="27"/>
      <c r="B427" s="27" t="s">
        <v>1980</v>
      </c>
      <c r="C427" s="30" t="n">
        <v>75015</v>
      </c>
      <c r="D427" s="31" t="s">
        <v>36</v>
      </c>
    </row>
    <row r="428" customFormat="false" ht="12.8" hidden="false" customHeight="false" outlineLevel="0" collapsed="false">
      <c r="A428" s="27"/>
      <c r="B428" s="27" t="s">
        <v>1991</v>
      </c>
      <c r="C428" s="30" t="n">
        <v>75015</v>
      </c>
      <c r="D428" s="31" t="s">
        <v>36</v>
      </c>
    </row>
    <row r="429" customFormat="false" ht="12.8" hidden="false" customHeight="false" outlineLevel="0" collapsed="false">
      <c r="A429" s="27"/>
      <c r="B429" s="27" t="s">
        <v>1993</v>
      </c>
      <c r="C429" s="30" t="n">
        <v>75015</v>
      </c>
      <c r="D429" s="31" t="s">
        <v>36</v>
      </c>
    </row>
    <row r="430" customFormat="false" ht="12.8" hidden="false" customHeight="false" outlineLevel="0" collapsed="false">
      <c r="A430" s="27"/>
      <c r="B430" s="27" t="s">
        <v>1995</v>
      </c>
      <c r="C430" s="30" t="n">
        <v>75015</v>
      </c>
      <c r="D430" s="31" t="s">
        <v>36</v>
      </c>
    </row>
    <row r="431" customFormat="false" ht="12.8" hidden="false" customHeight="false" outlineLevel="0" collapsed="false">
      <c r="A431" s="27"/>
      <c r="B431" s="27" t="s">
        <v>1997</v>
      </c>
      <c r="C431" s="30" t="n">
        <v>75015</v>
      </c>
      <c r="D431" s="31" t="s">
        <v>36</v>
      </c>
    </row>
    <row r="432" customFormat="false" ht="12.8" hidden="false" customHeight="false" outlineLevel="0" collapsed="false">
      <c r="A432" s="27"/>
      <c r="B432" s="27" t="s">
        <v>2002</v>
      </c>
      <c r="C432" s="30" t="n">
        <v>75015</v>
      </c>
      <c r="D432" s="31" t="s">
        <v>36</v>
      </c>
    </row>
    <row r="433" customFormat="false" ht="12.8" hidden="false" customHeight="false" outlineLevel="0" collapsed="false">
      <c r="A433" s="27"/>
      <c r="B433" s="27" t="s">
        <v>2004</v>
      </c>
      <c r="C433" s="30" t="n">
        <v>75015</v>
      </c>
      <c r="D433" s="31" t="s">
        <v>36</v>
      </c>
    </row>
    <row r="434" customFormat="false" ht="12.8" hidden="false" customHeight="false" outlineLevel="0" collapsed="false">
      <c r="A434" s="27"/>
      <c r="B434" s="27" t="s">
        <v>2007</v>
      </c>
      <c r="C434" s="30" t="n">
        <v>75015</v>
      </c>
      <c r="D434" s="31" t="s">
        <v>36</v>
      </c>
    </row>
    <row r="435" customFormat="false" ht="12.8" hidden="false" customHeight="false" outlineLevel="0" collapsed="false">
      <c r="A435" s="27"/>
      <c r="B435" s="27" t="s">
        <v>2009</v>
      </c>
      <c r="C435" s="30" t="n">
        <v>75015</v>
      </c>
      <c r="D435" s="31" t="s">
        <v>36</v>
      </c>
    </row>
    <row r="436" customFormat="false" ht="12.8" hidden="false" customHeight="false" outlineLevel="0" collapsed="false">
      <c r="A436" s="27"/>
      <c r="B436" s="27" t="s">
        <v>2012</v>
      </c>
      <c r="C436" s="30" t="n">
        <v>75015</v>
      </c>
      <c r="D436" s="31" t="s">
        <v>36</v>
      </c>
    </row>
    <row r="437" customFormat="false" ht="12.8" hidden="false" customHeight="false" outlineLevel="0" collapsed="false">
      <c r="A437" s="27"/>
      <c r="B437" s="27" t="s">
        <v>2016</v>
      </c>
      <c r="C437" s="30" t="n">
        <v>75015</v>
      </c>
      <c r="D437" s="31" t="s">
        <v>36</v>
      </c>
    </row>
    <row r="438" customFormat="false" ht="12.8" hidden="false" customHeight="false" outlineLevel="0" collapsed="false">
      <c r="A438" s="27"/>
      <c r="B438" s="27" t="s">
        <v>2018</v>
      </c>
      <c r="C438" s="30" t="n">
        <v>75015</v>
      </c>
      <c r="D438" s="31" t="s">
        <v>36</v>
      </c>
    </row>
    <row r="439" customFormat="false" ht="12.8" hidden="false" customHeight="false" outlineLevel="0" collapsed="false">
      <c r="A439" s="27"/>
      <c r="B439" s="27" t="s">
        <v>2020</v>
      </c>
      <c r="C439" s="30" t="n">
        <v>75015</v>
      </c>
      <c r="D439" s="31" t="s">
        <v>36</v>
      </c>
    </row>
    <row r="440" customFormat="false" ht="12.8" hidden="false" customHeight="false" outlineLevel="0" collapsed="false">
      <c r="A440" s="27"/>
      <c r="B440" s="27" t="s">
        <v>2022</v>
      </c>
      <c r="C440" s="30" t="n">
        <v>75015</v>
      </c>
      <c r="D440" s="31" t="s">
        <v>36</v>
      </c>
    </row>
    <row r="441" customFormat="false" ht="12.8" hidden="false" customHeight="false" outlineLevel="0" collapsed="false">
      <c r="A441" s="27"/>
      <c r="B441" s="27" t="s">
        <v>2024</v>
      </c>
      <c r="C441" s="30" t="n">
        <v>75015</v>
      </c>
      <c r="D441" s="31" t="s">
        <v>36</v>
      </c>
    </row>
    <row r="442" customFormat="false" ht="12.8" hidden="false" customHeight="false" outlineLevel="0" collapsed="false">
      <c r="A442" s="27"/>
      <c r="B442" s="27" t="s">
        <v>2026</v>
      </c>
      <c r="C442" s="30" t="n">
        <v>75015</v>
      </c>
      <c r="D442" s="31" t="s">
        <v>36</v>
      </c>
    </row>
    <row r="443" customFormat="false" ht="12.8" hidden="false" customHeight="false" outlineLevel="0" collapsed="false">
      <c r="A443" s="27"/>
      <c r="B443" s="27" t="s">
        <v>4758</v>
      </c>
      <c r="C443" s="30" t="n">
        <v>75015</v>
      </c>
      <c r="D443" s="31" t="s">
        <v>36</v>
      </c>
    </row>
    <row r="444" customFormat="false" ht="12.8" hidden="false" customHeight="false" outlineLevel="0" collapsed="false">
      <c r="A444" s="27"/>
      <c r="B444" s="27" t="s">
        <v>2030</v>
      </c>
      <c r="C444" s="30" t="n">
        <v>75015</v>
      </c>
      <c r="D444" s="31" t="s">
        <v>36</v>
      </c>
    </row>
    <row r="445" customFormat="false" ht="12.8" hidden="false" customHeight="false" outlineLevel="0" collapsed="false">
      <c r="A445" s="27"/>
      <c r="B445" s="27" t="s">
        <v>2032</v>
      </c>
      <c r="C445" s="30" t="n">
        <v>75015</v>
      </c>
      <c r="D445" s="31" t="s">
        <v>36</v>
      </c>
    </row>
    <row r="446" customFormat="false" ht="12.8" hidden="false" customHeight="false" outlineLevel="0" collapsed="false">
      <c r="A446" s="27"/>
      <c r="B446" s="27" t="s">
        <v>2061</v>
      </c>
      <c r="C446" s="30" t="n">
        <v>75015</v>
      </c>
      <c r="D446" s="31" t="s">
        <v>36</v>
      </c>
    </row>
    <row r="447" customFormat="false" ht="12.8" hidden="false" customHeight="false" outlineLevel="0" collapsed="false">
      <c r="A447" s="27"/>
      <c r="B447" s="27" t="s">
        <v>2064</v>
      </c>
      <c r="C447" s="30" t="n">
        <v>75015</v>
      </c>
      <c r="D447" s="31" t="s">
        <v>36</v>
      </c>
    </row>
    <row r="448" customFormat="false" ht="12.8" hidden="false" customHeight="false" outlineLevel="0" collapsed="false">
      <c r="A448" s="27"/>
      <c r="B448" s="27" t="s">
        <v>2066</v>
      </c>
      <c r="C448" s="30" t="n">
        <v>75015</v>
      </c>
      <c r="D448" s="31" t="s">
        <v>36</v>
      </c>
    </row>
    <row r="449" customFormat="false" ht="12.8" hidden="false" customHeight="false" outlineLevel="0" collapsed="false">
      <c r="A449" s="27"/>
      <c r="B449" s="27" t="s">
        <v>2067</v>
      </c>
      <c r="C449" s="30" t="n">
        <v>75015</v>
      </c>
      <c r="D449" s="31" t="s">
        <v>36</v>
      </c>
    </row>
    <row r="450" customFormat="false" ht="12.8" hidden="false" customHeight="false" outlineLevel="0" collapsed="false">
      <c r="A450" s="27"/>
      <c r="B450" s="27" t="s">
        <v>2069</v>
      </c>
      <c r="C450" s="30" t="n">
        <v>75015</v>
      </c>
      <c r="D450" s="31" t="s">
        <v>36</v>
      </c>
    </row>
    <row r="451" customFormat="false" ht="12.8" hidden="false" customHeight="false" outlineLevel="0" collapsed="false">
      <c r="A451" s="27"/>
      <c r="B451" s="27" t="s">
        <v>256</v>
      </c>
      <c r="C451" s="30" t="n">
        <v>75015</v>
      </c>
      <c r="D451" s="31" t="s">
        <v>36</v>
      </c>
    </row>
    <row r="452" customFormat="false" ht="12.8" hidden="false" customHeight="false" outlineLevel="0" collapsed="false">
      <c r="A452" s="27"/>
      <c r="B452" s="27" t="s">
        <v>2075</v>
      </c>
      <c r="C452" s="30" t="n">
        <v>75015</v>
      </c>
      <c r="D452" s="31" t="s">
        <v>36</v>
      </c>
    </row>
    <row r="453" customFormat="false" ht="12.8" hidden="false" customHeight="false" outlineLevel="0" collapsed="false">
      <c r="A453" s="27"/>
      <c r="B453" s="27" t="s">
        <v>2076</v>
      </c>
      <c r="C453" s="30" t="n">
        <v>75015</v>
      </c>
      <c r="D453" s="31" t="s">
        <v>36</v>
      </c>
    </row>
    <row r="454" customFormat="false" ht="12.8" hidden="false" customHeight="false" outlineLevel="0" collapsed="false">
      <c r="A454" s="27"/>
      <c r="B454" s="27" t="s">
        <v>2079</v>
      </c>
      <c r="C454" s="30" t="n">
        <v>75015</v>
      </c>
      <c r="D454" s="31" t="s">
        <v>36</v>
      </c>
    </row>
    <row r="455" customFormat="false" ht="12.8" hidden="false" customHeight="false" outlineLevel="0" collapsed="false">
      <c r="A455" s="27"/>
      <c r="B455" s="27" t="s">
        <v>2080</v>
      </c>
      <c r="C455" s="30" t="n">
        <v>75015</v>
      </c>
      <c r="D455" s="31" t="s">
        <v>36</v>
      </c>
    </row>
    <row r="456" customFormat="false" ht="12.8" hidden="false" customHeight="false" outlineLevel="0" collapsed="false">
      <c r="A456" s="27"/>
      <c r="B456" s="27" t="s">
        <v>2082</v>
      </c>
      <c r="C456" s="30" t="n">
        <v>75015</v>
      </c>
      <c r="D456" s="31" t="s">
        <v>36</v>
      </c>
    </row>
    <row r="457" customFormat="false" ht="12.8" hidden="false" customHeight="false" outlineLevel="0" collapsed="false">
      <c r="A457" s="27"/>
      <c r="B457" s="27" t="s">
        <v>2084</v>
      </c>
      <c r="C457" s="30" t="n">
        <v>75015</v>
      </c>
      <c r="D457" s="31" t="s">
        <v>36</v>
      </c>
    </row>
    <row r="458" customFormat="false" ht="12.8" hidden="false" customHeight="false" outlineLevel="0" collapsed="false">
      <c r="A458" s="27"/>
      <c r="B458" s="27" t="s">
        <v>2089</v>
      </c>
      <c r="C458" s="30" t="n">
        <v>75015</v>
      </c>
      <c r="D458" s="31" t="s">
        <v>36</v>
      </c>
    </row>
    <row r="459" customFormat="false" ht="12.8" hidden="false" customHeight="false" outlineLevel="0" collapsed="false">
      <c r="A459" s="27"/>
      <c r="B459" s="27" t="s">
        <v>2091</v>
      </c>
      <c r="C459" s="30" t="n">
        <v>75015</v>
      </c>
      <c r="D459" s="31" t="s">
        <v>36</v>
      </c>
    </row>
    <row r="460" customFormat="false" ht="12.8" hidden="false" customHeight="false" outlineLevel="0" collapsed="false">
      <c r="A460" s="27"/>
      <c r="B460" s="27" t="s">
        <v>2093</v>
      </c>
      <c r="C460" s="30" t="n">
        <v>75015</v>
      </c>
      <c r="D460" s="31" t="s">
        <v>36</v>
      </c>
    </row>
    <row r="461" customFormat="false" ht="12.8" hidden="false" customHeight="false" outlineLevel="0" collapsed="false">
      <c r="A461" s="27"/>
      <c r="B461" s="27" t="s">
        <v>2096</v>
      </c>
      <c r="C461" s="30" t="n">
        <v>75015</v>
      </c>
      <c r="D461" s="31" t="s">
        <v>36</v>
      </c>
    </row>
    <row r="462" customFormat="false" ht="12.8" hidden="false" customHeight="false" outlineLevel="0" collapsed="false">
      <c r="A462" s="27"/>
      <c r="B462" s="27" t="s">
        <v>2099</v>
      </c>
      <c r="C462" s="30" t="n">
        <v>75015</v>
      </c>
      <c r="D462" s="31" t="s">
        <v>36</v>
      </c>
    </row>
    <row r="463" customFormat="false" ht="12.8" hidden="false" customHeight="false" outlineLevel="0" collapsed="false">
      <c r="A463" s="27"/>
      <c r="B463" s="27" t="s">
        <v>2101</v>
      </c>
      <c r="C463" s="30" t="n">
        <v>75015</v>
      </c>
      <c r="D463" s="31" t="s">
        <v>36</v>
      </c>
    </row>
    <row r="464" customFormat="false" ht="12.8" hidden="false" customHeight="false" outlineLevel="0" collapsed="false">
      <c r="A464" s="27"/>
      <c r="B464" s="27" t="s">
        <v>2103</v>
      </c>
      <c r="C464" s="30" t="n">
        <v>75015</v>
      </c>
      <c r="D464" s="31" t="s">
        <v>36</v>
      </c>
    </row>
    <row r="465" customFormat="false" ht="12.8" hidden="false" customHeight="false" outlineLevel="0" collapsed="false">
      <c r="A465" s="27"/>
      <c r="B465" s="27" t="s">
        <v>2105</v>
      </c>
      <c r="C465" s="30" t="n">
        <v>75015</v>
      </c>
      <c r="D465" s="31" t="s">
        <v>36</v>
      </c>
    </row>
    <row r="466" customFormat="false" ht="12.8" hidden="false" customHeight="false" outlineLevel="0" collapsed="false">
      <c r="A466" s="27"/>
      <c r="B466" s="27" t="s">
        <v>2108</v>
      </c>
      <c r="C466" s="30" t="n">
        <v>75015</v>
      </c>
      <c r="D466" s="31" t="s">
        <v>36</v>
      </c>
    </row>
    <row r="467" customFormat="false" ht="12.8" hidden="false" customHeight="false" outlineLevel="0" collapsed="false">
      <c r="A467" s="27"/>
      <c r="B467" s="27" t="s">
        <v>2112</v>
      </c>
      <c r="C467" s="30" t="n">
        <v>75015</v>
      </c>
      <c r="D467" s="31" t="s">
        <v>36</v>
      </c>
    </row>
    <row r="468" customFormat="false" ht="12.8" hidden="false" customHeight="false" outlineLevel="0" collapsed="false">
      <c r="A468" s="27"/>
      <c r="B468" s="27" t="s">
        <v>2114</v>
      </c>
      <c r="C468" s="30" t="n">
        <v>75015</v>
      </c>
      <c r="D468" s="31" t="s">
        <v>36</v>
      </c>
    </row>
    <row r="469" customFormat="false" ht="12.8" hidden="false" customHeight="false" outlineLevel="0" collapsed="false">
      <c r="A469" s="27"/>
      <c r="B469" s="27" t="s">
        <v>2116</v>
      </c>
      <c r="C469" s="30" t="n">
        <v>75015</v>
      </c>
      <c r="D469" s="31" t="s">
        <v>36</v>
      </c>
    </row>
    <row r="470" customFormat="false" ht="12.8" hidden="false" customHeight="false" outlineLevel="0" collapsed="false">
      <c r="A470" s="27"/>
      <c r="B470" s="27" t="s">
        <v>2119</v>
      </c>
      <c r="C470" s="30" t="n">
        <v>75015</v>
      </c>
      <c r="D470" s="31" t="s">
        <v>36</v>
      </c>
    </row>
    <row r="471" customFormat="false" ht="12.8" hidden="false" customHeight="false" outlineLevel="0" collapsed="false">
      <c r="A471" s="27"/>
      <c r="B471" s="27" t="s">
        <v>2121</v>
      </c>
      <c r="C471" s="30" t="n">
        <v>75015</v>
      </c>
      <c r="D471" s="31" t="s">
        <v>36</v>
      </c>
    </row>
    <row r="472" customFormat="false" ht="12.8" hidden="false" customHeight="false" outlineLevel="0" collapsed="false">
      <c r="A472" s="27"/>
      <c r="B472" s="27" t="s">
        <v>2123</v>
      </c>
      <c r="C472" s="30" t="n">
        <v>75015</v>
      </c>
      <c r="D472" s="31" t="s">
        <v>36</v>
      </c>
    </row>
    <row r="473" customFormat="false" ht="12.8" hidden="false" customHeight="false" outlineLevel="0" collapsed="false">
      <c r="A473" s="27"/>
      <c r="B473" s="27" t="s">
        <v>2125</v>
      </c>
      <c r="C473" s="30" t="n">
        <v>75015</v>
      </c>
      <c r="D473" s="31" t="s">
        <v>36</v>
      </c>
    </row>
    <row r="474" customFormat="false" ht="12.8" hidden="false" customHeight="false" outlineLevel="0" collapsed="false">
      <c r="A474" s="27"/>
      <c r="B474" s="27" t="s">
        <v>2128</v>
      </c>
      <c r="C474" s="30" t="n">
        <v>75015</v>
      </c>
      <c r="D474" s="31" t="s">
        <v>36</v>
      </c>
    </row>
    <row r="475" customFormat="false" ht="12.8" hidden="false" customHeight="false" outlineLevel="0" collapsed="false">
      <c r="A475" s="27"/>
      <c r="B475" s="27" t="s">
        <v>2130</v>
      </c>
      <c r="C475" s="30" t="n">
        <v>75015</v>
      </c>
      <c r="D475" s="31" t="s">
        <v>36</v>
      </c>
    </row>
    <row r="476" customFormat="false" ht="12.8" hidden="false" customHeight="false" outlineLevel="0" collapsed="false">
      <c r="A476" s="27"/>
      <c r="B476" s="27" t="s">
        <v>2133</v>
      </c>
      <c r="C476" s="30" t="n">
        <v>75016</v>
      </c>
      <c r="D476" s="31" t="s">
        <v>36</v>
      </c>
    </row>
    <row r="477" customFormat="false" ht="12.8" hidden="false" customHeight="false" outlineLevel="0" collapsed="false">
      <c r="A477" s="27"/>
      <c r="B477" s="27" t="s">
        <v>2138</v>
      </c>
      <c r="C477" s="30" t="n">
        <v>75016</v>
      </c>
      <c r="D477" s="31" t="s">
        <v>36</v>
      </c>
    </row>
    <row r="478" customFormat="false" ht="12.8" hidden="false" customHeight="false" outlineLevel="0" collapsed="false">
      <c r="A478" s="27"/>
      <c r="B478" s="27" t="s">
        <v>2140</v>
      </c>
      <c r="C478" s="30" t="n">
        <v>75016</v>
      </c>
      <c r="D478" s="31" t="s">
        <v>36</v>
      </c>
    </row>
    <row r="479" customFormat="false" ht="12.8" hidden="false" customHeight="false" outlineLevel="0" collapsed="false">
      <c r="A479" s="27"/>
      <c r="B479" s="27" t="s">
        <v>2143</v>
      </c>
      <c r="C479" s="30" t="n">
        <v>75016</v>
      </c>
      <c r="D479" s="31" t="s">
        <v>36</v>
      </c>
    </row>
    <row r="480" customFormat="false" ht="12.8" hidden="false" customHeight="false" outlineLevel="0" collapsed="false">
      <c r="A480" s="27"/>
      <c r="B480" s="27" t="s">
        <v>4759</v>
      </c>
      <c r="C480" s="30" t="n">
        <v>75016</v>
      </c>
      <c r="D480" s="31" t="s">
        <v>36</v>
      </c>
    </row>
    <row r="481" customFormat="false" ht="12.8" hidden="false" customHeight="false" outlineLevel="0" collapsed="false">
      <c r="A481" s="27"/>
      <c r="B481" s="27" t="s">
        <v>2148</v>
      </c>
      <c r="C481" s="30" t="n">
        <v>75016</v>
      </c>
      <c r="D481" s="31" t="s">
        <v>36</v>
      </c>
    </row>
    <row r="482" customFormat="false" ht="12.8" hidden="false" customHeight="false" outlineLevel="0" collapsed="false">
      <c r="A482" s="27"/>
      <c r="B482" s="27" t="s">
        <v>2150</v>
      </c>
      <c r="C482" s="30" t="n">
        <v>75016</v>
      </c>
      <c r="D482" s="31" t="s">
        <v>36</v>
      </c>
    </row>
    <row r="483" customFormat="false" ht="12.8" hidden="false" customHeight="false" outlineLevel="0" collapsed="false">
      <c r="A483" s="27"/>
      <c r="B483" s="27" t="s">
        <v>2155</v>
      </c>
      <c r="C483" s="30" t="n">
        <v>75016</v>
      </c>
      <c r="D483" s="31" t="s">
        <v>36</v>
      </c>
    </row>
    <row r="484" customFormat="false" ht="12.8" hidden="false" customHeight="false" outlineLevel="0" collapsed="false">
      <c r="A484" s="27"/>
      <c r="B484" s="27" t="s">
        <v>2158</v>
      </c>
      <c r="C484" s="30" t="n">
        <v>75016</v>
      </c>
      <c r="D484" s="31" t="s">
        <v>36</v>
      </c>
    </row>
    <row r="485" customFormat="false" ht="12.8" hidden="false" customHeight="false" outlineLevel="0" collapsed="false">
      <c r="A485" s="27"/>
      <c r="B485" s="27" t="s">
        <v>2160</v>
      </c>
      <c r="C485" s="30" t="n">
        <v>75016</v>
      </c>
      <c r="D485" s="31" t="s">
        <v>36</v>
      </c>
    </row>
    <row r="486" customFormat="false" ht="12.8" hidden="false" customHeight="false" outlineLevel="0" collapsed="false">
      <c r="A486" s="27"/>
      <c r="B486" s="27" t="s">
        <v>2162</v>
      </c>
      <c r="C486" s="30" t="n">
        <v>75016</v>
      </c>
      <c r="D486" s="31" t="s">
        <v>36</v>
      </c>
    </row>
    <row r="487" customFormat="false" ht="12.8" hidden="false" customHeight="false" outlineLevel="0" collapsed="false">
      <c r="A487" s="27"/>
      <c r="B487" s="27" t="s">
        <v>2165</v>
      </c>
      <c r="C487" s="30" t="n">
        <v>75016</v>
      </c>
      <c r="D487" s="31" t="s">
        <v>36</v>
      </c>
    </row>
    <row r="488" customFormat="false" ht="12.8" hidden="false" customHeight="false" outlineLevel="0" collapsed="false">
      <c r="A488" s="27"/>
      <c r="B488" s="27" t="s">
        <v>2167</v>
      </c>
      <c r="C488" s="30" t="n">
        <v>75016</v>
      </c>
      <c r="D488" s="31" t="s">
        <v>36</v>
      </c>
    </row>
    <row r="489" customFormat="false" ht="12.8" hidden="false" customHeight="false" outlineLevel="0" collapsed="false">
      <c r="A489" s="27"/>
      <c r="B489" s="27" t="s">
        <v>2172</v>
      </c>
      <c r="C489" s="30" t="n">
        <v>75016</v>
      </c>
      <c r="D489" s="31" t="s">
        <v>36</v>
      </c>
    </row>
    <row r="490" customFormat="false" ht="12.8" hidden="false" customHeight="false" outlineLevel="0" collapsed="false">
      <c r="A490" s="27"/>
      <c r="B490" s="27" t="s">
        <v>2175</v>
      </c>
      <c r="C490" s="30" t="n">
        <v>75016</v>
      </c>
      <c r="D490" s="31" t="s">
        <v>36</v>
      </c>
    </row>
    <row r="491" customFormat="false" ht="12.8" hidden="false" customHeight="false" outlineLevel="0" collapsed="false">
      <c r="A491" s="27"/>
      <c r="B491" s="27" t="s">
        <v>2179</v>
      </c>
      <c r="C491" s="30" t="n">
        <v>75016</v>
      </c>
      <c r="D491" s="31" t="s">
        <v>36</v>
      </c>
    </row>
    <row r="492" customFormat="false" ht="12.8" hidden="false" customHeight="false" outlineLevel="0" collapsed="false">
      <c r="A492" s="27"/>
      <c r="B492" s="27" t="s">
        <v>4760</v>
      </c>
      <c r="C492" s="30" t="n">
        <v>75016</v>
      </c>
      <c r="D492" s="31" t="s">
        <v>36</v>
      </c>
    </row>
    <row r="493" customFormat="false" ht="12.8" hidden="false" customHeight="false" outlineLevel="0" collapsed="false">
      <c r="A493" s="27"/>
      <c r="B493" s="27" t="s">
        <v>2183</v>
      </c>
      <c r="C493" s="30" t="n">
        <v>75016</v>
      </c>
      <c r="D493" s="31" t="s">
        <v>36</v>
      </c>
    </row>
    <row r="494" customFormat="false" ht="12.8" hidden="false" customHeight="false" outlineLevel="0" collapsed="false">
      <c r="A494" s="27"/>
      <c r="B494" s="27" t="s">
        <v>2185</v>
      </c>
      <c r="C494" s="30" t="n">
        <v>75016</v>
      </c>
      <c r="D494" s="31" t="s">
        <v>36</v>
      </c>
    </row>
    <row r="495" customFormat="false" ht="12.8" hidden="false" customHeight="false" outlineLevel="0" collapsed="false">
      <c r="A495" s="27"/>
      <c r="B495" s="27" t="s">
        <v>2187</v>
      </c>
      <c r="C495" s="30" t="n">
        <v>75016</v>
      </c>
      <c r="D495" s="31" t="s">
        <v>36</v>
      </c>
    </row>
    <row r="496" customFormat="false" ht="12.8" hidden="false" customHeight="false" outlineLevel="0" collapsed="false">
      <c r="A496" s="27"/>
      <c r="B496" s="27" t="s">
        <v>2190</v>
      </c>
      <c r="C496" s="30" t="n">
        <v>75016</v>
      </c>
      <c r="D496" s="31" t="s">
        <v>36</v>
      </c>
    </row>
    <row r="497" customFormat="false" ht="12.8" hidden="false" customHeight="false" outlineLevel="0" collapsed="false">
      <c r="A497" s="27"/>
      <c r="B497" s="27" t="s">
        <v>2192</v>
      </c>
      <c r="C497" s="30" t="n">
        <v>75016</v>
      </c>
      <c r="D497" s="31" t="s">
        <v>36</v>
      </c>
    </row>
    <row r="498" customFormat="false" ht="12.8" hidden="false" customHeight="false" outlineLevel="0" collapsed="false">
      <c r="A498" s="27"/>
      <c r="B498" s="27" t="s">
        <v>2193</v>
      </c>
      <c r="C498" s="30" t="n">
        <v>75016</v>
      </c>
      <c r="D498" s="31" t="s">
        <v>36</v>
      </c>
    </row>
    <row r="499" customFormat="false" ht="12.8" hidden="false" customHeight="false" outlineLevel="0" collapsed="false">
      <c r="A499" s="27"/>
      <c r="B499" s="27" t="s">
        <v>2198</v>
      </c>
      <c r="C499" s="30" t="n">
        <v>75016</v>
      </c>
      <c r="D499" s="31" t="s">
        <v>36</v>
      </c>
    </row>
    <row r="500" customFormat="false" ht="12.8" hidden="false" customHeight="false" outlineLevel="0" collapsed="false">
      <c r="A500" s="27"/>
      <c r="B500" s="27" t="s">
        <v>2200</v>
      </c>
      <c r="C500" s="30" t="n">
        <v>75016</v>
      </c>
      <c r="D500" s="31" t="s">
        <v>36</v>
      </c>
    </row>
    <row r="501" customFormat="false" ht="12.8" hidden="false" customHeight="false" outlineLevel="0" collapsed="false">
      <c r="A501" s="27"/>
      <c r="B501" s="27" t="s">
        <v>2204</v>
      </c>
      <c r="C501" s="30" t="n">
        <v>75016</v>
      </c>
      <c r="D501" s="31" t="s">
        <v>36</v>
      </c>
    </row>
    <row r="502" customFormat="false" ht="12.8" hidden="false" customHeight="false" outlineLevel="0" collapsed="false">
      <c r="A502" s="27"/>
      <c r="B502" s="27" t="s">
        <v>2210</v>
      </c>
      <c r="C502" s="30" t="n">
        <v>75016</v>
      </c>
      <c r="D502" s="31" t="s">
        <v>36</v>
      </c>
    </row>
    <row r="503" customFormat="false" ht="12.8" hidden="false" customHeight="false" outlineLevel="0" collapsed="false">
      <c r="A503" s="27"/>
      <c r="B503" s="27" t="s">
        <v>2212</v>
      </c>
      <c r="C503" s="30" t="n">
        <v>75016</v>
      </c>
      <c r="D503" s="31" t="s">
        <v>36</v>
      </c>
    </row>
    <row r="504" customFormat="false" ht="12.8" hidden="false" customHeight="false" outlineLevel="0" collapsed="false">
      <c r="A504" s="27"/>
      <c r="B504" s="27" t="s">
        <v>4761</v>
      </c>
      <c r="C504" s="30" t="n">
        <v>75016</v>
      </c>
      <c r="D504" s="31" t="s">
        <v>36</v>
      </c>
    </row>
    <row r="505" customFormat="false" ht="12.8" hidden="false" customHeight="false" outlineLevel="0" collapsed="false">
      <c r="A505" s="27"/>
      <c r="B505" s="27" t="s">
        <v>2218</v>
      </c>
      <c r="C505" s="30" t="n">
        <v>75016</v>
      </c>
      <c r="D505" s="31" t="s">
        <v>36</v>
      </c>
    </row>
    <row r="506" customFormat="false" ht="12.8" hidden="false" customHeight="false" outlineLevel="0" collapsed="false">
      <c r="A506" s="27"/>
      <c r="B506" s="27" t="s">
        <v>2219</v>
      </c>
      <c r="C506" s="30" t="n">
        <v>75016</v>
      </c>
      <c r="D506" s="31" t="s">
        <v>36</v>
      </c>
    </row>
    <row r="507" customFormat="false" ht="12.8" hidden="false" customHeight="false" outlineLevel="0" collapsed="false">
      <c r="A507" s="27"/>
      <c r="B507" s="27" t="s">
        <v>2221</v>
      </c>
      <c r="C507" s="30" t="n">
        <v>75016</v>
      </c>
      <c r="D507" s="31" t="s">
        <v>36</v>
      </c>
    </row>
    <row r="508" customFormat="false" ht="12.8" hidden="false" customHeight="false" outlineLevel="0" collapsed="false">
      <c r="A508" s="27"/>
      <c r="B508" s="27" t="s">
        <v>2223</v>
      </c>
      <c r="C508" s="30" t="n">
        <v>75016</v>
      </c>
      <c r="D508" s="31" t="s">
        <v>36</v>
      </c>
    </row>
    <row r="509" customFormat="false" ht="12.8" hidden="false" customHeight="false" outlineLevel="0" collapsed="false">
      <c r="A509" s="27"/>
      <c r="B509" s="27" t="s">
        <v>2225</v>
      </c>
      <c r="C509" s="30" t="n">
        <v>75016</v>
      </c>
      <c r="D509" s="31" t="s">
        <v>36</v>
      </c>
    </row>
    <row r="510" customFormat="false" ht="12.8" hidden="false" customHeight="false" outlineLevel="0" collapsed="false">
      <c r="A510" s="27"/>
      <c r="B510" s="27" t="s">
        <v>2227</v>
      </c>
      <c r="C510" s="30" t="n">
        <v>75016</v>
      </c>
      <c r="D510" s="31" t="s">
        <v>36</v>
      </c>
    </row>
    <row r="511" customFormat="false" ht="12.8" hidden="false" customHeight="false" outlineLevel="0" collapsed="false">
      <c r="A511" s="27"/>
      <c r="B511" s="27" t="s">
        <v>2231</v>
      </c>
      <c r="C511" s="30" t="n">
        <v>75016</v>
      </c>
      <c r="D511" s="31" t="s">
        <v>36</v>
      </c>
    </row>
    <row r="512" customFormat="false" ht="12.8" hidden="false" customHeight="false" outlineLevel="0" collapsed="false">
      <c r="A512" s="27"/>
      <c r="B512" s="27" t="s">
        <v>2233</v>
      </c>
      <c r="C512" s="30" t="n">
        <v>75016</v>
      </c>
      <c r="D512" s="31" t="s">
        <v>36</v>
      </c>
    </row>
    <row r="513" customFormat="false" ht="12.8" hidden="false" customHeight="false" outlineLevel="0" collapsed="false">
      <c r="A513" s="27"/>
      <c r="B513" s="27" t="s">
        <v>2235</v>
      </c>
      <c r="C513" s="30" t="n">
        <v>75016</v>
      </c>
      <c r="D513" s="31" t="s">
        <v>36</v>
      </c>
    </row>
    <row r="514" customFormat="false" ht="12.8" hidden="false" customHeight="false" outlineLevel="0" collapsed="false">
      <c r="A514" s="27"/>
      <c r="B514" s="27" t="s">
        <v>2237</v>
      </c>
      <c r="C514" s="30" t="n">
        <v>75016</v>
      </c>
      <c r="D514" s="31" t="s">
        <v>36</v>
      </c>
    </row>
    <row r="515" customFormat="false" ht="12.8" hidden="false" customHeight="false" outlineLevel="0" collapsed="false">
      <c r="A515" s="27"/>
      <c r="B515" s="27" t="s">
        <v>2240</v>
      </c>
      <c r="C515" s="30" t="n">
        <v>75016</v>
      </c>
      <c r="D515" s="31" t="s">
        <v>36</v>
      </c>
    </row>
    <row r="516" customFormat="false" ht="12.8" hidden="false" customHeight="false" outlineLevel="0" collapsed="false">
      <c r="A516" s="27"/>
      <c r="B516" s="27" t="s">
        <v>2242</v>
      </c>
      <c r="C516" s="30" t="n">
        <v>75016</v>
      </c>
      <c r="D516" s="31" t="s">
        <v>36</v>
      </c>
    </row>
    <row r="517" customFormat="false" ht="12.8" hidden="false" customHeight="false" outlineLevel="0" collapsed="false">
      <c r="A517" s="27"/>
      <c r="B517" s="27" t="s">
        <v>2244</v>
      </c>
      <c r="C517" s="30" t="n">
        <v>75016</v>
      </c>
      <c r="D517" s="31" t="s">
        <v>36</v>
      </c>
    </row>
    <row r="518" customFormat="false" ht="12.8" hidden="false" customHeight="false" outlineLevel="0" collapsed="false">
      <c r="A518" s="27"/>
      <c r="B518" s="27" t="s">
        <v>2246</v>
      </c>
      <c r="C518" s="30" t="n">
        <v>75016</v>
      </c>
      <c r="D518" s="31" t="s">
        <v>36</v>
      </c>
    </row>
    <row r="519" customFormat="false" ht="12.8" hidden="false" customHeight="false" outlineLevel="0" collapsed="false">
      <c r="A519" s="27"/>
      <c r="B519" s="27" t="s">
        <v>4762</v>
      </c>
      <c r="C519" s="30" t="n">
        <v>75016</v>
      </c>
      <c r="D519" s="31" t="s">
        <v>36</v>
      </c>
    </row>
    <row r="520" customFormat="false" ht="12.8" hidden="false" customHeight="false" outlineLevel="0" collapsed="false">
      <c r="A520" s="27"/>
      <c r="B520" s="27" t="s">
        <v>2251</v>
      </c>
      <c r="C520" s="30" t="n">
        <v>75016</v>
      </c>
      <c r="D520" s="31" t="s">
        <v>36</v>
      </c>
    </row>
    <row r="521" customFormat="false" ht="12.8" hidden="false" customHeight="false" outlineLevel="0" collapsed="false">
      <c r="A521" s="27"/>
      <c r="B521" s="27" t="s">
        <v>2253</v>
      </c>
      <c r="C521" s="30" t="n">
        <v>75016</v>
      </c>
      <c r="D521" s="31" t="s">
        <v>36</v>
      </c>
    </row>
    <row r="522" customFormat="false" ht="12.8" hidden="false" customHeight="false" outlineLevel="0" collapsed="false">
      <c r="A522" s="27"/>
      <c r="B522" s="27" t="s">
        <v>2255</v>
      </c>
      <c r="C522" s="30" t="n">
        <v>75016</v>
      </c>
      <c r="D522" s="31" t="s">
        <v>36</v>
      </c>
    </row>
    <row r="523" customFormat="false" ht="12.8" hidden="false" customHeight="false" outlineLevel="0" collapsed="false">
      <c r="A523" s="27"/>
      <c r="B523" s="27" t="s">
        <v>2257</v>
      </c>
      <c r="C523" s="30" t="n">
        <v>75016</v>
      </c>
      <c r="D523" s="31" t="s">
        <v>36</v>
      </c>
    </row>
    <row r="524" customFormat="false" ht="12.8" hidden="false" customHeight="false" outlineLevel="0" collapsed="false">
      <c r="A524" s="27"/>
      <c r="B524" s="27" t="s">
        <v>2259</v>
      </c>
      <c r="C524" s="30" t="n">
        <v>75016</v>
      </c>
      <c r="D524" s="31" t="s">
        <v>36</v>
      </c>
    </row>
    <row r="525" customFormat="false" ht="12.8" hidden="false" customHeight="false" outlineLevel="0" collapsed="false">
      <c r="A525" s="27"/>
      <c r="B525" s="27" t="s">
        <v>2271</v>
      </c>
      <c r="C525" s="30" t="n">
        <v>75016</v>
      </c>
      <c r="D525" s="31" t="s">
        <v>36</v>
      </c>
    </row>
    <row r="526" customFormat="false" ht="12.8" hidden="false" customHeight="false" outlineLevel="0" collapsed="false">
      <c r="A526" s="27"/>
      <c r="B526" s="27" t="s">
        <v>2276</v>
      </c>
      <c r="C526" s="30" t="n">
        <v>75016</v>
      </c>
      <c r="D526" s="31" t="s">
        <v>36</v>
      </c>
    </row>
    <row r="527" customFormat="false" ht="12.8" hidden="false" customHeight="false" outlineLevel="0" collapsed="false">
      <c r="A527" s="27"/>
      <c r="B527" s="27" t="s">
        <v>2291</v>
      </c>
      <c r="C527" s="30" t="n">
        <v>75016</v>
      </c>
      <c r="D527" s="31" t="s">
        <v>36</v>
      </c>
    </row>
    <row r="528" customFormat="false" ht="12.8" hidden="false" customHeight="false" outlineLevel="0" collapsed="false">
      <c r="A528" s="27"/>
      <c r="B528" s="27" t="s">
        <v>2293</v>
      </c>
      <c r="C528" s="30" t="n">
        <v>75016</v>
      </c>
      <c r="D528" s="31" t="s">
        <v>36</v>
      </c>
    </row>
    <row r="529" customFormat="false" ht="12.8" hidden="false" customHeight="false" outlineLevel="0" collapsed="false">
      <c r="A529" s="27"/>
      <c r="B529" s="27" t="s">
        <v>2295</v>
      </c>
      <c r="C529" s="30" t="n">
        <v>75016</v>
      </c>
      <c r="D529" s="31" t="s">
        <v>36</v>
      </c>
    </row>
    <row r="530" customFormat="false" ht="12.8" hidden="false" customHeight="false" outlineLevel="0" collapsed="false">
      <c r="A530" s="27"/>
      <c r="B530" s="27" t="s">
        <v>2298</v>
      </c>
      <c r="C530" s="30" t="n">
        <v>75016</v>
      </c>
      <c r="D530" s="31" t="s">
        <v>36</v>
      </c>
    </row>
    <row r="531" customFormat="false" ht="12.8" hidden="false" customHeight="false" outlineLevel="0" collapsed="false">
      <c r="A531" s="27"/>
      <c r="B531" s="27" t="s">
        <v>2300</v>
      </c>
      <c r="C531" s="30" t="n">
        <v>75016</v>
      </c>
      <c r="D531" s="31" t="s">
        <v>36</v>
      </c>
    </row>
    <row r="532" customFormat="false" ht="12.8" hidden="false" customHeight="false" outlineLevel="0" collapsed="false">
      <c r="A532" s="27"/>
      <c r="B532" s="27" t="s">
        <v>2303</v>
      </c>
      <c r="C532" s="30" t="n">
        <v>75016</v>
      </c>
      <c r="D532" s="31" t="s">
        <v>36</v>
      </c>
    </row>
    <row r="533" customFormat="false" ht="12.8" hidden="false" customHeight="false" outlineLevel="0" collapsed="false">
      <c r="A533" s="27"/>
      <c r="B533" s="27" t="s">
        <v>4763</v>
      </c>
      <c r="C533" s="30" t="n">
        <v>75016</v>
      </c>
      <c r="D533" s="31" t="s">
        <v>36</v>
      </c>
    </row>
    <row r="534" customFormat="false" ht="12.8" hidden="false" customHeight="false" outlineLevel="0" collapsed="false">
      <c r="A534" s="27"/>
      <c r="B534" s="27" t="s">
        <v>2307</v>
      </c>
      <c r="C534" s="30" t="n">
        <v>75016</v>
      </c>
      <c r="D534" s="31" t="s">
        <v>36</v>
      </c>
    </row>
    <row r="535" customFormat="false" ht="12.8" hidden="false" customHeight="false" outlineLevel="0" collapsed="false">
      <c r="A535" s="27"/>
      <c r="B535" s="27" t="s">
        <v>2309</v>
      </c>
      <c r="C535" s="30" t="n">
        <v>75016</v>
      </c>
      <c r="D535" s="31" t="s">
        <v>36</v>
      </c>
    </row>
    <row r="536" customFormat="false" ht="12.8" hidden="false" customHeight="false" outlineLevel="0" collapsed="false">
      <c r="A536" s="27"/>
      <c r="B536" s="27" t="s">
        <v>2311</v>
      </c>
      <c r="C536" s="30" t="n">
        <v>75016</v>
      </c>
      <c r="D536" s="31" t="s">
        <v>36</v>
      </c>
    </row>
    <row r="537" customFormat="false" ht="12.8" hidden="false" customHeight="false" outlineLevel="0" collapsed="false">
      <c r="A537" s="27"/>
      <c r="B537" s="27" t="s">
        <v>2312</v>
      </c>
      <c r="C537" s="30" t="n">
        <v>75016</v>
      </c>
      <c r="D537" s="31" t="s">
        <v>36</v>
      </c>
    </row>
    <row r="538" customFormat="false" ht="12.8" hidden="false" customHeight="false" outlineLevel="0" collapsed="false">
      <c r="A538" s="27"/>
      <c r="B538" s="27" t="s">
        <v>2316</v>
      </c>
      <c r="C538" s="30" t="n">
        <v>75016</v>
      </c>
      <c r="D538" s="31" t="s">
        <v>36</v>
      </c>
    </row>
    <row r="539" customFormat="false" ht="12.8" hidden="false" customHeight="false" outlineLevel="0" collapsed="false">
      <c r="A539" s="27"/>
      <c r="B539" s="27" t="s">
        <v>2318</v>
      </c>
      <c r="C539" s="30" t="n">
        <v>75016</v>
      </c>
      <c r="D539" s="31" t="s">
        <v>36</v>
      </c>
    </row>
    <row r="540" customFormat="false" ht="12.8" hidden="false" customHeight="false" outlineLevel="0" collapsed="false">
      <c r="A540" s="27"/>
      <c r="B540" s="27" t="s">
        <v>2320</v>
      </c>
      <c r="C540" s="30" t="n">
        <v>75016</v>
      </c>
      <c r="D540" s="31" t="s">
        <v>36</v>
      </c>
    </row>
    <row r="541" customFormat="false" ht="12.8" hidden="false" customHeight="false" outlineLevel="0" collapsed="false">
      <c r="A541" s="27"/>
      <c r="B541" s="27" t="s">
        <v>2322</v>
      </c>
      <c r="C541" s="30" t="n">
        <v>75016</v>
      </c>
      <c r="D541" s="31" t="s">
        <v>36</v>
      </c>
    </row>
    <row r="542" customFormat="false" ht="12.8" hidden="false" customHeight="false" outlineLevel="0" collapsed="false">
      <c r="A542" s="27"/>
      <c r="B542" s="27" t="s">
        <v>2324</v>
      </c>
      <c r="C542" s="30" t="n">
        <v>75016</v>
      </c>
      <c r="D542" s="31" t="s">
        <v>36</v>
      </c>
    </row>
    <row r="543" customFormat="false" ht="12.8" hidden="false" customHeight="false" outlineLevel="0" collapsed="false">
      <c r="A543" s="27"/>
      <c r="B543" s="27" t="s">
        <v>2328</v>
      </c>
      <c r="C543" s="30" t="n">
        <v>75016</v>
      </c>
      <c r="D543" s="31" t="s">
        <v>36</v>
      </c>
    </row>
    <row r="544" customFormat="false" ht="12.8" hidden="false" customHeight="false" outlineLevel="0" collapsed="false">
      <c r="A544" s="27"/>
      <c r="B544" s="27" t="s">
        <v>2331</v>
      </c>
      <c r="C544" s="30" t="n">
        <v>75016</v>
      </c>
      <c r="D544" s="31" t="s">
        <v>36</v>
      </c>
    </row>
    <row r="545" customFormat="false" ht="12.8" hidden="false" customHeight="false" outlineLevel="0" collapsed="false">
      <c r="A545" s="27"/>
      <c r="B545" s="27" t="s">
        <v>2334</v>
      </c>
      <c r="C545" s="30" t="n">
        <v>75016</v>
      </c>
      <c r="D545" s="31" t="s">
        <v>36</v>
      </c>
    </row>
    <row r="546" customFormat="false" ht="12.8" hidden="false" customHeight="false" outlineLevel="0" collapsed="false">
      <c r="A546" s="27"/>
      <c r="B546" s="27" t="s">
        <v>2336</v>
      </c>
      <c r="C546" s="30" t="n">
        <v>75016</v>
      </c>
      <c r="D546" s="31" t="s">
        <v>36</v>
      </c>
    </row>
    <row r="547" customFormat="false" ht="12.8" hidden="false" customHeight="false" outlineLevel="0" collapsed="false">
      <c r="A547" s="27"/>
      <c r="B547" s="27" t="s">
        <v>2340</v>
      </c>
      <c r="C547" s="30" t="n">
        <v>75016</v>
      </c>
      <c r="D547" s="31" t="s">
        <v>36</v>
      </c>
    </row>
    <row r="548" customFormat="false" ht="12.8" hidden="false" customHeight="false" outlineLevel="0" collapsed="false">
      <c r="A548" s="27"/>
      <c r="B548" s="27" t="s">
        <v>2343</v>
      </c>
      <c r="C548" s="30" t="n">
        <v>75016</v>
      </c>
      <c r="D548" s="31" t="s">
        <v>36</v>
      </c>
    </row>
    <row r="549" customFormat="false" ht="12.8" hidden="false" customHeight="false" outlineLevel="0" collapsed="false">
      <c r="A549" s="27"/>
      <c r="B549" s="27" t="s">
        <v>2346</v>
      </c>
      <c r="C549" s="30" t="n">
        <v>75016</v>
      </c>
      <c r="D549" s="31" t="s">
        <v>36</v>
      </c>
    </row>
    <row r="550" customFormat="false" ht="12.8" hidden="false" customHeight="false" outlineLevel="0" collapsed="false">
      <c r="A550" s="27"/>
      <c r="B550" s="27" t="s">
        <v>2349</v>
      </c>
      <c r="C550" s="30" t="n">
        <v>75016</v>
      </c>
      <c r="D550" s="31" t="s">
        <v>36</v>
      </c>
    </row>
    <row r="551" customFormat="false" ht="12.8" hidden="false" customHeight="false" outlineLevel="0" collapsed="false">
      <c r="A551" s="27"/>
      <c r="B551" s="27" t="s">
        <v>2354</v>
      </c>
      <c r="C551" s="30" t="n">
        <v>75016</v>
      </c>
      <c r="D551" s="31" t="s">
        <v>36</v>
      </c>
    </row>
    <row r="552" customFormat="false" ht="12.8" hidden="false" customHeight="false" outlineLevel="0" collapsed="false">
      <c r="A552" s="27"/>
      <c r="B552" s="27" t="s">
        <v>2356</v>
      </c>
      <c r="C552" s="30" t="n">
        <v>75016</v>
      </c>
      <c r="D552" s="31" t="s">
        <v>36</v>
      </c>
    </row>
    <row r="553" customFormat="false" ht="12.8" hidden="false" customHeight="false" outlineLevel="0" collapsed="false">
      <c r="A553" s="27"/>
      <c r="B553" s="27" t="s">
        <v>2358</v>
      </c>
      <c r="C553" s="30" t="n">
        <v>75016</v>
      </c>
      <c r="D553" s="31" t="s">
        <v>36</v>
      </c>
    </row>
    <row r="554" customFormat="false" ht="12.8" hidden="false" customHeight="false" outlineLevel="0" collapsed="false">
      <c r="A554" s="27"/>
      <c r="B554" s="27" t="s">
        <v>2361</v>
      </c>
      <c r="C554" s="30" t="n">
        <v>75016</v>
      </c>
      <c r="D554" s="31" t="s">
        <v>36</v>
      </c>
    </row>
    <row r="555" customFormat="false" ht="12.8" hidden="false" customHeight="false" outlineLevel="0" collapsed="false">
      <c r="A555" s="27"/>
      <c r="B555" s="27" t="s">
        <v>2364</v>
      </c>
      <c r="C555" s="30" t="n">
        <v>75016</v>
      </c>
      <c r="D555" s="31" t="s">
        <v>36</v>
      </c>
    </row>
    <row r="556" customFormat="false" ht="12.8" hidden="false" customHeight="false" outlineLevel="0" collapsed="false">
      <c r="A556" s="27"/>
      <c r="B556" s="27" t="s">
        <v>2367</v>
      </c>
      <c r="C556" s="30" t="n">
        <v>75016</v>
      </c>
      <c r="D556" s="31" t="s">
        <v>36</v>
      </c>
    </row>
    <row r="557" customFormat="false" ht="12.8" hidden="false" customHeight="false" outlineLevel="0" collapsed="false">
      <c r="A557" s="27"/>
      <c r="B557" s="27" t="s">
        <v>2371</v>
      </c>
      <c r="C557" s="30" t="n">
        <v>75016</v>
      </c>
      <c r="D557" s="31" t="s">
        <v>36</v>
      </c>
    </row>
    <row r="558" customFormat="false" ht="12.8" hidden="false" customHeight="false" outlineLevel="0" collapsed="false">
      <c r="A558" s="27"/>
      <c r="B558" s="27" t="s">
        <v>2373</v>
      </c>
      <c r="C558" s="30" t="n">
        <v>75016</v>
      </c>
      <c r="D558" s="31" t="s">
        <v>36</v>
      </c>
    </row>
    <row r="559" customFormat="false" ht="12.8" hidden="false" customHeight="false" outlineLevel="0" collapsed="false">
      <c r="A559" s="27"/>
      <c r="B559" s="27" t="s">
        <v>2377</v>
      </c>
      <c r="C559" s="30" t="n">
        <v>75016</v>
      </c>
      <c r="D559" s="31" t="s">
        <v>36</v>
      </c>
    </row>
    <row r="560" customFormat="false" ht="12.8" hidden="false" customHeight="false" outlineLevel="0" collapsed="false">
      <c r="A560" s="27"/>
      <c r="B560" s="27" t="s">
        <v>2379</v>
      </c>
      <c r="C560" s="30" t="n">
        <v>75016</v>
      </c>
      <c r="D560" s="31" t="s">
        <v>36</v>
      </c>
    </row>
    <row r="561" customFormat="false" ht="12.8" hidden="false" customHeight="false" outlineLevel="0" collapsed="false">
      <c r="A561" s="27"/>
      <c r="B561" s="27" t="s">
        <v>2385</v>
      </c>
      <c r="C561" s="30" t="n">
        <v>75016</v>
      </c>
      <c r="D561" s="31" t="s">
        <v>36</v>
      </c>
    </row>
    <row r="562" customFormat="false" ht="12.8" hidden="false" customHeight="false" outlineLevel="0" collapsed="false">
      <c r="A562" s="27"/>
      <c r="B562" s="27" t="s">
        <v>2388</v>
      </c>
      <c r="C562" s="30" t="n">
        <v>75016</v>
      </c>
      <c r="D562" s="31" t="s">
        <v>36</v>
      </c>
    </row>
    <row r="563" customFormat="false" ht="12.8" hidden="false" customHeight="false" outlineLevel="0" collapsed="false">
      <c r="A563" s="27"/>
      <c r="B563" s="27" t="s">
        <v>2390</v>
      </c>
      <c r="C563" s="30" t="n">
        <v>75016</v>
      </c>
      <c r="D563" s="31" t="s">
        <v>36</v>
      </c>
    </row>
    <row r="564" customFormat="false" ht="12.8" hidden="false" customHeight="false" outlineLevel="0" collapsed="false">
      <c r="A564" s="27"/>
      <c r="B564" s="27" t="s">
        <v>2393</v>
      </c>
      <c r="C564" s="30" t="n">
        <v>75016</v>
      </c>
      <c r="D564" s="31" t="s">
        <v>36</v>
      </c>
    </row>
    <row r="565" customFormat="false" ht="12.8" hidden="false" customHeight="false" outlineLevel="0" collapsed="false">
      <c r="A565" s="27"/>
      <c r="B565" s="27" t="s">
        <v>2395</v>
      </c>
      <c r="C565" s="30" t="n">
        <v>75016</v>
      </c>
      <c r="D565" s="31" t="s">
        <v>36</v>
      </c>
    </row>
    <row r="566" customFormat="false" ht="12.8" hidden="false" customHeight="false" outlineLevel="0" collapsed="false">
      <c r="A566" s="27"/>
      <c r="B566" s="27" t="s">
        <v>2397</v>
      </c>
      <c r="C566" s="30" t="n">
        <v>75016</v>
      </c>
      <c r="D566" s="31" t="s">
        <v>36</v>
      </c>
    </row>
    <row r="567" customFormat="false" ht="12.8" hidden="false" customHeight="false" outlineLevel="0" collapsed="false">
      <c r="A567" s="27"/>
      <c r="B567" s="27" t="s">
        <v>2399</v>
      </c>
      <c r="C567" s="30" t="n">
        <v>75016</v>
      </c>
      <c r="D567" s="31" t="s">
        <v>36</v>
      </c>
    </row>
    <row r="568" customFormat="false" ht="12.8" hidden="false" customHeight="false" outlineLevel="0" collapsed="false">
      <c r="A568" s="27"/>
      <c r="B568" s="27" t="s">
        <v>2403</v>
      </c>
      <c r="C568" s="30" t="n">
        <v>75017</v>
      </c>
      <c r="D568" s="31" t="s">
        <v>36</v>
      </c>
    </row>
    <row r="569" customFormat="false" ht="12.8" hidden="false" customHeight="false" outlineLevel="0" collapsed="false">
      <c r="A569" s="27"/>
      <c r="B569" s="27" t="s">
        <v>2406</v>
      </c>
      <c r="C569" s="30" t="n">
        <v>75017</v>
      </c>
      <c r="D569" s="31" t="s">
        <v>36</v>
      </c>
    </row>
    <row r="570" customFormat="false" ht="12.8" hidden="false" customHeight="false" outlineLevel="0" collapsed="false">
      <c r="A570" s="27"/>
      <c r="B570" s="27" t="s">
        <v>2409</v>
      </c>
      <c r="C570" s="30" t="n">
        <v>75017</v>
      </c>
      <c r="D570" s="31" t="s">
        <v>36</v>
      </c>
    </row>
    <row r="571" customFormat="false" ht="12.8" hidden="false" customHeight="false" outlineLevel="0" collapsed="false">
      <c r="A571" s="27"/>
      <c r="B571" s="27" t="s">
        <v>1154</v>
      </c>
      <c r="C571" s="30" t="n">
        <v>75017</v>
      </c>
      <c r="D571" s="31" t="s">
        <v>36</v>
      </c>
    </row>
    <row r="572" customFormat="false" ht="12.8" hidden="false" customHeight="false" outlineLevel="0" collapsed="false">
      <c r="A572" s="27"/>
      <c r="B572" s="27" t="s">
        <v>2419</v>
      </c>
      <c r="C572" s="30" t="n">
        <v>75017</v>
      </c>
      <c r="D572" s="31" t="s">
        <v>36</v>
      </c>
    </row>
    <row r="573" customFormat="false" ht="12.8" hidden="false" customHeight="false" outlineLevel="0" collapsed="false">
      <c r="A573" s="27"/>
      <c r="B573" s="27" t="s">
        <v>2421</v>
      </c>
      <c r="C573" s="30" t="n">
        <v>75017</v>
      </c>
      <c r="D573" s="31" t="s">
        <v>36</v>
      </c>
    </row>
    <row r="574" customFormat="false" ht="12.8" hidden="false" customHeight="false" outlineLevel="0" collapsed="false">
      <c r="A574" s="27"/>
      <c r="B574" s="27" t="s">
        <v>4764</v>
      </c>
      <c r="C574" s="30" t="n">
        <v>75017</v>
      </c>
      <c r="D574" s="31" t="s">
        <v>36</v>
      </c>
    </row>
    <row r="575" customFormat="false" ht="12.8" hidden="false" customHeight="false" outlineLevel="0" collapsed="false">
      <c r="A575" s="27"/>
      <c r="B575" s="27" t="s">
        <v>2426</v>
      </c>
      <c r="C575" s="30" t="n">
        <v>75017</v>
      </c>
      <c r="D575" s="31" t="s">
        <v>36</v>
      </c>
    </row>
    <row r="576" customFormat="false" ht="12.8" hidden="false" customHeight="false" outlineLevel="0" collapsed="false">
      <c r="A576" s="27"/>
      <c r="B576" s="27" t="s">
        <v>2428</v>
      </c>
      <c r="C576" s="30" t="n">
        <v>75017</v>
      </c>
      <c r="D576" s="31" t="s">
        <v>36</v>
      </c>
    </row>
    <row r="577" customFormat="false" ht="12.8" hidden="false" customHeight="false" outlineLevel="0" collapsed="false">
      <c r="A577" s="27"/>
      <c r="B577" s="27" t="s">
        <v>2430</v>
      </c>
      <c r="C577" s="30" t="n">
        <v>75017</v>
      </c>
      <c r="D577" s="31" t="s">
        <v>36</v>
      </c>
    </row>
    <row r="578" customFormat="false" ht="12.8" hidden="false" customHeight="false" outlineLevel="0" collapsed="false">
      <c r="A578" s="27"/>
      <c r="B578" s="27" t="s">
        <v>2431</v>
      </c>
      <c r="C578" s="30" t="n">
        <v>75017</v>
      </c>
      <c r="D578" s="31" t="s">
        <v>36</v>
      </c>
    </row>
    <row r="579" customFormat="false" ht="12.8" hidden="false" customHeight="false" outlineLevel="0" collapsed="false">
      <c r="A579" s="27"/>
      <c r="B579" s="27" t="s">
        <v>2433</v>
      </c>
      <c r="C579" s="30" t="n">
        <v>75017</v>
      </c>
      <c r="D579" s="31" t="s">
        <v>36</v>
      </c>
    </row>
    <row r="580" customFormat="false" ht="12.8" hidden="false" customHeight="false" outlineLevel="0" collapsed="false">
      <c r="A580" s="27"/>
      <c r="B580" s="27" t="s">
        <v>2436</v>
      </c>
      <c r="C580" s="30" t="n">
        <v>75017</v>
      </c>
      <c r="D580" s="31" t="s">
        <v>36</v>
      </c>
    </row>
    <row r="581" customFormat="false" ht="12.8" hidden="false" customHeight="false" outlineLevel="0" collapsed="false">
      <c r="A581" s="27"/>
      <c r="B581" s="27" t="s">
        <v>2437</v>
      </c>
      <c r="C581" s="30" t="n">
        <v>75017</v>
      </c>
      <c r="D581" s="31" t="s">
        <v>36</v>
      </c>
    </row>
    <row r="582" customFormat="false" ht="12.8" hidden="false" customHeight="false" outlineLevel="0" collapsed="false">
      <c r="A582" s="27"/>
      <c r="B582" s="27" t="s">
        <v>2440</v>
      </c>
      <c r="C582" s="30" t="n">
        <v>75017</v>
      </c>
      <c r="D582" s="31" t="s">
        <v>36</v>
      </c>
    </row>
    <row r="583" customFormat="false" ht="12.8" hidden="false" customHeight="false" outlineLevel="0" collapsed="false">
      <c r="A583" s="27"/>
      <c r="B583" s="27" t="s">
        <v>2442</v>
      </c>
      <c r="C583" s="30" t="n">
        <v>75017</v>
      </c>
      <c r="D583" s="31" t="s">
        <v>36</v>
      </c>
    </row>
    <row r="584" customFormat="false" ht="12.8" hidden="false" customHeight="false" outlineLevel="0" collapsed="false">
      <c r="A584" s="27"/>
      <c r="B584" s="27" t="s">
        <v>2447</v>
      </c>
      <c r="C584" s="30" t="n">
        <v>75017</v>
      </c>
      <c r="D584" s="31" t="s">
        <v>36</v>
      </c>
    </row>
    <row r="585" customFormat="false" ht="12.8" hidden="false" customHeight="false" outlineLevel="0" collapsed="false">
      <c r="A585" s="27"/>
      <c r="B585" s="27" t="s">
        <v>2449</v>
      </c>
      <c r="C585" s="30" t="n">
        <v>75017</v>
      </c>
      <c r="D585" s="31" t="s">
        <v>36</v>
      </c>
    </row>
    <row r="586" customFormat="false" ht="12.8" hidden="false" customHeight="false" outlineLevel="0" collapsed="false">
      <c r="A586" s="27"/>
      <c r="B586" s="27" t="s">
        <v>2456</v>
      </c>
      <c r="C586" s="30" t="n">
        <v>75017</v>
      </c>
      <c r="D586" s="31" t="s">
        <v>36</v>
      </c>
    </row>
    <row r="587" customFormat="false" ht="12.8" hidden="false" customHeight="false" outlineLevel="0" collapsed="false">
      <c r="A587" s="27"/>
      <c r="B587" s="27" t="s">
        <v>2458</v>
      </c>
      <c r="C587" s="30" t="n">
        <v>75017</v>
      </c>
      <c r="D587" s="31" t="s">
        <v>36</v>
      </c>
    </row>
    <row r="588" customFormat="false" ht="12.8" hidden="false" customHeight="false" outlineLevel="0" collapsed="false">
      <c r="A588" s="27"/>
      <c r="B588" s="27" t="s">
        <v>2460</v>
      </c>
      <c r="C588" s="30" t="n">
        <v>75017</v>
      </c>
      <c r="D588" s="31" t="s">
        <v>36</v>
      </c>
    </row>
    <row r="589" customFormat="false" ht="12.8" hidden="false" customHeight="false" outlineLevel="0" collapsed="false">
      <c r="A589" s="27"/>
      <c r="B589" s="27" t="s">
        <v>2462</v>
      </c>
      <c r="C589" s="30" t="n">
        <v>75017</v>
      </c>
      <c r="D589" s="31" t="s">
        <v>36</v>
      </c>
    </row>
    <row r="590" customFormat="false" ht="12.8" hidden="false" customHeight="false" outlineLevel="0" collapsed="false">
      <c r="A590" s="27"/>
      <c r="B590" s="27" t="s">
        <v>2464</v>
      </c>
      <c r="C590" s="30" t="n">
        <v>75017</v>
      </c>
      <c r="D590" s="31" t="s">
        <v>36</v>
      </c>
    </row>
    <row r="591" customFormat="false" ht="12.8" hidden="false" customHeight="false" outlineLevel="0" collapsed="false">
      <c r="A591" s="27"/>
      <c r="B591" s="27" t="s">
        <v>2465</v>
      </c>
      <c r="C591" s="30" t="n">
        <v>75017</v>
      </c>
      <c r="D591" s="31" t="s">
        <v>36</v>
      </c>
    </row>
    <row r="592" customFormat="false" ht="12.8" hidden="false" customHeight="false" outlineLevel="0" collapsed="false">
      <c r="A592" s="27"/>
      <c r="B592" s="27" t="s">
        <v>2467</v>
      </c>
      <c r="C592" s="30" t="n">
        <v>75017</v>
      </c>
      <c r="D592" s="31" t="s">
        <v>36</v>
      </c>
    </row>
    <row r="593" customFormat="false" ht="12.8" hidden="false" customHeight="false" outlineLevel="0" collapsed="false">
      <c r="A593" s="27"/>
      <c r="B593" s="27" t="s">
        <v>2469</v>
      </c>
      <c r="C593" s="30" t="n">
        <v>75017</v>
      </c>
      <c r="D593" s="31" t="s">
        <v>36</v>
      </c>
    </row>
    <row r="594" customFormat="false" ht="12.8" hidden="false" customHeight="false" outlineLevel="0" collapsed="false">
      <c r="A594" s="27"/>
      <c r="B594" s="27" t="s">
        <v>2472</v>
      </c>
      <c r="C594" s="30" t="n">
        <v>75017</v>
      </c>
      <c r="D594" s="31" t="s">
        <v>36</v>
      </c>
    </row>
    <row r="595" customFormat="false" ht="12.8" hidden="false" customHeight="false" outlineLevel="0" collapsed="false">
      <c r="A595" s="27"/>
      <c r="B595" s="27" t="s">
        <v>2475</v>
      </c>
      <c r="C595" s="30" t="n">
        <v>75017</v>
      </c>
      <c r="D595" s="31" t="s">
        <v>36</v>
      </c>
    </row>
    <row r="596" customFormat="false" ht="12.8" hidden="false" customHeight="false" outlineLevel="0" collapsed="false">
      <c r="A596" s="27"/>
      <c r="B596" s="27" t="s">
        <v>2478</v>
      </c>
      <c r="C596" s="30" t="n">
        <v>75017</v>
      </c>
      <c r="D596" s="31" t="s">
        <v>36</v>
      </c>
    </row>
    <row r="597" customFormat="false" ht="12.8" hidden="false" customHeight="false" outlineLevel="0" collapsed="false">
      <c r="A597" s="27"/>
      <c r="B597" s="27" t="s">
        <v>2481</v>
      </c>
      <c r="C597" s="30" t="n">
        <v>75017</v>
      </c>
      <c r="D597" s="31" t="s">
        <v>36</v>
      </c>
    </row>
    <row r="598" customFormat="false" ht="12.8" hidden="false" customHeight="false" outlineLevel="0" collapsed="false">
      <c r="A598" s="27"/>
      <c r="B598" s="27" t="s">
        <v>2483</v>
      </c>
      <c r="C598" s="30" t="n">
        <v>75017</v>
      </c>
      <c r="D598" s="31" t="s">
        <v>36</v>
      </c>
    </row>
    <row r="599" customFormat="false" ht="12.8" hidden="false" customHeight="false" outlineLevel="0" collapsed="false">
      <c r="A599" s="27"/>
      <c r="B599" s="27" t="s">
        <v>2485</v>
      </c>
      <c r="C599" s="30" t="n">
        <v>75017</v>
      </c>
      <c r="D599" s="31" t="s">
        <v>36</v>
      </c>
    </row>
    <row r="600" customFormat="false" ht="12.8" hidden="false" customHeight="false" outlineLevel="0" collapsed="false">
      <c r="A600" s="27"/>
      <c r="B600" s="27" t="s">
        <v>2489</v>
      </c>
      <c r="C600" s="30" t="n">
        <v>75017</v>
      </c>
      <c r="D600" s="31" t="s">
        <v>36</v>
      </c>
    </row>
    <row r="601" customFormat="false" ht="12.8" hidden="false" customHeight="false" outlineLevel="0" collapsed="false">
      <c r="A601" s="27"/>
      <c r="B601" s="27" t="s">
        <v>2491</v>
      </c>
      <c r="C601" s="30" t="n">
        <v>75017</v>
      </c>
      <c r="D601" s="31" t="s">
        <v>36</v>
      </c>
    </row>
    <row r="602" customFormat="false" ht="12.8" hidden="false" customHeight="false" outlineLevel="0" collapsed="false">
      <c r="A602" s="27"/>
      <c r="B602" s="27" t="s">
        <v>2494</v>
      </c>
      <c r="C602" s="30" t="n">
        <v>75017</v>
      </c>
      <c r="D602" s="31" t="s">
        <v>36</v>
      </c>
    </row>
    <row r="603" customFormat="false" ht="12.8" hidden="false" customHeight="false" outlineLevel="0" collapsed="false">
      <c r="A603" s="27"/>
      <c r="B603" s="27" t="s">
        <v>2497</v>
      </c>
      <c r="C603" s="30" t="n">
        <v>75017</v>
      </c>
      <c r="D603" s="31" t="s">
        <v>36</v>
      </c>
    </row>
    <row r="604" customFormat="false" ht="12.8" hidden="false" customHeight="false" outlineLevel="0" collapsed="false">
      <c r="A604" s="27"/>
      <c r="B604" s="27" t="s">
        <v>2500</v>
      </c>
      <c r="C604" s="30" t="n">
        <v>75017</v>
      </c>
      <c r="D604" s="31" t="s">
        <v>36</v>
      </c>
    </row>
    <row r="605" customFormat="false" ht="12.8" hidden="false" customHeight="false" outlineLevel="0" collapsed="false">
      <c r="A605" s="27"/>
      <c r="B605" s="27" t="s">
        <v>2502</v>
      </c>
      <c r="C605" s="30" t="n">
        <v>75017</v>
      </c>
      <c r="D605" s="31" t="s">
        <v>36</v>
      </c>
    </row>
    <row r="606" customFormat="false" ht="12.8" hidden="false" customHeight="false" outlineLevel="0" collapsed="false">
      <c r="A606" s="27"/>
      <c r="B606" s="27" t="s">
        <v>2505</v>
      </c>
      <c r="C606" s="30" t="n">
        <v>75017</v>
      </c>
      <c r="D606" s="31" t="s">
        <v>36</v>
      </c>
    </row>
    <row r="607" customFormat="false" ht="12.8" hidden="false" customHeight="false" outlineLevel="0" collapsed="false">
      <c r="A607" s="27"/>
      <c r="B607" s="27" t="s">
        <v>2510</v>
      </c>
      <c r="C607" s="30" t="n">
        <v>75017</v>
      </c>
      <c r="D607" s="31" t="s">
        <v>36</v>
      </c>
    </row>
    <row r="608" customFormat="false" ht="12.8" hidden="false" customHeight="false" outlineLevel="0" collapsed="false">
      <c r="A608" s="27"/>
      <c r="B608" s="27" t="s">
        <v>4765</v>
      </c>
      <c r="C608" s="30" t="n">
        <v>75017</v>
      </c>
      <c r="D608" s="31" t="s">
        <v>36</v>
      </c>
    </row>
    <row r="609" customFormat="false" ht="12.8" hidden="false" customHeight="false" outlineLevel="0" collapsed="false">
      <c r="A609" s="27"/>
      <c r="B609" s="27" t="s">
        <v>2514</v>
      </c>
      <c r="C609" s="30" t="n">
        <v>75017</v>
      </c>
      <c r="D609" s="31" t="s">
        <v>36</v>
      </c>
    </row>
    <row r="610" customFormat="false" ht="12.8" hidden="false" customHeight="false" outlineLevel="0" collapsed="false">
      <c r="A610" s="27"/>
      <c r="B610" s="27" t="s">
        <v>2518</v>
      </c>
      <c r="C610" s="30" t="n">
        <v>75017</v>
      </c>
      <c r="D610" s="31" t="s">
        <v>36</v>
      </c>
    </row>
    <row r="611" customFormat="false" ht="12.8" hidden="false" customHeight="false" outlineLevel="0" collapsed="false">
      <c r="A611" s="27"/>
      <c r="B611" s="27" t="s">
        <v>2520</v>
      </c>
      <c r="C611" s="30" t="n">
        <v>75017</v>
      </c>
      <c r="D611" s="31" t="s">
        <v>36</v>
      </c>
    </row>
    <row r="612" customFormat="false" ht="12.8" hidden="false" customHeight="false" outlineLevel="0" collapsed="false">
      <c r="A612" s="27"/>
      <c r="B612" s="27" t="s">
        <v>2522</v>
      </c>
      <c r="C612" s="30" t="n">
        <v>75017</v>
      </c>
      <c r="D612" s="31" t="s">
        <v>36</v>
      </c>
    </row>
    <row r="613" customFormat="false" ht="12.8" hidden="false" customHeight="false" outlineLevel="0" collapsed="false">
      <c r="A613" s="27"/>
      <c r="B613" s="27" t="s">
        <v>2524</v>
      </c>
      <c r="C613" s="30" t="n">
        <v>75017</v>
      </c>
      <c r="D613" s="31" t="s">
        <v>36</v>
      </c>
    </row>
    <row r="614" customFormat="false" ht="12.8" hidden="false" customHeight="false" outlineLevel="0" collapsed="false">
      <c r="A614" s="27"/>
      <c r="B614" s="27" t="s">
        <v>2529</v>
      </c>
      <c r="C614" s="30" t="n">
        <v>75017</v>
      </c>
      <c r="D614" s="31" t="s">
        <v>36</v>
      </c>
    </row>
    <row r="615" customFormat="false" ht="12.8" hidden="false" customHeight="false" outlineLevel="0" collapsed="false">
      <c r="A615" s="27"/>
      <c r="B615" s="27" t="s">
        <v>2531</v>
      </c>
      <c r="C615" s="30" t="n">
        <v>75017</v>
      </c>
      <c r="D615" s="31" t="s">
        <v>36</v>
      </c>
    </row>
    <row r="616" customFormat="false" ht="12.8" hidden="false" customHeight="false" outlineLevel="0" collapsed="false">
      <c r="A616" s="27"/>
      <c r="B616" s="27" t="s">
        <v>2534</v>
      </c>
      <c r="C616" s="30" t="n">
        <v>75017</v>
      </c>
      <c r="D616" s="31" t="s">
        <v>36</v>
      </c>
    </row>
    <row r="617" customFormat="false" ht="12.8" hidden="false" customHeight="false" outlineLevel="0" collapsed="false">
      <c r="A617" s="27"/>
      <c r="B617" s="27" t="s">
        <v>2536</v>
      </c>
      <c r="C617" s="30" t="n">
        <v>75017</v>
      </c>
      <c r="D617" s="31" t="s">
        <v>36</v>
      </c>
    </row>
    <row r="618" customFormat="false" ht="12.8" hidden="false" customHeight="false" outlineLevel="0" collapsed="false">
      <c r="A618" s="27"/>
      <c r="B618" s="27" t="s">
        <v>2541</v>
      </c>
      <c r="C618" s="30" t="n">
        <v>75017</v>
      </c>
      <c r="D618" s="31" t="s">
        <v>36</v>
      </c>
    </row>
    <row r="619" customFormat="false" ht="12.8" hidden="false" customHeight="false" outlineLevel="0" collapsed="false">
      <c r="A619" s="27"/>
      <c r="B619" s="27" t="s">
        <v>2543</v>
      </c>
      <c r="C619" s="30" t="n">
        <v>75017</v>
      </c>
      <c r="D619" s="31" t="s">
        <v>36</v>
      </c>
    </row>
    <row r="620" customFormat="false" ht="12.8" hidden="false" customHeight="false" outlineLevel="0" collapsed="false">
      <c r="A620" s="27"/>
      <c r="B620" s="27" t="s">
        <v>2546</v>
      </c>
      <c r="C620" s="30" t="n">
        <v>75017</v>
      </c>
      <c r="D620" s="31" t="s">
        <v>36</v>
      </c>
    </row>
    <row r="621" customFormat="false" ht="12.8" hidden="false" customHeight="false" outlineLevel="0" collapsed="false">
      <c r="A621" s="27"/>
      <c r="B621" s="27" t="s">
        <v>2548</v>
      </c>
      <c r="C621" s="30" t="n">
        <v>75017</v>
      </c>
      <c r="D621" s="31" t="s">
        <v>36</v>
      </c>
    </row>
    <row r="622" customFormat="false" ht="12.8" hidden="false" customHeight="false" outlineLevel="0" collapsed="false">
      <c r="A622" s="27"/>
      <c r="B622" s="27" t="s">
        <v>2552</v>
      </c>
      <c r="C622" s="30" t="n">
        <v>75017</v>
      </c>
      <c r="D622" s="31" t="s">
        <v>36</v>
      </c>
    </row>
    <row r="623" customFormat="false" ht="12.8" hidden="false" customHeight="false" outlineLevel="0" collapsed="false">
      <c r="A623" s="27"/>
      <c r="B623" s="27" t="s">
        <v>2555</v>
      </c>
      <c r="C623" s="30" t="n">
        <v>75017</v>
      </c>
      <c r="D623" s="31" t="s">
        <v>36</v>
      </c>
    </row>
    <row r="624" customFormat="false" ht="12.8" hidden="false" customHeight="false" outlineLevel="0" collapsed="false">
      <c r="A624" s="27"/>
      <c r="B624" s="27" t="s">
        <v>2556</v>
      </c>
      <c r="C624" s="30" t="n">
        <v>75017</v>
      </c>
      <c r="D624" s="31" t="s">
        <v>36</v>
      </c>
    </row>
    <row r="625" customFormat="false" ht="12.8" hidden="false" customHeight="false" outlineLevel="0" collapsed="false">
      <c r="A625" s="27"/>
      <c r="B625" s="27" t="s">
        <v>2558</v>
      </c>
      <c r="C625" s="30" t="n">
        <v>75017</v>
      </c>
      <c r="D625" s="31" t="s">
        <v>36</v>
      </c>
    </row>
    <row r="626" customFormat="false" ht="12.8" hidden="false" customHeight="false" outlineLevel="0" collapsed="false">
      <c r="A626" s="27"/>
      <c r="B626" s="27" t="s">
        <v>2561</v>
      </c>
      <c r="C626" s="30" t="n">
        <v>75017</v>
      </c>
      <c r="D626" s="31" t="s">
        <v>36</v>
      </c>
    </row>
    <row r="627" customFormat="false" ht="12.8" hidden="false" customHeight="false" outlineLevel="0" collapsed="false">
      <c r="A627" s="27"/>
      <c r="B627" s="27" t="s">
        <v>2563</v>
      </c>
      <c r="C627" s="30" t="n">
        <v>75017</v>
      </c>
      <c r="D627" s="31" t="s">
        <v>36</v>
      </c>
    </row>
    <row r="628" customFormat="false" ht="12.8" hidden="false" customHeight="false" outlineLevel="0" collapsed="false">
      <c r="A628" s="27"/>
      <c r="B628" s="27" t="s">
        <v>2565</v>
      </c>
      <c r="C628" s="30" t="n">
        <v>75017</v>
      </c>
      <c r="D628" s="31" t="s">
        <v>36</v>
      </c>
    </row>
    <row r="629" customFormat="false" ht="12.8" hidden="false" customHeight="false" outlineLevel="0" collapsed="false">
      <c r="A629" s="27"/>
      <c r="B629" s="27" t="s">
        <v>2568</v>
      </c>
      <c r="C629" s="30" t="n">
        <v>75017</v>
      </c>
      <c r="D629" s="31" t="s">
        <v>36</v>
      </c>
    </row>
    <row r="630" customFormat="false" ht="12.8" hidden="false" customHeight="false" outlineLevel="0" collapsed="false">
      <c r="A630" s="27"/>
      <c r="B630" s="27" t="s">
        <v>2572</v>
      </c>
      <c r="C630" s="30" t="n">
        <v>75017</v>
      </c>
      <c r="D630" s="31" t="s">
        <v>36</v>
      </c>
    </row>
    <row r="631" customFormat="false" ht="12.8" hidden="false" customHeight="false" outlineLevel="0" collapsed="false">
      <c r="A631" s="27"/>
      <c r="B631" s="27" t="s">
        <v>2575</v>
      </c>
      <c r="C631" s="30" t="n">
        <v>75017</v>
      </c>
      <c r="D631" s="31" t="s">
        <v>36</v>
      </c>
    </row>
    <row r="632" customFormat="false" ht="12.8" hidden="false" customHeight="false" outlineLevel="0" collapsed="false">
      <c r="A632" s="27"/>
      <c r="B632" s="27" t="s">
        <v>2580</v>
      </c>
      <c r="C632" s="30" t="n">
        <v>75017</v>
      </c>
      <c r="D632" s="31" t="s">
        <v>36</v>
      </c>
    </row>
    <row r="633" customFormat="false" ht="12.8" hidden="false" customHeight="false" outlineLevel="0" collapsed="false">
      <c r="A633" s="27"/>
      <c r="B633" s="27" t="s">
        <v>2583</v>
      </c>
      <c r="C633" s="30" t="n">
        <v>75017</v>
      </c>
      <c r="D633" s="31" t="s">
        <v>36</v>
      </c>
    </row>
    <row r="634" customFormat="false" ht="12.8" hidden="false" customHeight="false" outlineLevel="0" collapsed="false">
      <c r="A634" s="27"/>
      <c r="B634" s="27" t="s">
        <v>2586</v>
      </c>
      <c r="C634" s="30" t="n">
        <v>75017</v>
      </c>
      <c r="D634" s="31" t="s">
        <v>36</v>
      </c>
    </row>
    <row r="635" customFormat="false" ht="12.8" hidden="false" customHeight="false" outlineLevel="0" collapsed="false">
      <c r="A635" s="27"/>
      <c r="B635" s="27" t="s">
        <v>2589</v>
      </c>
      <c r="C635" s="30" t="n">
        <v>75017</v>
      </c>
      <c r="D635" s="31" t="s">
        <v>36</v>
      </c>
    </row>
    <row r="636" customFormat="false" ht="12.8" hidden="false" customHeight="false" outlineLevel="0" collapsed="false">
      <c r="A636" s="27"/>
      <c r="B636" s="27" t="s">
        <v>2591</v>
      </c>
      <c r="C636" s="30" t="n">
        <v>75017</v>
      </c>
      <c r="D636" s="31" t="s">
        <v>36</v>
      </c>
    </row>
    <row r="637" customFormat="false" ht="12.8" hidden="false" customHeight="false" outlineLevel="0" collapsed="false">
      <c r="A637" s="27"/>
      <c r="B637" s="27" t="s">
        <v>2593</v>
      </c>
      <c r="C637" s="30" t="n">
        <v>75017</v>
      </c>
      <c r="D637" s="31" t="s">
        <v>36</v>
      </c>
    </row>
    <row r="638" customFormat="false" ht="12.8" hidden="false" customHeight="false" outlineLevel="0" collapsed="false">
      <c r="A638" s="27"/>
      <c r="B638" s="27" t="s">
        <v>2598</v>
      </c>
      <c r="C638" s="30" t="n">
        <v>75017</v>
      </c>
      <c r="D638" s="31" t="s">
        <v>36</v>
      </c>
    </row>
    <row r="639" customFormat="false" ht="12.8" hidden="false" customHeight="false" outlineLevel="0" collapsed="false">
      <c r="A639" s="27"/>
      <c r="B639" s="27" t="s">
        <v>2601</v>
      </c>
      <c r="C639" s="30" t="n">
        <v>75017</v>
      </c>
      <c r="D639" s="31" t="s">
        <v>36</v>
      </c>
    </row>
    <row r="640" customFormat="false" ht="12.8" hidden="false" customHeight="false" outlineLevel="0" collapsed="false">
      <c r="A640" s="27"/>
      <c r="B640" s="27" t="s">
        <v>2604</v>
      </c>
      <c r="C640" s="30" t="n">
        <v>75017</v>
      </c>
      <c r="D640" s="31" t="s">
        <v>36</v>
      </c>
    </row>
    <row r="641" customFormat="false" ht="12.8" hidden="false" customHeight="false" outlineLevel="0" collapsed="false">
      <c r="A641" s="27"/>
      <c r="B641" s="27" t="s">
        <v>2607</v>
      </c>
      <c r="C641" s="30" t="n">
        <v>75017</v>
      </c>
      <c r="D641" s="31" t="s">
        <v>36</v>
      </c>
    </row>
    <row r="642" customFormat="false" ht="12.8" hidden="false" customHeight="false" outlineLevel="0" collapsed="false">
      <c r="A642" s="27"/>
      <c r="B642" s="27" t="s">
        <v>2609</v>
      </c>
      <c r="C642" s="30" t="n">
        <v>75017</v>
      </c>
      <c r="D642" s="31" t="s">
        <v>36</v>
      </c>
    </row>
    <row r="643" customFormat="false" ht="12.8" hidden="false" customHeight="false" outlineLevel="0" collapsed="false">
      <c r="A643" s="27"/>
      <c r="B643" s="27" t="s">
        <v>2613</v>
      </c>
      <c r="C643" s="30" t="n">
        <v>75017</v>
      </c>
      <c r="D643" s="31" t="s">
        <v>36</v>
      </c>
    </row>
    <row r="644" customFormat="false" ht="12.8" hidden="false" customHeight="false" outlineLevel="0" collapsed="false">
      <c r="A644" s="27"/>
      <c r="B644" s="27" t="s">
        <v>2615</v>
      </c>
      <c r="C644" s="30" t="n">
        <v>75017</v>
      </c>
      <c r="D644" s="31" t="s">
        <v>36</v>
      </c>
    </row>
    <row r="645" customFormat="false" ht="12.8" hidden="false" customHeight="false" outlineLevel="0" collapsed="false">
      <c r="A645" s="27"/>
      <c r="B645" s="27" t="s">
        <v>2618</v>
      </c>
      <c r="C645" s="30" t="n">
        <v>75017</v>
      </c>
      <c r="D645" s="31" t="s">
        <v>36</v>
      </c>
    </row>
    <row r="646" customFormat="false" ht="12.8" hidden="false" customHeight="false" outlineLevel="0" collapsed="false">
      <c r="A646" s="27"/>
      <c r="B646" s="27" t="s">
        <v>2621</v>
      </c>
      <c r="C646" s="30" t="n">
        <v>75017</v>
      </c>
      <c r="D646" s="31" t="s">
        <v>36</v>
      </c>
    </row>
    <row r="647" customFormat="false" ht="12.8" hidden="false" customHeight="false" outlineLevel="0" collapsed="false">
      <c r="A647" s="27"/>
      <c r="B647" s="27" t="s">
        <v>4766</v>
      </c>
      <c r="C647" s="30" t="n">
        <v>75017</v>
      </c>
      <c r="D647" s="31" t="s">
        <v>36</v>
      </c>
    </row>
    <row r="648" customFormat="false" ht="12.8" hidden="false" customHeight="false" outlineLevel="0" collapsed="false">
      <c r="A648" s="27"/>
      <c r="B648" s="27" t="s">
        <v>2625</v>
      </c>
      <c r="C648" s="30" t="n">
        <v>75017</v>
      </c>
      <c r="D648" s="31" t="s">
        <v>36</v>
      </c>
    </row>
    <row r="649" customFormat="false" ht="12.8" hidden="false" customHeight="false" outlineLevel="0" collapsed="false">
      <c r="A649" s="27"/>
      <c r="B649" s="27" t="s">
        <v>2628</v>
      </c>
      <c r="C649" s="30" t="n">
        <v>75017</v>
      </c>
      <c r="D649" s="31" t="s">
        <v>36</v>
      </c>
    </row>
    <row r="650" customFormat="false" ht="12.8" hidden="false" customHeight="false" outlineLevel="0" collapsed="false">
      <c r="A650" s="27"/>
      <c r="B650" s="27" t="s">
        <v>2631</v>
      </c>
      <c r="C650" s="30" t="n">
        <v>75017</v>
      </c>
      <c r="D650" s="31" t="s">
        <v>36</v>
      </c>
    </row>
    <row r="651" customFormat="false" ht="12.8" hidden="false" customHeight="false" outlineLevel="0" collapsed="false">
      <c r="A651" s="27"/>
      <c r="B651" s="27" t="s">
        <v>2637</v>
      </c>
      <c r="C651" s="30" t="n">
        <v>75017</v>
      </c>
      <c r="D651" s="31" t="s">
        <v>36</v>
      </c>
    </row>
    <row r="652" customFormat="false" ht="12.8" hidden="false" customHeight="false" outlineLevel="0" collapsed="false">
      <c r="A652" s="27"/>
      <c r="B652" s="27" t="s">
        <v>2651</v>
      </c>
      <c r="C652" s="30" t="n">
        <v>75017</v>
      </c>
      <c r="D652" s="31" t="s">
        <v>36</v>
      </c>
    </row>
    <row r="653" customFormat="false" ht="12.8" hidden="false" customHeight="false" outlineLevel="0" collapsed="false">
      <c r="A653" s="27"/>
      <c r="B653" s="27" t="s">
        <v>2652</v>
      </c>
      <c r="C653" s="30" t="n">
        <v>75017</v>
      </c>
      <c r="D653" s="31" t="s">
        <v>36</v>
      </c>
    </row>
    <row r="654" customFormat="false" ht="12.8" hidden="false" customHeight="false" outlineLevel="0" collapsed="false">
      <c r="A654" s="27"/>
      <c r="B654" s="27" t="s">
        <v>2655</v>
      </c>
      <c r="C654" s="30" t="n">
        <v>75017</v>
      </c>
      <c r="D654" s="31" t="s">
        <v>36</v>
      </c>
    </row>
    <row r="655" customFormat="false" ht="12.8" hidden="false" customHeight="false" outlineLevel="0" collapsed="false">
      <c r="A655" s="27"/>
      <c r="B655" s="27" t="s">
        <v>2660</v>
      </c>
      <c r="C655" s="30" t="n">
        <v>75017</v>
      </c>
      <c r="D655" s="31" t="s">
        <v>36</v>
      </c>
    </row>
    <row r="656" customFormat="false" ht="12.8" hidden="false" customHeight="false" outlineLevel="0" collapsed="false">
      <c r="A656" s="27"/>
      <c r="B656" s="27" t="s">
        <v>2663</v>
      </c>
      <c r="C656" s="30" t="n">
        <v>75017</v>
      </c>
      <c r="D656" s="31" t="s">
        <v>36</v>
      </c>
    </row>
    <row r="657" customFormat="false" ht="12.8" hidden="false" customHeight="false" outlineLevel="0" collapsed="false">
      <c r="A657" s="27"/>
      <c r="B657" s="27" t="s">
        <v>2673</v>
      </c>
      <c r="C657" s="30" t="n">
        <v>75017</v>
      </c>
      <c r="D657" s="31" t="s">
        <v>36</v>
      </c>
    </row>
    <row r="658" customFormat="false" ht="12.8" hidden="false" customHeight="false" outlineLevel="0" collapsed="false">
      <c r="A658" s="27"/>
      <c r="B658" s="27" t="s">
        <v>2677</v>
      </c>
      <c r="C658" s="30" t="n">
        <v>75017</v>
      </c>
      <c r="D658" s="31" t="s">
        <v>36</v>
      </c>
    </row>
    <row r="659" customFormat="false" ht="12.8" hidden="false" customHeight="false" outlineLevel="0" collapsed="false">
      <c r="A659" s="27"/>
      <c r="B659" s="27" t="s">
        <v>2679</v>
      </c>
      <c r="C659" s="30" t="n">
        <v>75017</v>
      </c>
      <c r="D659" s="31" t="s">
        <v>36</v>
      </c>
    </row>
    <row r="660" customFormat="false" ht="12.8" hidden="false" customHeight="false" outlineLevel="0" collapsed="false">
      <c r="A660" s="27"/>
      <c r="B660" s="27" t="s">
        <v>2682</v>
      </c>
      <c r="C660" s="30" t="n">
        <v>75017</v>
      </c>
      <c r="D660" s="31" t="s">
        <v>36</v>
      </c>
    </row>
    <row r="661" customFormat="false" ht="12.8" hidden="false" customHeight="false" outlineLevel="0" collapsed="false">
      <c r="A661" s="27"/>
      <c r="B661" s="27" t="s">
        <v>4767</v>
      </c>
      <c r="C661" s="30" t="n">
        <v>75017</v>
      </c>
      <c r="D661" s="31" t="s">
        <v>36</v>
      </c>
    </row>
    <row r="662" customFormat="false" ht="12.8" hidden="false" customHeight="false" outlineLevel="0" collapsed="false">
      <c r="A662" s="27"/>
      <c r="B662" s="27" t="s">
        <v>4768</v>
      </c>
      <c r="C662" s="30" t="n">
        <v>75017</v>
      </c>
      <c r="D662" s="31" t="s">
        <v>36</v>
      </c>
    </row>
    <row r="663" customFormat="false" ht="12.8" hidden="false" customHeight="false" outlineLevel="0" collapsed="false">
      <c r="A663" s="27"/>
      <c r="B663" s="27" t="s">
        <v>2691</v>
      </c>
      <c r="C663" s="30" t="n">
        <v>75017</v>
      </c>
      <c r="D663" s="31" t="s">
        <v>36</v>
      </c>
    </row>
    <row r="664" customFormat="false" ht="12.8" hidden="false" customHeight="false" outlineLevel="0" collapsed="false">
      <c r="A664" s="27"/>
      <c r="B664" s="27" t="s">
        <v>2694</v>
      </c>
      <c r="C664" s="30" t="n">
        <v>75017</v>
      </c>
      <c r="D664" s="31" t="s">
        <v>36</v>
      </c>
    </row>
    <row r="665" customFormat="false" ht="12.8" hidden="false" customHeight="false" outlineLevel="0" collapsed="false">
      <c r="A665" s="27"/>
      <c r="B665" s="27" t="s">
        <v>4769</v>
      </c>
      <c r="C665" s="30" t="n">
        <v>75017</v>
      </c>
      <c r="D665" s="31" t="s">
        <v>36</v>
      </c>
    </row>
    <row r="666" customFormat="false" ht="12.8" hidden="false" customHeight="false" outlineLevel="0" collapsed="false">
      <c r="A666" s="27"/>
      <c r="B666" s="27" t="s">
        <v>4770</v>
      </c>
      <c r="C666" s="30" t="n">
        <v>75017</v>
      </c>
      <c r="D666" s="31" t="s">
        <v>36</v>
      </c>
    </row>
    <row r="667" customFormat="false" ht="12.8" hidden="false" customHeight="false" outlineLevel="0" collapsed="false">
      <c r="A667" s="27"/>
      <c r="B667" s="27" t="s">
        <v>2701</v>
      </c>
      <c r="C667" s="30" t="n">
        <v>75017</v>
      </c>
      <c r="D667" s="31" t="s">
        <v>36</v>
      </c>
    </row>
    <row r="668" customFormat="false" ht="12.8" hidden="false" customHeight="false" outlineLevel="0" collapsed="false">
      <c r="A668" s="27"/>
      <c r="B668" s="27" t="s">
        <v>2703</v>
      </c>
      <c r="C668" s="30" t="n">
        <v>75017</v>
      </c>
      <c r="D668" s="31" t="s">
        <v>36</v>
      </c>
    </row>
    <row r="669" customFormat="false" ht="12.8" hidden="false" customHeight="false" outlineLevel="0" collapsed="false">
      <c r="A669" s="27"/>
      <c r="B669" s="27" t="s">
        <v>2705</v>
      </c>
      <c r="C669" s="30" t="n">
        <v>75017</v>
      </c>
      <c r="D669" s="31" t="s">
        <v>36</v>
      </c>
    </row>
    <row r="670" customFormat="false" ht="12.8" hidden="false" customHeight="false" outlineLevel="0" collapsed="false">
      <c r="A670" s="27"/>
      <c r="B670" s="27" t="s">
        <v>2707</v>
      </c>
      <c r="C670" s="30" t="n">
        <v>75017</v>
      </c>
      <c r="D670" s="31" t="s">
        <v>36</v>
      </c>
    </row>
    <row r="671" customFormat="false" ht="12.8" hidden="false" customHeight="false" outlineLevel="0" collapsed="false">
      <c r="A671" s="27"/>
      <c r="B671" s="27" t="s">
        <v>2726</v>
      </c>
      <c r="C671" s="30" t="n">
        <v>75017</v>
      </c>
      <c r="D671" s="31" t="s">
        <v>36</v>
      </c>
    </row>
    <row r="672" customFormat="false" ht="12.8" hidden="false" customHeight="false" outlineLevel="0" collapsed="false">
      <c r="A672" s="27"/>
      <c r="B672" s="27" t="s">
        <v>2729</v>
      </c>
      <c r="C672" s="30" t="n">
        <v>75017</v>
      </c>
      <c r="D672" s="31" t="s">
        <v>36</v>
      </c>
    </row>
    <row r="673" customFormat="false" ht="12.8" hidden="false" customHeight="false" outlineLevel="0" collapsed="false">
      <c r="A673" s="27"/>
      <c r="B673" s="27" t="s">
        <v>2731</v>
      </c>
      <c r="C673" s="30" t="n">
        <v>75017</v>
      </c>
      <c r="D673" s="31" t="s">
        <v>36</v>
      </c>
    </row>
    <row r="674" customFormat="false" ht="12.8" hidden="false" customHeight="false" outlineLevel="0" collapsed="false">
      <c r="A674" s="27"/>
      <c r="B674" s="27" t="s">
        <v>2733</v>
      </c>
      <c r="C674" s="30" t="n">
        <v>75017</v>
      </c>
      <c r="D674" s="31" t="s">
        <v>36</v>
      </c>
    </row>
    <row r="675" customFormat="false" ht="12.8" hidden="false" customHeight="false" outlineLevel="0" collapsed="false">
      <c r="A675" s="27"/>
      <c r="B675" s="27" t="s">
        <v>4771</v>
      </c>
      <c r="C675" s="30" t="n">
        <v>75017</v>
      </c>
      <c r="D675" s="31" t="s">
        <v>36</v>
      </c>
    </row>
    <row r="676" customFormat="false" ht="12.8" hidden="false" customHeight="false" outlineLevel="0" collapsed="false">
      <c r="A676" s="27"/>
      <c r="B676" s="27" t="s">
        <v>2738</v>
      </c>
      <c r="C676" s="30" t="n">
        <v>75017</v>
      </c>
      <c r="D676" s="31" t="s">
        <v>36</v>
      </c>
    </row>
    <row r="677" customFormat="false" ht="12.8" hidden="false" customHeight="false" outlineLevel="0" collapsed="false">
      <c r="A677" s="27"/>
      <c r="B677" s="27" t="s">
        <v>2748</v>
      </c>
      <c r="C677" s="30" t="n">
        <v>75017</v>
      </c>
      <c r="D677" s="31" t="s">
        <v>36</v>
      </c>
    </row>
    <row r="678" customFormat="false" ht="12.8" hidden="false" customHeight="false" outlineLevel="0" collapsed="false">
      <c r="A678" s="27"/>
      <c r="B678" s="27" t="s">
        <v>2751</v>
      </c>
      <c r="C678" s="30" t="n">
        <v>75017</v>
      </c>
      <c r="D678" s="31" t="s">
        <v>36</v>
      </c>
    </row>
    <row r="679" customFormat="false" ht="12.8" hidden="false" customHeight="false" outlineLevel="0" collapsed="false">
      <c r="A679" s="27"/>
      <c r="B679" s="27" t="s">
        <v>2753</v>
      </c>
      <c r="C679" s="30" t="n">
        <v>75017</v>
      </c>
      <c r="D679" s="31" t="s">
        <v>36</v>
      </c>
    </row>
    <row r="680" customFormat="false" ht="12.8" hidden="false" customHeight="false" outlineLevel="0" collapsed="false">
      <c r="A680" s="27"/>
      <c r="B680" s="27" t="s">
        <v>2755</v>
      </c>
      <c r="C680" s="30" t="n">
        <v>75017</v>
      </c>
      <c r="D680" s="31" t="s">
        <v>36</v>
      </c>
    </row>
    <row r="681" customFormat="false" ht="12.8" hidden="false" customHeight="false" outlineLevel="0" collapsed="false">
      <c r="A681" s="27"/>
      <c r="B681" s="27" t="s">
        <v>4772</v>
      </c>
      <c r="C681" s="30" t="n">
        <v>75017</v>
      </c>
      <c r="D681" s="31" t="s">
        <v>36</v>
      </c>
    </row>
    <row r="682" customFormat="false" ht="12.8" hidden="false" customHeight="false" outlineLevel="0" collapsed="false">
      <c r="A682" s="27"/>
      <c r="B682" s="27" t="s">
        <v>2760</v>
      </c>
      <c r="C682" s="30" t="n">
        <v>75017</v>
      </c>
      <c r="D682" s="31" t="s">
        <v>36</v>
      </c>
    </row>
    <row r="683" customFormat="false" ht="12.8" hidden="false" customHeight="false" outlineLevel="0" collapsed="false">
      <c r="A683" s="27"/>
      <c r="B683" s="27" t="s">
        <v>2762</v>
      </c>
      <c r="C683" s="30" t="n">
        <v>75017</v>
      </c>
      <c r="D683" s="31" t="s">
        <v>36</v>
      </c>
    </row>
    <row r="684" customFormat="false" ht="12.8" hidden="false" customHeight="false" outlineLevel="0" collapsed="false">
      <c r="A684" s="27"/>
      <c r="B684" s="27" t="s">
        <v>2764</v>
      </c>
      <c r="C684" s="30" t="n">
        <v>75017</v>
      </c>
      <c r="D684" s="31" t="s">
        <v>36</v>
      </c>
    </row>
    <row r="685" customFormat="false" ht="12.8" hidden="false" customHeight="false" outlineLevel="0" collapsed="false">
      <c r="A685" s="27"/>
      <c r="B685" s="27" t="s">
        <v>2766</v>
      </c>
      <c r="C685" s="30" t="n">
        <v>75017</v>
      </c>
      <c r="D685" s="31" t="s">
        <v>36</v>
      </c>
    </row>
    <row r="686" customFormat="false" ht="12.8" hidden="false" customHeight="false" outlineLevel="0" collapsed="false">
      <c r="A686" s="27"/>
      <c r="B686" s="27" t="s">
        <v>2768</v>
      </c>
      <c r="C686" s="30" t="n">
        <v>75017</v>
      </c>
      <c r="D686" s="31" t="s">
        <v>36</v>
      </c>
    </row>
    <row r="687" customFormat="false" ht="12.8" hidden="false" customHeight="false" outlineLevel="0" collapsed="false">
      <c r="A687" s="27"/>
      <c r="B687" s="27" t="s">
        <v>2770</v>
      </c>
      <c r="C687" s="30" t="n">
        <v>75017</v>
      </c>
      <c r="D687" s="31" t="s">
        <v>36</v>
      </c>
    </row>
    <row r="688" customFormat="false" ht="12.8" hidden="false" customHeight="false" outlineLevel="0" collapsed="false">
      <c r="A688" s="27"/>
      <c r="B688" s="27" t="s">
        <v>2773</v>
      </c>
      <c r="C688" s="30" t="n">
        <v>75017</v>
      </c>
      <c r="D688" s="31" t="s">
        <v>36</v>
      </c>
    </row>
    <row r="689" customFormat="false" ht="12.8" hidden="false" customHeight="false" outlineLevel="0" collapsed="false">
      <c r="A689" s="27"/>
      <c r="B689" s="27" t="s">
        <v>2775</v>
      </c>
      <c r="C689" s="30" t="n">
        <v>75017</v>
      </c>
      <c r="D689" s="31" t="s">
        <v>36</v>
      </c>
    </row>
    <row r="690" customFormat="false" ht="12.8" hidden="false" customHeight="false" outlineLevel="0" collapsed="false">
      <c r="A690" s="27"/>
      <c r="B690" s="27" t="s">
        <v>2777</v>
      </c>
      <c r="C690" s="30" t="n">
        <v>75017</v>
      </c>
      <c r="D690" s="31" t="s">
        <v>36</v>
      </c>
    </row>
    <row r="691" customFormat="false" ht="12.8" hidden="false" customHeight="false" outlineLevel="0" collapsed="false">
      <c r="A691" s="27"/>
      <c r="B691" s="27" t="s">
        <v>2780</v>
      </c>
      <c r="C691" s="30" t="n">
        <v>75017</v>
      </c>
      <c r="D691" s="31" t="s">
        <v>36</v>
      </c>
    </row>
    <row r="692" customFormat="false" ht="12.8" hidden="false" customHeight="false" outlineLevel="0" collapsed="false">
      <c r="A692" s="27"/>
      <c r="B692" s="27" t="s">
        <v>2782</v>
      </c>
      <c r="C692" s="30" t="n">
        <v>75017</v>
      </c>
      <c r="D692" s="31" t="s">
        <v>36</v>
      </c>
    </row>
    <row r="693" customFormat="false" ht="12.8" hidden="false" customHeight="false" outlineLevel="0" collapsed="false">
      <c r="A693" s="27"/>
      <c r="B693" s="27" t="s">
        <v>2784</v>
      </c>
      <c r="C693" s="30" t="n">
        <v>75017</v>
      </c>
      <c r="D693" s="31" t="s">
        <v>36</v>
      </c>
    </row>
    <row r="694" customFormat="false" ht="12.8" hidden="false" customHeight="false" outlineLevel="0" collapsed="false">
      <c r="A694" s="27"/>
      <c r="B694" s="27" t="s">
        <v>2790</v>
      </c>
      <c r="C694" s="30" t="n">
        <v>75017</v>
      </c>
      <c r="D694" s="31" t="s">
        <v>36</v>
      </c>
    </row>
    <row r="695" customFormat="false" ht="12.8" hidden="false" customHeight="false" outlineLevel="0" collapsed="false">
      <c r="A695" s="27"/>
      <c r="B695" s="27" t="s">
        <v>2792</v>
      </c>
      <c r="C695" s="30" t="n">
        <v>75017</v>
      </c>
      <c r="D695" s="31" t="s">
        <v>36</v>
      </c>
    </row>
    <row r="696" customFormat="false" ht="12.8" hidden="false" customHeight="false" outlineLevel="0" collapsed="false">
      <c r="A696" s="27"/>
      <c r="B696" s="27" t="s">
        <v>2795</v>
      </c>
      <c r="C696" s="30" t="n">
        <v>75017</v>
      </c>
      <c r="D696" s="31" t="s">
        <v>36</v>
      </c>
    </row>
    <row r="697" customFormat="false" ht="12.8" hidden="false" customHeight="false" outlineLevel="0" collapsed="false">
      <c r="A697" s="27"/>
      <c r="B697" s="27" t="s">
        <v>2798</v>
      </c>
      <c r="C697" s="30" t="n">
        <v>75017</v>
      </c>
      <c r="D697" s="31" t="s">
        <v>36</v>
      </c>
    </row>
    <row r="698" customFormat="false" ht="12.8" hidden="false" customHeight="false" outlineLevel="0" collapsed="false">
      <c r="A698" s="27"/>
      <c r="B698" s="27" t="s">
        <v>2800</v>
      </c>
      <c r="C698" s="30" t="n">
        <v>75017</v>
      </c>
      <c r="D698" s="31" t="s">
        <v>36</v>
      </c>
    </row>
    <row r="699" customFormat="false" ht="12.8" hidden="false" customHeight="false" outlineLevel="0" collapsed="false">
      <c r="A699" s="27"/>
      <c r="B699" s="27" t="s">
        <v>2801</v>
      </c>
      <c r="C699" s="30" t="n">
        <v>75017</v>
      </c>
      <c r="D699" s="31" t="s">
        <v>36</v>
      </c>
    </row>
    <row r="700" customFormat="false" ht="12.8" hidden="false" customHeight="false" outlineLevel="0" collapsed="false">
      <c r="A700" s="27"/>
      <c r="B700" s="27" t="s">
        <v>2804</v>
      </c>
      <c r="C700" s="30" t="n">
        <v>75017</v>
      </c>
      <c r="D700" s="31" t="s">
        <v>36</v>
      </c>
    </row>
    <row r="701" customFormat="false" ht="12.8" hidden="false" customHeight="false" outlineLevel="0" collapsed="false">
      <c r="A701" s="27"/>
      <c r="B701" s="27" t="s">
        <v>2806</v>
      </c>
      <c r="C701" s="30" t="n">
        <v>75017</v>
      </c>
      <c r="D701" s="31" t="s">
        <v>36</v>
      </c>
    </row>
    <row r="702" customFormat="false" ht="12.8" hidden="false" customHeight="false" outlineLevel="0" collapsed="false">
      <c r="A702" s="27"/>
      <c r="B702" s="27" t="s">
        <v>2807</v>
      </c>
      <c r="C702" s="30" t="n">
        <v>75017</v>
      </c>
      <c r="D702" s="31" t="s">
        <v>36</v>
      </c>
    </row>
    <row r="703" customFormat="false" ht="12.8" hidden="false" customHeight="false" outlineLevel="0" collapsed="false">
      <c r="A703" s="27"/>
      <c r="B703" s="27" t="s">
        <v>2810</v>
      </c>
      <c r="C703" s="30" t="n">
        <v>75017</v>
      </c>
      <c r="D703" s="31" t="s">
        <v>36</v>
      </c>
    </row>
    <row r="704" customFormat="false" ht="12.8" hidden="false" customHeight="false" outlineLevel="0" collapsed="false">
      <c r="A704" s="27"/>
      <c r="B704" s="27" t="s">
        <v>2813</v>
      </c>
      <c r="C704" s="30" t="n">
        <v>75017</v>
      </c>
      <c r="D704" s="31" t="s">
        <v>36</v>
      </c>
    </row>
    <row r="705" customFormat="false" ht="12.8" hidden="false" customHeight="false" outlineLevel="0" collapsed="false">
      <c r="A705" s="27"/>
      <c r="B705" s="27" t="s">
        <v>2816</v>
      </c>
      <c r="C705" s="30" t="n">
        <v>75017</v>
      </c>
      <c r="D705" s="31" t="s">
        <v>36</v>
      </c>
    </row>
    <row r="706" customFormat="false" ht="12.8" hidden="false" customHeight="false" outlineLevel="0" collapsed="false">
      <c r="A706" s="27"/>
      <c r="B706" s="27" t="s">
        <v>2822</v>
      </c>
      <c r="C706" s="30" t="n">
        <v>75017</v>
      </c>
      <c r="D706" s="31" t="s">
        <v>36</v>
      </c>
    </row>
    <row r="707" customFormat="false" ht="12.8" hidden="false" customHeight="false" outlineLevel="0" collapsed="false">
      <c r="A707" s="27"/>
      <c r="B707" s="27" t="s">
        <v>2824</v>
      </c>
      <c r="C707" s="30" t="n">
        <v>75017</v>
      </c>
      <c r="D707" s="31" t="s">
        <v>36</v>
      </c>
    </row>
    <row r="708" customFormat="false" ht="12.8" hidden="false" customHeight="false" outlineLevel="0" collapsed="false">
      <c r="A708" s="27"/>
      <c r="B708" s="27" t="s">
        <v>2827</v>
      </c>
      <c r="C708" s="30" t="n">
        <v>75017</v>
      </c>
      <c r="D708" s="31" t="s">
        <v>36</v>
      </c>
    </row>
    <row r="709" customFormat="false" ht="12.8" hidden="false" customHeight="false" outlineLevel="0" collapsed="false">
      <c r="A709" s="27"/>
      <c r="B709" s="27" t="s">
        <v>2831</v>
      </c>
      <c r="C709" s="30" t="n">
        <v>75017</v>
      </c>
      <c r="D709" s="31" t="s">
        <v>36</v>
      </c>
    </row>
    <row r="710" customFormat="false" ht="12.8" hidden="false" customHeight="false" outlineLevel="0" collapsed="false">
      <c r="A710" s="27"/>
      <c r="B710" s="27" t="s">
        <v>2834</v>
      </c>
      <c r="C710" s="30" t="n">
        <v>75017</v>
      </c>
      <c r="D710" s="31" t="s">
        <v>36</v>
      </c>
    </row>
    <row r="711" customFormat="false" ht="12.8" hidden="false" customHeight="false" outlineLevel="0" collapsed="false">
      <c r="A711" s="27"/>
      <c r="B711" s="27" t="s">
        <v>2839</v>
      </c>
      <c r="C711" s="30" t="n">
        <v>75017</v>
      </c>
      <c r="D711" s="31" t="s">
        <v>36</v>
      </c>
    </row>
    <row r="712" customFormat="false" ht="12.8" hidden="false" customHeight="false" outlineLevel="0" collapsed="false">
      <c r="A712" s="27"/>
      <c r="B712" s="27" t="s">
        <v>2843</v>
      </c>
      <c r="C712" s="30" t="n">
        <v>75017</v>
      </c>
      <c r="D712" s="31" t="s">
        <v>36</v>
      </c>
    </row>
    <row r="713" customFormat="false" ht="12.8" hidden="false" customHeight="false" outlineLevel="0" collapsed="false">
      <c r="A713" s="27"/>
      <c r="B713" s="27" t="s">
        <v>2845</v>
      </c>
      <c r="C713" s="30" t="n">
        <v>75017</v>
      </c>
      <c r="D713" s="31" t="s">
        <v>36</v>
      </c>
    </row>
    <row r="714" customFormat="false" ht="12.8" hidden="false" customHeight="false" outlineLevel="0" collapsed="false">
      <c r="A714" s="27"/>
      <c r="B714" s="27" t="s">
        <v>2847</v>
      </c>
      <c r="C714" s="30" t="n">
        <v>75017</v>
      </c>
      <c r="D714" s="31" t="s">
        <v>36</v>
      </c>
    </row>
    <row r="715" customFormat="false" ht="12.8" hidden="false" customHeight="false" outlineLevel="0" collapsed="false">
      <c r="A715" s="27"/>
      <c r="B715" s="27" t="s">
        <v>2850</v>
      </c>
      <c r="C715" s="30" t="n">
        <v>75017</v>
      </c>
      <c r="D715" s="31" t="s">
        <v>36</v>
      </c>
    </row>
    <row r="716" customFormat="false" ht="12.8" hidden="false" customHeight="false" outlineLevel="0" collapsed="false">
      <c r="A716" s="27"/>
      <c r="B716" s="27" t="s">
        <v>2852</v>
      </c>
      <c r="C716" s="30" t="n">
        <v>75017</v>
      </c>
      <c r="D716" s="31" t="s">
        <v>36</v>
      </c>
    </row>
    <row r="717" customFormat="false" ht="12.8" hidden="false" customHeight="false" outlineLevel="0" collapsed="false">
      <c r="A717" s="27"/>
      <c r="B717" s="27" t="s">
        <v>2858</v>
      </c>
      <c r="C717" s="30" t="n">
        <v>75017</v>
      </c>
      <c r="D717" s="31" t="s">
        <v>36</v>
      </c>
    </row>
    <row r="718" customFormat="false" ht="12.8" hidden="false" customHeight="false" outlineLevel="0" collapsed="false">
      <c r="A718" s="27"/>
      <c r="B718" s="27" t="s">
        <v>2860</v>
      </c>
      <c r="C718" s="30" t="n">
        <v>75017</v>
      </c>
      <c r="D718" s="31" t="s">
        <v>36</v>
      </c>
    </row>
    <row r="719" customFormat="false" ht="12.8" hidden="false" customHeight="false" outlineLevel="0" collapsed="false">
      <c r="A719" s="27"/>
      <c r="B719" s="27" t="s">
        <v>2862</v>
      </c>
      <c r="C719" s="30" t="n">
        <v>75017</v>
      </c>
      <c r="D719" s="31" t="s">
        <v>36</v>
      </c>
    </row>
    <row r="720" customFormat="false" ht="12.8" hidden="false" customHeight="false" outlineLevel="0" collapsed="false">
      <c r="A720" s="27"/>
      <c r="B720" s="27" t="s">
        <v>2864</v>
      </c>
      <c r="C720" s="30" t="n">
        <v>75017</v>
      </c>
      <c r="D720" s="31" t="s">
        <v>36</v>
      </c>
    </row>
    <row r="721" customFormat="false" ht="12.8" hidden="false" customHeight="false" outlineLevel="0" collapsed="false">
      <c r="A721" s="27"/>
      <c r="B721" s="27" t="s">
        <v>2867</v>
      </c>
      <c r="C721" s="30" t="n">
        <v>75017</v>
      </c>
      <c r="D721" s="31" t="s">
        <v>36</v>
      </c>
    </row>
    <row r="722" customFormat="false" ht="12.8" hidden="false" customHeight="false" outlineLevel="0" collapsed="false">
      <c r="A722" s="27"/>
      <c r="B722" s="27" t="s">
        <v>2870</v>
      </c>
      <c r="C722" s="30" t="n">
        <v>75017</v>
      </c>
      <c r="D722" s="31" t="s">
        <v>36</v>
      </c>
    </row>
    <row r="723" customFormat="false" ht="12.8" hidden="false" customHeight="false" outlineLevel="0" collapsed="false">
      <c r="A723" s="27"/>
      <c r="B723" s="27" t="s">
        <v>2873</v>
      </c>
      <c r="C723" s="30" t="n">
        <v>75017</v>
      </c>
      <c r="D723" s="31" t="s">
        <v>36</v>
      </c>
    </row>
    <row r="724" customFormat="false" ht="12.8" hidden="false" customHeight="false" outlineLevel="0" collapsed="false">
      <c r="A724" s="27"/>
      <c r="B724" s="27" t="s">
        <v>2877</v>
      </c>
      <c r="C724" s="30" t="n">
        <v>75017</v>
      </c>
      <c r="D724" s="31" t="s">
        <v>36</v>
      </c>
    </row>
    <row r="725" customFormat="false" ht="12.8" hidden="false" customHeight="false" outlineLevel="0" collapsed="false">
      <c r="A725" s="27"/>
      <c r="B725" s="27" t="s">
        <v>2880</v>
      </c>
      <c r="C725" s="30" t="n">
        <v>75017</v>
      </c>
      <c r="D725" s="31" t="s">
        <v>36</v>
      </c>
    </row>
    <row r="726" customFormat="false" ht="12.8" hidden="false" customHeight="false" outlineLevel="0" collapsed="false">
      <c r="A726" s="27"/>
      <c r="B726" s="27" t="s">
        <v>2884</v>
      </c>
      <c r="C726" s="30" t="n">
        <v>75017</v>
      </c>
      <c r="D726" s="31" t="s">
        <v>36</v>
      </c>
    </row>
    <row r="727" customFormat="false" ht="12.8" hidden="false" customHeight="false" outlineLevel="0" collapsed="false">
      <c r="A727" s="27"/>
      <c r="B727" s="27" t="s">
        <v>4773</v>
      </c>
      <c r="C727" s="30" t="n">
        <v>75017</v>
      </c>
      <c r="D727" s="31" t="s">
        <v>36</v>
      </c>
    </row>
    <row r="728" customFormat="false" ht="12.8" hidden="false" customHeight="false" outlineLevel="0" collapsed="false">
      <c r="A728" s="27"/>
      <c r="B728" s="27" t="s">
        <v>2888</v>
      </c>
      <c r="C728" s="30" t="n">
        <v>75017</v>
      </c>
      <c r="D728" s="31" t="s">
        <v>36</v>
      </c>
    </row>
    <row r="729" customFormat="false" ht="12.8" hidden="false" customHeight="false" outlineLevel="0" collapsed="false">
      <c r="A729" s="27"/>
      <c r="B729" s="27" t="s">
        <v>2890</v>
      </c>
      <c r="C729" s="30" t="n">
        <v>75017</v>
      </c>
      <c r="D729" s="31" t="s">
        <v>36</v>
      </c>
    </row>
    <row r="730" customFormat="false" ht="12.8" hidden="false" customHeight="false" outlineLevel="0" collapsed="false">
      <c r="A730" s="27"/>
      <c r="B730" s="27" t="s">
        <v>2891</v>
      </c>
      <c r="C730" s="30" t="n">
        <v>75017</v>
      </c>
      <c r="D730" s="31" t="s">
        <v>36</v>
      </c>
    </row>
    <row r="731" customFormat="false" ht="12.8" hidden="false" customHeight="false" outlineLevel="0" collapsed="false">
      <c r="A731" s="27"/>
      <c r="B731" s="27" t="s">
        <v>2894</v>
      </c>
      <c r="C731" s="30" t="n">
        <v>75017</v>
      </c>
      <c r="D731" s="31" t="s">
        <v>36</v>
      </c>
    </row>
    <row r="732" customFormat="false" ht="12.8" hidden="false" customHeight="false" outlineLevel="0" collapsed="false">
      <c r="A732" s="27"/>
      <c r="B732" s="27" t="s">
        <v>2895</v>
      </c>
      <c r="C732" s="30" t="n">
        <v>75017</v>
      </c>
      <c r="D732" s="31" t="s">
        <v>36</v>
      </c>
    </row>
    <row r="733" customFormat="false" ht="12.8" hidden="false" customHeight="false" outlineLevel="0" collapsed="false">
      <c r="A733" s="27"/>
      <c r="B733" s="27" t="s">
        <v>2899</v>
      </c>
      <c r="C733" s="30" t="n">
        <v>75017</v>
      </c>
      <c r="D733" s="31" t="s">
        <v>36</v>
      </c>
    </row>
    <row r="734" customFormat="false" ht="12.8" hidden="false" customHeight="false" outlineLevel="0" collapsed="false">
      <c r="A734" s="27"/>
      <c r="B734" s="27" t="s">
        <v>2902</v>
      </c>
      <c r="C734" s="30" t="n">
        <v>75017</v>
      </c>
      <c r="D734" s="31" t="s">
        <v>36</v>
      </c>
    </row>
    <row r="735" customFormat="false" ht="12.8" hidden="false" customHeight="false" outlineLevel="0" collapsed="false">
      <c r="A735" s="27"/>
      <c r="B735" s="27" t="s">
        <v>2903</v>
      </c>
      <c r="C735" s="30" t="n">
        <v>75017</v>
      </c>
      <c r="D735" s="31" t="s">
        <v>36</v>
      </c>
    </row>
    <row r="736" customFormat="false" ht="12.8" hidden="false" customHeight="false" outlineLevel="0" collapsed="false">
      <c r="A736" s="27"/>
      <c r="B736" s="27" t="s">
        <v>2906</v>
      </c>
      <c r="C736" s="30" t="n">
        <v>75017</v>
      </c>
      <c r="D736" s="31" t="s">
        <v>36</v>
      </c>
    </row>
    <row r="737" customFormat="false" ht="12.8" hidden="false" customHeight="false" outlineLevel="0" collapsed="false">
      <c r="A737" s="27"/>
      <c r="B737" s="27" t="s">
        <v>2908</v>
      </c>
      <c r="C737" s="30" t="n">
        <v>75017</v>
      </c>
      <c r="D737" s="31" t="s">
        <v>36</v>
      </c>
    </row>
    <row r="738" customFormat="false" ht="12.8" hidden="false" customHeight="false" outlineLevel="0" collapsed="false">
      <c r="A738" s="27"/>
      <c r="B738" s="27" t="s">
        <v>2911</v>
      </c>
      <c r="C738" s="30" t="n">
        <v>75017</v>
      </c>
      <c r="D738" s="31" t="s">
        <v>36</v>
      </c>
    </row>
    <row r="739" customFormat="false" ht="12.8" hidden="false" customHeight="false" outlineLevel="0" collapsed="false">
      <c r="A739" s="27"/>
      <c r="B739" s="27" t="s">
        <v>2913</v>
      </c>
      <c r="C739" s="30" t="n">
        <v>75017</v>
      </c>
      <c r="D739" s="31" t="s">
        <v>36</v>
      </c>
    </row>
    <row r="740" customFormat="false" ht="12.8" hidden="false" customHeight="false" outlineLevel="0" collapsed="false">
      <c r="A740" s="27"/>
      <c r="B740" s="27" t="s">
        <v>2916</v>
      </c>
      <c r="C740" s="30" t="n">
        <v>75017</v>
      </c>
      <c r="D740" s="31" t="s">
        <v>36</v>
      </c>
    </row>
    <row r="741" customFormat="false" ht="12.8" hidden="false" customHeight="false" outlineLevel="0" collapsed="false">
      <c r="A741" s="27"/>
      <c r="B741" s="27" t="s">
        <v>2920</v>
      </c>
      <c r="C741" s="30" t="n">
        <v>75017</v>
      </c>
      <c r="D741" s="31" t="s">
        <v>36</v>
      </c>
    </row>
    <row r="742" customFormat="false" ht="12.8" hidden="false" customHeight="false" outlineLevel="0" collapsed="false">
      <c r="A742" s="27"/>
      <c r="B742" s="27" t="s">
        <v>2921</v>
      </c>
      <c r="C742" s="30" t="n">
        <v>75017</v>
      </c>
      <c r="D742" s="31" t="s">
        <v>36</v>
      </c>
    </row>
    <row r="743" customFormat="false" ht="12.8" hidden="false" customHeight="false" outlineLevel="0" collapsed="false">
      <c r="A743" s="27"/>
      <c r="B743" s="27" t="s">
        <v>2924</v>
      </c>
      <c r="C743" s="30" t="n">
        <v>75017</v>
      </c>
      <c r="D743" s="31" t="s">
        <v>36</v>
      </c>
    </row>
    <row r="744" customFormat="false" ht="12.8" hidden="false" customHeight="false" outlineLevel="0" collapsed="false">
      <c r="A744" s="27"/>
      <c r="B744" s="27" t="s">
        <v>2926</v>
      </c>
      <c r="C744" s="30" t="n">
        <v>75017</v>
      </c>
      <c r="D744" s="31" t="s">
        <v>36</v>
      </c>
    </row>
    <row r="745" customFormat="false" ht="12.8" hidden="false" customHeight="false" outlineLevel="0" collapsed="false">
      <c r="A745" s="27"/>
      <c r="B745" s="27" t="s">
        <v>2929</v>
      </c>
      <c r="C745" s="30" t="n">
        <v>75016</v>
      </c>
      <c r="D745" s="31" t="s">
        <v>36</v>
      </c>
    </row>
    <row r="746" customFormat="false" ht="12.8" hidden="false" customHeight="false" outlineLevel="0" collapsed="false">
      <c r="A746" s="27"/>
      <c r="B746" s="27" t="s">
        <v>2931</v>
      </c>
      <c r="C746" s="30" t="n">
        <v>75016</v>
      </c>
      <c r="D746" s="31" t="s">
        <v>36</v>
      </c>
    </row>
    <row r="747" customFormat="false" ht="12.8" hidden="false" customHeight="false" outlineLevel="0" collapsed="false">
      <c r="A747" s="27"/>
      <c r="B747" s="27" t="s">
        <v>2934</v>
      </c>
      <c r="C747" s="30" t="n">
        <v>75016</v>
      </c>
      <c r="D747" s="31" t="s">
        <v>36</v>
      </c>
    </row>
    <row r="748" customFormat="false" ht="12.8" hidden="false" customHeight="false" outlineLevel="0" collapsed="false">
      <c r="A748" s="27"/>
      <c r="B748" s="27" t="s">
        <v>2937</v>
      </c>
      <c r="C748" s="30" t="n">
        <v>75016</v>
      </c>
      <c r="D748" s="31" t="s">
        <v>36</v>
      </c>
    </row>
    <row r="749" customFormat="false" ht="12.8" hidden="false" customHeight="false" outlineLevel="0" collapsed="false">
      <c r="A749" s="27"/>
      <c r="B749" s="27" t="s">
        <v>2939</v>
      </c>
      <c r="C749" s="30" t="n">
        <v>75016</v>
      </c>
      <c r="D749" s="31" t="s">
        <v>36</v>
      </c>
    </row>
    <row r="750" customFormat="false" ht="12.8" hidden="false" customHeight="false" outlineLevel="0" collapsed="false">
      <c r="A750" s="27"/>
      <c r="B750" s="27" t="s">
        <v>2942</v>
      </c>
      <c r="C750" s="30" t="n">
        <v>75016</v>
      </c>
      <c r="D750" s="31" t="s">
        <v>36</v>
      </c>
    </row>
    <row r="751" customFormat="false" ht="12.8" hidden="false" customHeight="false" outlineLevel="0" collapsed="false">
      <c r="A751" s="27"/>
      <c r="B751" s="27" t="s">
        <v>2944</v>
      </c>
      <c r="C751" s="30" t="n">
        <v>75016</v>
      </c>
      <c r="D751" s="31" t="s">
        <v>36</v>
      </c>
    </row>
    <row r="752" customFormat="false" ht="12.8" hidden="false" customHeight="false" outlineLevel="0" collapsed="false">
      <c r="A752" s="27"/>
      <c r="B752" s="27" t="s">
        <v>2946</v>
      </c>
      <c r="C752" s="30" t="n">
        <v>75016</v>
      </c>
      <c r="D752" s="31" t="s">
        <v>36</v>
      </c>
    </row>
    <row r="753" customFormat="false" ht="12.8" hidden="false" customHeight="false" outlineLevel="0" collapsed="false">
      <c r="A753" s="27"/>
      <c r="B753" s="27" t="s">
        <v>2947</v>
      </c>
      <c r="C753" s="30" t="n">
        <v>75016</v>
      </c>
      <c r="D753" s="31" t="s">
        <v>36</v>
      </c>
    </row>
    <row r="754" customFormat="false" ht="12.8" hidden="false" customHeight="false" outlineLevel="0" collapsed="false">
      <c r="A754" s="27"/>
      <c r="B754" s="27" t="s">
        <v>2949</v>
      </c>
      <c r="C754" s="30" t="n">
        <v>75016</v>
      </c>
      <c r="D754" s="31" t="s">
        <v>36</v>
      </c>
    </row>
    <row r="755" customFormat="false" ht="12.8" hidden="false" customHeight="false" outlineLevel="0" collapsed="false">
      <c r="A755" s="27"/>
      <c r="B755" s="27" t="s">
        <v>2953</v>
      </c>
      <c r="C755" s="30" t="n">
        <v>75016</v>
      </c>
      <c r="D755" s="31" t="s">
        <v>36</v>
      </c>
    </row>
    <row r="756" customFormat="false" ht="12.8" hidden="false" customHeight="false" outlineLevel="0" collapsed="false">
      <c r="A756" s="27"/>
      <c r="B756" s="27" t="s">
        <v>2956</v>
      </c>
      <c r="C756" s="30" t="n">
        <v>75016</v>
      </c>
      <c r="D756" s="31" t="s">
        <v>36</v>
      </c>
    </row>
    <row r="757" customFormat="false" ht="12.8" hidden="false" customHeight="false" outlineLevel="0" collapsed="false">
      <c r="A757" s="27"/>
      <c r="B757" s="27" t="s">
        <v>2959</v>
      </c>
      <c r="C757" s="30" t="n">
        <v>75016</v>
      </c>
      <c r="D757" s="31" t="s">
        <v>36</v>
      </c>
    </row>
    <row r="758" customFormat="false" ht="12.8" hidden="false" customHeight="false" outlineLevel="0" collapsed="false">
      <c r="A758" s="27"/>
      <c r="B758" s="27" t="s">
        <v>2962</v>
      </c>
      <c r="C758" s="30" t="n">
        <v>75016</v>
      </c>
      <c r="D758" s="31" t="s">
        <v>36</v>
      </c>
    </row>
    <row r="759" customFormat="false" ht="12.8" hidden="false" customHeight="false" outlineLevel="0" collapsed="false">
      <c r="A759" s="27"/>
      <c r="B759" s="27" t="s">
        <v>2964</v>
      </c>
      <c r="C759" s="30" t="n">
        <v>75016</v>
      </c>
      <c r="D759" s="31" t="s">
        <v>36</v>
      </c>
    </row>
    <row r="760" customFormat="false" ht="12.8" hidden="false" customHeight="false" outlineLevel="0" collapsed="false">
      <c r="A760" s="27"/>
      <c r="B760" s="27" t="s">
        <v>2967</v>
      </c>
      <c r="C760" s="30" t="n">
        <v>75016</v>
      </c>
      <c r="D760" s="31" t="s">
        <v>36</v>
      </c>
    </row>
    <row r="761" customFormat="false" ht="12.8" hidden="false" customHeight="false" outlineLevel="0" collapsed="false">
      <c r="A761" s="27"/>
      <c r="B761" s="27" t="s">
        <v>2969</v>
      </c>
      <c r="C761" s="30" t="n">
        <v>75016</v>
      </c>
      <c r="D761" s="31" t="s">
        <v>36</v>
      </c>
    </row>
    <row r="762" customFormat="false" ht="12.8" hidden="false" customHeight="false" outlineLevel="0" collapsed="false">
      <c r="A762" s="27"/>
      <c r="B762" s="27" t="s">
        <v>2971</v>
      </c>
      <c r="C762" s="30" t="n">
        <v>75016</v>
      </c>
      <c r="D762" s="31" t="s">
        <v>36</v>
      </c>
    </row>
    <row r="763" customFormat="false" ht="12.8" hidden="false" customHeight="false" outlineLevel="0" collapsed="false">
      <c r="A763" s="27"/>
      <c r="B763" s="27" t="s">
        <v>2973</v>
      </c>
      <c r="C763" s="30" t="n">
        <v>75016</v>
      </c>
      <c r="D763" s="31" t="s">
        <v>36</v>
      </c>
    </row>
    <row r="764" customFormat="false" ht="12.8" hidden="false" customHeight="false" outlineLevel="0" collapsed="false">
      <c r="A764" s="27"/>
      <c r="B764" s="27" t="s">
        <v>2976</v>
      </c>
      <c r="C764" s="30" t="n">
        <v>75016</v>
      </c>
      <c r="D764" s="31" t="s">
        <v>36</v>
      </c>
    </row>
    <row r="765" customFormat="false" ht="12.8" hidden="false" customHeight="false" outlineLevel="0" collapsed="false">
      <c r="A765" s="27"/>
      <c r="B765" s="27" t="s">
        <v>2977</v>
      </c>
      <c r="C765" s="30" t="n">
        <v>75016</v>
      </c>
      <c r="D765" s="31" t="s">
        <v>36</v>
      </c>
    </row>
    <row r="766" customFormat="false" ht="12.8" hidden="false" customHeight="false" outlineLevel="0" collapsed="false">
      <c r="A766" s="27"/>
      <c r="B766" s="27" t="s">
        <v>2979</v>
      </c>
      <c r="C766" s="30" t="n">
        <v>75016</v>
      </c>
      <c r="D766" s="31" t="s">
        <v>36</v>
      </c>
    </row>
    <row r="767" customFormat="false" ht="12.8" hidden="false" customHeight="false" outlineLevel="0" collapsed="false">
      <c r="A767" s="27"/>
      <c r="B767" s="27" t="s">
        <v>2982</v>
      </c>
      <c r="C767" s="30" t="n">
        <v>75016</v>
      </c>
      <c r="D767" s="31" t="s">
        <v>36</v>
      </c>
    </row>
    <row r="768" customFormat="false" ht="12.8" hidden="false" customHeight="false" outlineLevel="0" collapsed="false">
      <c r="A768" s="27"/>
      <c r="B768" s="27" t="s">
        <v>2984</v>
      </c>
      <c r="C768" s="30" t="n">
        <v>75016</v>
      </c>
      <c r="D768" s="31" t="s">
        <v>36</v>
      </c>
    </row>
    <row r="769" customFormat="false" ht="12.8" hidden="false" customHeight="false" outlineLevel="0" collapsed="false">
      <c r="A769" s="27"/>
      <c r="B769" s="27" t="s">
        <v>2986</v>
      </c>
      <c r="C769" s="30" t="n">
        <v>75016</v>
      </c>
      <c r="D769" s="31" t="s">
        <v>36</v>
      </c>
    </row>
    <row r="770" customFormat="false" ht="12.8" hidden="false" customHeight="false" outlineLevel="0" collapsed="false">
      <c r="A770" s="27"/>
      <c r="B770" s="27" t="s">
        <v>2988</v>
      </c>
      <c r="C770" s="30" t="n">
        <v>75016</v>
      </c>
      <c r="D770" s="31" t="s">
        <v>36</v>
      </c>
    </row>
    <row r="771" customFormat="false" ht="12.8" hidden="false" customHeight="false" outlineLevel="0" collapsed="false">
      <c r="A771" s="27"/>
      <c r="B771" s="27" t="s">
        <v>2991</v>
      </c>
      <c r="C771" s="30" t="n">
        <v>75016</v>
      </c>
      <c r="D771" s="31" t="s">
        <v>36</v>
      </c>
    </row>
    <row r="772" customFormat="false" ht="12.8" hidden="false" customHeight="false" outlineLevel="0" collapsed="false">
      <c r="A772" s="27"/>
      <c r="B772" s="27" t="s">
        <v>2993</v>
      </c>
      <c r="C772" s="30" t="n">
        <v>75016</v>
      </c>
      <c r="D772" s="31" t="s">
        <v>36</v>
      </c>
    </row>
    <row r="773" customFormat="false" ht="12.8" hidden="false" customHeight="false" outlineLevel="0" collapsed="false">
      <c r="A773" s="27"/>
      <c r="B773" s="27" t="s">
        <v>2995</v>
      </c>
      <c r="C773" s="30" t="n">
        <v>75016</v>
      </c>
      <c r="D773" s="31" t="s">
        <v>36</v>
      </c>
    </row>
    <row r="774" customFormat="false" ht="12.8" hidden="false" customHeight="false" outlineLevel="0" collapsed="false">
      <c r="A774" s="27"/>
      <c r="B774" s="27" t="s">
        <v>2998</v>
      </c>
      <c r="C774" s="30" t="n">
        <v>75016</v>
      </c>
      <c r="D774" s="31" t="s">
        <v>36</v>
      </c>
    </row>
    <row r="775" customFormat="false" ht="12.8" hidden="false" customHeight="false" outlineLevel="0" collapsed="false">
      <c r="A775" s="27"/>
      <c r="B775" s="27" t="s">
        <v>3000</v>
      </c>
      <c r="C775" s="30" t="n">
        <v>75016</v>
      </c>
      <c r="D775" s="31" t="s">
        <v>36</v>
      </c>
    </row>
    <row r="776" customFormat="false" ht="12.8" hidden="false" customHeight="false" outlineLevel="0" collapsed="false">
      <c r="A776" s="27"/>
      <c r="B776" s="27" t="s">
        <v>3002</v>
      </c>
      <c r="C776" s="30" t="n">
        <v>75016</v>
      </c>
      <c r="D776" s="31" t="s">
        <v>36</v>
      </c>
    </row>
    <row r="777" customFormat="false" ht="12.8" hidden="false" customHeight="false" outlineLevel="0" collapsed="false">
      <c r="A777" s="27"/>
      <c r="B777" s="27" t="s">
        <v>3004</v>
      </c>
      <c r="C777" s="30" t="n">
        <v>75016</v>
      </c>
      <c r="D777" s="31" t="s">
        <v>36</v>
      </c>
    </row>
    <row r="778" customFormat="false" ht="12.8" hidden="false" customHeight="false" outlineLevel="0" collapsed="false">
      <c r="A778" s="27"/>
      <c r="B778" s="27" t="s">
        <v>3006</v>
      </c>
      <c r="C778" s="30" t="n">
        <v>75016</v>
      </c>
      <c r="D778" s="31" t="s">
        <v>36</v>
      </c>
    </row>
    <row r="779" customFormat="false" ht="12.8" hidden="false" customHeight="false" outlineLevel="0" collapsed="false">
      <c r="A779" s="27"/>
      <c r="B779" s="27" t="s">
        <v>3010</v>
      </c>
      <c r="C779" s="30" t="n">
        <v>75016</v>
      </c>
      <c r="D779" s="31" t="s">
        <v>36</v>
      </c>
    </row>
    <row r="780" customFormat="false" ht="12.8" hidden="false" customHeight="false" outlineLevel="0" collapsed="false">
      <c r="A780" s="27"/>
      <c r="B780" s="27" t="s">
        <v>4774</v>
      </c>
      <c r="C780" s="30" t="n">
        <v>75016</v>
      </c>
      <c r="D780" s="31" t="s">
        <v>36</v>
      </c>
    </row>
    <row r="781" customFormat="false" ht="12.8" hidden="false" customHeight="false" outlineLevel="0" collapsed="false">
      <c r="A781" s="27"/>
      <c r="B781" s="27" t="s">
        <v>3019</v>
      </c>
      <c r="C781" s="30" t="n">
        <v>75016</v>
      </c>
      <c r="D781" s="31" t="s">
        <v>36</v>
      </c>
    </row>
    <row r="782" customFormat="false" ht="12.8" hidden="false" customHeight="false" outlineLevel="0" collapsed="false">
      <c r="A782" s="27"/>
      <c r="B782" s="27" t="s">
        <v>3021</v>
      </c>
      <c r="C782" s="30" t="n">
        <v>75016</v>
      </c>
      <c r="D782" s="31" t="s">
        <v>36</v>
      </c>
    </row>
    <row r="783" customFormat="false" ht="12.8" hidden="false" customHeight="false" outlineLevel="0" collapsed="false">
      <c r="A783" s="27"/>
      <c r="B783" s="27" t="s">
        <v>3023</v>
      </c>
      <c r="C783" s="30" t="n">
        <v>75016</v>
      </c>
      <c r="D783" s="31" t="s">
        <v>36</v>
      </c>
    </row>
    <row r="784" customFormat="false" ht="12.8" hidden="false" customHeight="false" outlineLevel="0" collapsed="false">
      <c r="A784" s="27"/>
      <c r="B784" s="27" t="s">
        <v>3027</v>
      </c>
      <c r="C784" s="30" t="n">
        <v>75016</v>
      </c>
      <c r="D784" s="31" t="s">
        <v>36</v>
      </c>
    </row>
    <row r="785" customFormat="false" ht="12.8" hidden="false" customHeight="false" outlineLevel="0" collapsed="false">
      <c r="A785" s="27"/>
      <c r="B785" s="27" t="s">
        <v>4775</v>
      </c>
      <c r="C785" s="30" t="n">
        <v>75016</v>
      </c>
      <c r="D785" s="31" t="s">
        <v>36</v>
      </c>
    </row>
    <row r="786" customFormat="false" ht="12.8" hidden="false" customHeight="false" outlineLevel="0" collapsed="false">
      <c r="A786" s="27"/>
      <c r="B786" s="27" t="s">
        <v>3039</v>
      </c>
      <c r="C786" s="30" t="n">
        <v>75016</v>
      </c>
      <c r="D786" s="31" t="s">
        <v>36</v>
      </c>
    </row>
    <row r="787" customFormat="false" ht="12.8" hidden="false" customHeight="false" outlineLevel="0" collapsed="false">
      <c r="A787" s="27"/>
      <c r="B787" s="27" t="s">
        <v>3042</v>
      </c>
      <c r="C787" s="30" t="n">
        <v>75016</v>
      </c>
      <c r="D787" s="31" t="s">
        <v>36</v>
      </c>
    </row>
    <row r="788" customFormat="false" ht="12.8" hidden="false" customHeight="false" outlineLevel="0" collapsed="false">
      <c r="A788" s="27"/>
      <c r="B788" s="27" t="s">
        <v>3045</v>
      </c>
      <c r="C788" s="30" t="n">
        <v>75016</v>
      </c>
      <c r="D788" s="31" t="s">
        <v>36</v>
      </c>
    </row>
    <row r="789" customFormat="false" ht="12.8" hidden="false" customHeight="false" outlineLevel="0" collapsed="false">
      <c r="A789" s="27"/>
      <c r="B789" s="27" t="s">
        <v>3047</v>
      </c>
      <c r="C789" s="30" t="n">
        <v>75016</v>
      </c>
      <c r="D789" s="31" t="s">
        <v>36</v>
      </c>
    </row>
    <row r="790" customFormat="false" ht="12.8" hidden="false" customHeight="false" outlineLevel="0" collapsed="false">
      <c r="A790" s="27"/>
      <c r="B790" s="27" t="s">
        <v>3049</v>
      </c>
      <c r="C790" s="30" t="n">
        <v>75016</v>
      </c>
      <c r="D790" s="31" t="s">
        <v>36</v>
      </c>
    </row>
    <row r="791" customFormat="false" ht="12.8" hidden="false" customHeight="false" outlineLevel="0" collapsed="false">
      <c r="A791" s="27"/>
      <c r="B791" s="27" t="s">
        <v>3051</v>
      </c>
      <c r="C791" s="30" t="n">
        <v>75016</v>
      </c>
      <c r="D791" s="31" t="s">
        <v>36</v>
      </c>
    </row>
    <row r="792" customFormat="false" ht="12.8" hidden="false" customHeight="false" outlineLevel="0" collapsed="false">
      <c r="A792" s="27"/>
      <c r="B792" s="27" t="s">
        <v>3057</v>
      </c>
      <c r="C792" s="30" t="n">
        <v>75016</v>
      </c>
      <c r="D792" s="31" t="s">
        <v>36</v>
      </c>
    </row>
    <row r="793" customFormat="false" ht="12.8" hidden="false" customHeight="false" outlineLevel="0" collapsed="false">
      <c r="A793" s="27"/>
      <c r="B793" s="27" t="s">
        <v>3060</v>
      </c>
      <c r="C793" s="30" t="n">
        <v>75016</v>
      </c>
      <c r="D793" s="31" t="s">
        <v>36</v>
      </c>
    </row>
    <row r="794" customFormat="false" ht="12.8" hidden="false" customHeight="false" outlineLevel="0" collapsed="false">
      <c r="A794" s="27"/>
      <c r="B794" s="27" t="s">
        <v>3062</v>
      </c>
      <c r="C794" s="30" t="n">
        <v>75016</v>
      </c>
      <c r="D794" s="31" t="s">
        <v>36</v>
      </c>
    </row>
    <row r="795" customFormat="false" ht="12.8" hidden="false" customHeight="false" outlineLevel="0" collapsed="false">
      <c r="A795" s="27"/>
      <c r="B795" s="27" t="s">
        <v>3068</v>
      </c>
      <c r="C795" s="30" t="n">
        <v>75016</v>
      </c>
      <c r="D795" s="31" t="s">
        <v>36</v>
      </c>
    </row>
    <row r="796" customFormat="false" ht="12.8" hidden="false" customHeight="false" outlineLevel="0" collapsed="false">
      <c r="A796" s="27"/>
      <c r="B796" s="27" t="s">
        <v>3072</v>
      </c>
      <c r="C796" s="30" t="n">
        <v>75016</v>
      </c>
      <c r="D796" s="31" t="s">
        <v>36</v>
      </c>
    </row>
    <row r="797" customFormat="false" ht="12.8" hidden="false" customHeight="false" outlineLevel="0" collapsed="false">
      <c r="A797" s="27"/>
      <c r="B797" s="27" t="s">
        <v>3075</v>
      </c>
      <c r="C797" s="30" t="n">
        <v>75016</v>
      </c>
      <c r="D797" s="31" t="s">
        <v>36</v>
      </c>
    </row>
    <row r="798" customFormat="false" ht="12.8" hidden="false" customHeight="false" outlineLevel="0" collapsed="false">
      <c r="A798" s="27"/>
      <c r="B798" s="27" t="s">
        <v>3077</v>
      </c>
      <c r="C798" s="30" t="n">
        <v>75016</v>
      </c>
      <c r="D798" s="31" t="s">
        <v>36</v>
      </c>
    </row>
    <row r="799" customFormat="false" ht="12.8" hidden="false" customHeight="false" outlineLevel="0" collapsed="false">
      <c r="A799" s="27"/>
      <c r="B799" s="27" t="s">
        <v>3080</v>
      </c>
      <c r="C799" s="30" t="n">
        <v>75016</v>
      </c>
      <c r="D799" s="31" t="s">
        <v>36</v>
      </c>
    </row>
    <row r="800" customFormat="false" ht="12.8" hidden="false" customHeight="false" outlineLevel="0" collapsed="false">
      <c r="A800" s="27"/>
      <c r="B800" s="27" t="s">
        <v>3084</v>
      </c>
      <c r="C800" s="30" t="n">
        <v>75016</v>
      </c>
      <c r="D800" s="31" t="s">
        <v>36</v>
      </c>
    </row>
    <row r="801" customFormat="false" ht="12.8" hidden="false" customHeight="false" outlineLevel="0" collapsed="false">
      <c r="A801" s="27"/>
      <c r="B801" s="27" t="s">
        <v>3086</v>
      </c>
      <c r="C801" s="30" t="n">
        <v>75016</v>
      </c>
      <c r="D801" s="31" t="s">
        <v>36</v>
      </c>
    </row>
    <row r="802" customFormat="false" ht="12.8" hidden="false" customHeight="false" outlineLevel="0" collapsed="false">
      <c r="A802" s="27"/>
      <c r="B802" s="27" t="s">
        <v>3089</v>
      </c>
      <c r="C802" s="30" t="n">
        <v>75016</v>
      </c>
      <c r="D802" s="31" t="s">
        <v>36</v>
      </c>
    </row>
    <row r="803" customFormat="false" ht="12.8" hidden="false" customHeight="false" outlineLevel="0" collapsed="false">
      <c r="A803" s="27"/>
      <c r="B803" s="27" t="s">
        <v>3091</v>
      </c>
      <c r="C803" s="30" t="n">
        <v>75016</v>
      </c>
      <c r="D803" s="31" t="s">
        <v>36</v>
      </c>
    </row>
    <row r="804" customFormat="false" ht="12.8" hidden="false" customHeight="false" outlineLevel="0" collapsed="false">
      <c r="A804" s="27"/>
      <c r="B804" s="27" t="s">
        <v>3094</v>
      </c>
      <c r="C804" s="30" t="n">
        <v>75016</v>
      </c>
      <c r="D804" s="31" t="s">
        <v>36</v>
      </c>
    </row>
    <row r="805" customFormat="false" ht="12.8" hidden="false" customHeight="false" outlineLevel="0" collapsed="false">
      <c r="A805" s="27"/>
      <c r="B805" s="27" t="s">
        <v>3096</v>
      </c>
      <c r="C805" s="30" t="n">
        <v>75016</v>
      </c>
      <c r="D805" s="31" t="s">
        <v>36</v>
      </c>
    </row>
    <row r="806" customFormat="false" ht="12.8" hidden="false" customHeight="false" outlineLevel="0" collapsed="false">
      <c r="A806" s="27"/>
      <c r="B806" s="27" t="s">
        <v>3100</v>
      </c>
      <c r="C806" s="30" t="n">
        <v>75016</v>
      </c>
      <c r="D806" s="31" t="s">
        <v>36</v>
      </c>
    </row>
    <row r="807" customFormat="false" ht="12.8" hidden="false" customHeight="false" outlineLevel="0" collapsed="false">
      <c r="A807" s="27"/>
      <c r="B807" s="27" t="s">
        <v>3103</v>
      </c>
      <c r="C807" s="30" t="n">
        <v>75016</v>
      </c>
      <c r="D807" s="31" t="s">
        <v>36</v>
      </c>
    </row>
    <row r="808" customFormat="false" ht="12.8" hidden="false" customHeight="false" outlineLevel="0" collapsed="false">
      <c r="A808" s="27"/>
      <c r="B808" s="27" t="s">
        <v>3108</v>
      </c>
      <c r="C808" s="30" t="n">
        <v>75016</v>
      </c>
      <c r="D808" s="31" t="s">
        <v>36</v>
      </c>
    </row>
    <row r="809" customFormat="false" ht="12.8" hidden="false" customHeight="false" outlineLevel="0" collapsed="false">
      <c r="A809" s="27"/>
      <c r="B809" s="27" t="s">
        <v>3110</v>
      </c>
      <c r="C809" s="30" t="n">
        <v>75016</v>
      </c>
      <c r="D809" s="31" t="s">
        <v>36</v>
      </c>
    </row>
    <row r="810" customFormat="false" ht="12.8" hidden="false" customHeight="false" outlineLevel="0" collapsed="false">
      <c r="A810" s="27"/>
      <c r="B810" s="27" t="s">
        <v>4776</v>
      </c>
      <c r="C810" s="30" t="n">
        <v>75016</v>
      </c>
      <c r="D810" s="31" t="s">
        <v>36</v>
      </c>
    </row>
    <row r="811" customFormat="false" ht="12.8" hidden="false" customHeight="false" outlineLevel="0" collapsed="false">
      <c r="A811" s="27"/>
      <c r="B811" s="27" t="s">
        <v>3116</v>
      </c>
      <c r="C811" s="30" t="n">
        <v>75016</v>
      </c>
      <c r="D811" s="31" t="s">
        <v>36</v>
      </c>
    </row>
    <row r="812" customFormat="false" ht="12.8" hidden="false" customHeight="false" outlineLevel="0" collapsed="false">
      <c r="A812" s="27"/>
      <c r="B812" s="27" t="s">
        <v>3119</v>
      </c>
      <c r="C812" s="30" t="n">
        <v>75016</v>
      </c>
      <c r="D812" s="31" t="s">
        <v>36</v>
      </c>
    </row>
    <row r="813" customFormat="false" ht="12.8" hidden="false" customHeight="false" outlineLevel="0" collapsed="false">
      <c r="A813" s="27"/>
      <c r="B813" s="27" t="s">
        <v>3121</v>
      </c>
      <c r="C813" s="30" t="n">
        <v>75016</v>
      </c>
      <c r="D813" s="31" t="s">
        <v>36</v>
      </c>
    </row>
    <row r="814" customFormat="false" ht="12.8" hidden="false" customHeight="false" outlineLevel="0" collapsed="false">
      <c r="A814" s="27"/>
      <c r="B814" s="27" t="s">
        <v>3125</v>
      </c>
      <c r="C814" s="30" t="n">
        <v>75016</v>
      </c>
      <c r="D814" s="31" t="s">
        <v>36</v>
      </c>
    </row>
    <row r="815" customFormat="false" ht="12.8" hidden="false" customHeight="false" outlineLevel="0" collapsed="false">
      <c r="A815" s="27"/>
      <c r="B815" s="27" t="s">
        <v>3127</v>
      </c>
      <c r="C815" s="30" t="n">
        <v>75016</v>
      </c>
      <c r="D815" s="31" t="s">
        <v>36</v>
      </c>
    </row>
    <row r="816" customFormat="false" ht="12.8" hidden="false" customHeight="false" outlineLevel="0" collapsed="false">
      <c r="A816" s="27"/>
      <c r="B816" s="27" t="s">
        <v>3131</v>
      </c>
      <c r="C816" s="30" t="n">
        <v>75016</v>
      </c>
      <c r="D816" s="31" t="s">
        <v>36</v>
      </c>
    </row>
    <row r="817" customFormat="false" ht="12.8" hidden="false" customHeight="false" outlineLevel="0" collapsed="false">
      <c r="A817" s="27"/>
      <c r="B817" s="27" t="s">
        <v>3139</v>
      </c>
      <c r="C817" s="30" t="n">
        <v>75016</v>
      </c>
      <c r="D817" s="31" t="s">
        <v>36</v>
      </c>
    </row>
    <row r="818" customFormat="false" ht="12.8" hidden="false" customHeight="false" outlineLevel="0" collapsed="false">
      <c r="A818" s="27"/>
      <c r="B818" s="27" t="s">
        <v>3141</v>
      </c>
      <c r="C818" s="30" t="n">
        <v>75016</v>
      </c>
      <c r="D818" s="31" t="s">
        <v>36</v>
      </c>
    </row>
    <row r="819" customFormat="false" ht="12.8" hidden="false" customHeight="false" outlineLevel="0" collapsed="false">
      <c r="A819" s="27"/>
      <c r="B819" s="27" t="s">
        <v>3144</v>
      </c>
      <c r="C819" s="30" t="n">
        <v>75016</v>
      </c>
      <c r="D819" s="31" t="s">
        <v>36</v>
      </c>
    </row>
    <row r="820" customFormat="false" ht="12.8" hidden="false" customHeight="false" outlineLevel="0" collapsed="false">
      <c r="A820" s="27"/>
      <c r="B820" s="27" t="s">
        <v>3146</v>
      </c>
      <c r="C820" s="30" t="n">
        <v>75016</v>
      </c>
      <c r="D820" s="31" t="s">
        <v>36</v>
      </c>
    </row>
    <row r="821" customFormat="false" ht="12.8" hidden="false" customHeight="false" outlineLevel="0" collapsed="false">
      <c r="A821" s="27"/>
      <c r="B821" s="27" t="s">
        <v>3148</v>
      </c>
      <c r="C821" s="30" t="n">
        <v>75016</v>
      </c>
      <c r="D821" s="31" t="s">
        <v>36</v>
      </c>
    </row>
    <row r="822" customFormat="false" ht="12.8" hidden="false" customHeight="false" outlineLevel="0" collapsed="false">
      <c r="A822" s="27"/>
      <c r="B822" s="27" t="s">
        <v>3150</v>
      </c>
      <c r="C822" s="30" t="n">
        <v>75016</v>
      </c>
      <c r="D822" s="31" t="s">
        <v>36</v>
      </c>
    </row>
    <row r="823" customFormat="false" ht="12.8" hidden="false" customHeight="false" outlineLevel="0" collapsed="false">
      <c r="A823" s="27"/>
      <c r="B823" s="27" t="s">
        <v>3153</v>
      </c>
      <c r="C823" s="30" t="n">
        <v>75016</v>
      </c>
      <c r="D823" s="31" t="s">
        <v>36</v>
      </c>
    </row>
    <row r="824" customFormat="false" ht="12.8" hidden="false" customHeight="false" outlineLevel="0" collapsed="false">
      <c r="A824" s="27"/>
      <c r="B824" s="27" t="s">
        <v>3156</v>
      </c>
      <c r="C824" s="30" t="n">
        <v>75016</v>
      </c>
      <c r="D824" s="31" t="s">
        <v>36</v>
      </c>
    </row>
    <row r="825" customFormat="false" ht="12.8" hidden="false" customHeight="false" outlineLevel="0" collapsed="false">
      <c r="A825" s="27"/>
      <c r="B825" s="27" t="s">
        <v>3162</v>
      </c>
      <c r="C825" s="30" t="n">
        <v>75016</v>
      </c>
      <c r="D825" s="31" t="s">
        <v>36</v>
      </c>
    </row>
    <row r="826" customFormat="false" ht="12.8" hidden="false" customHeight="false" outlineLevel="0" collapsed="false">
      <c r="A826" s="27"/>
      <c r="B826" s="27" t="s">
        <v>3164</v>
      </c>
      <c r="C826" s="30" t="n">
        <v>75016</v>
      </c>
      <c r="D826" s="31" t="s">
        <v>36</v>
      </c>
    </row>
    <row r="827" customFormat="false" ht="12.8" hidden="false" customHeight="false" outlineLevel="0" collapsed="false">
      <c r="A827" s="27"/>
      <c r="B827" s="27" t="s">
        <v>3169</v>
      </c>
      <c r="C827" s="30" t="n">
        <v>75016</v>
      </c>
      <c r="D827" s="31" t="s">
        <v>36</v>
      </c>
    </row>
    <row r="828" customFormat="false" ht="12.8" hidden="false" customHeight="false" outlineLevel="0" collapsed="false">
      <c r="A828" s="27"/>
      <c r="B828" s="27" t="s">
        <v>3174</v>
      </c>
      <c r="C828" s="30" t="n">
        <v>75016</v>
      </c>
      <c r="D828" s="31" t="s">
        <v>36</v>
      </c>
    </row>
    <row r="829" customFormat="false" ht="12.8" hidden="false" customHeight="false" outlineLevel="0" collapsed="false">
      <c r="A829" s="27"/>
      <c r="B829" s="27" t="s">
        <v>3177</v>
      </c>
      <c r="C829" s="30" t="n">
        <v>75016</v>
      </c>
      <c r="D829" s="31" t="s">
        <v>36</v>
      </c>
    </row>
    <row r="830" customFormat="false" ht="12.8" hidden="false" customHeight="false" outlineLevel="0" collapsed="false">
      <c r="A830" s="27"/>
      <c r="B830" s="27" t="s">
        <v>3179</v>
      </c>
      <c r="C830" s="30" t="n">
        <v>75016</v>
      </c>
      <c r="D830" s="31" t="s">
        <v>36</v>
      </c>
    </row>
    <row r="831" customFormat="false" ht="12.8" hidden="false" customHeight="false" outlineLevel="0" collapsed="false">
      <c r="A831" s="27"/>
      <c r="B831" s="27" t="s">
        <v>3181</v>
      </c>
      <c r="C831" s="30" t="n">
        <v>75016</v>
      </c>
      <c r="D831" s="31" t="s">
        <v>36</v>
      </c>
    </row>
    <row r="832" customFormat="false" ht="12.8" hidden="false" customHeight="false" outlineLevel="0" collapsed="false">
      <c r="A832" s="27"/>
      <c r="B832" s="27" t="s">
        <v>3183</v>
      </c>
      <c r="C832" s="30" t="n">
        <v>75016</v>
      </c>
      <c r="D832" s="31" t="s">
        <v>36</v>
      </c>
    </row>
    <row r="833" customFormat="false" ht="12.8" hidden="false" customHeight="false" outlineLevel="0" collapsed="false">
      <c r="A833" s="27"/>
      <c r="B833" s="27" t="s">
        <v>3185</v>
      </c>
      <c r="C833" s="30" t="n">
        <v>75016</v>
      </c>
      <c r="D833" s="31" t="s">
        <v>36</v>
      </c>
    </row>
    <row r="834" customFormat="false" ht="12.8" hidden="false" customHeight="false" outlineLevel="0" collapsed="false">
      <c r="A834" s="27"/>
      <c r="B834" s="27" t="s">
        <v>3188</v>
      </c>
      <c r="C834" s="30" t="n">
        <v>75016</v>
      </c>
      <c r="D834" s="31" t="s">
        <v>36</v>
      </c>
    </row>
    <row r="835" customFormat="false" ht="12.8" hidden="false" customHeight="false" outlineLevel="0" collapsed="false">
      <c r="A835" s="27"/>
      <c r="B835" s="27" t="s">
        <v>3189</v>
      </c>
      <c r="C835" s="30" t="n">
        <v>75016</v>
      </c>
      <c r="D835" s="31" t="s">
        <v>36</v>
      </c>
    </row>
    <row r="836" customFormat="false" ht="12.8" hidden="false" customHeight="false" outlineLevel="0" collapsed="false">
      <c r="A836" s="27"/>
      <c r="B836" s="27" t="s">
        <v>3191</v>
      </c>
      <c r="C836" s="30" t="n">
        <v>75016</v>
      </c>
      <c r="D836" s="31" t="s">
        <v>36</v>
      </c>
    </row>
    <row r="837" customFormat="false" ht="12.8" hidden="false" customHeight="false" outlineLevel="0" collapsed="false">
      <c r="A837" s="27"/>
      <c r="B837" s="27" t="s">
        <v>3193</v>
      </c>
      <c r="C837" s="30" t="n">
        <v>75016</v>
      </c>
      <c r="D837" s="31" t="s">
        <v>36</v>
      </c>
    </row>
    <row r="838" customFormat="false" ht="12.8" hidden="false" customHeight="false" outlineLevel="0" collapsed="false">
      <c r="A838" s="27"/>
      <c r="B838" s="27" t="s">
        <v>3198</v>
      </c>
      <c r="C838" s="30" t="n">
        <v>75016</v>
      </c>
      <c r="D838" s="31" t="s">
        <v>36</v>
      </c>
    </row>
    <row r="839" customFormat="false" ht="12.8" hidden="false" customHeight="false" outlineLevel="0" collapsed="false">
      <c r="A839" s="27"/>
      <c r="B839" s="27" t="s">
        <v>3209</v>
      </c>
      <c r="C839" s="30" t="n">
        <v>75016</v>
      </c>
      <c r="D839" s="31" t="s">
        <v>36</v>
      </c>
    </row>
    <row r="840" customFormat="false" ht="12.8" hidden="false" customHeight="false" outlineLevel="0" collapsed="false">
      <c r="A840" s="27"/>
      <c r="B840" s="27" t="s">
        <v>3211</v>
      </c>
      <c r="C840" s="30" t="n">
        <v>75016</v>
      </c>
      <c r="D840" s="31" t="s">
        <v>36</v>
      </c>
    </row>
    <row r="841" customFormat="false" ht="12.8" hidden="false" customHeight="false" outlineLevel="0" collapsed="false">
      <c r="A841" s="27"/>
      <c r="B841" s="27" t="s">
        <v>3214</v>
      </c>
      <c r="C841" s="30" t="n">
        <v>75016</v>
      </c>
      <c r="D841" s="31" t="s">
        <v>36</v>
      </c>
    </row>
    <row r="842" customFormat="false" ht="12.8" hidden="false" customHeight="false" outlineLevel="0" collapsed="false">
      <c r="A842" s="27"/>
      <c r="B842" s="27" t="s">
        <v>3217</v>
      </c>
      <c r="C842" s="30" t="n">
        <v>75016</v>
      </c>
      <c r="D842" s="31" t="s">
        <v>36</v>
      </c>
    </row>
    <row r="843" customFormat="false" ht="12.8" hidden="false" customHeight="false" outlineLevel="0" collapsed="false">
      <c r="A843" s="27"/>
      <c r="B843" s="27" t="s">
        <v>3223</v>
      </c>
      <c r="C843" s="30" t="n">
        <v>75016</v>
      </c>
      <c r="D843" s="31" t="s">
        <v>36</v>
      </c>
    </row>
    <row r="844" customFormat="false" ht="12.8" hidden="false" customHeight="false" outlineLevel="0" collapsed="false">
      <c r="A844" s="27"/>
      <c r="B844" s="27" t="s">
        <v>3225</v>
      </c>
      <c r="C844" s="30" t="n">
        <v>75016</v>
      </c>
      <c r="D844" s="31" t="s">
        <v>36</v>
      </c>
    </row>
    <row r="845" customFormat="false" ht="12.8" hidden="false" customHeight="false" outlineLevel="0" collapsed="false">
      <c r="A845" s="27"/>
      <c r="B845" s="27" t="s">
        <v>3226</v>
      </c>
      <c r="C845" s="30" t="n">
        <v>75016</v>
      </c>
      <c r="D845" s="31" t="s">
        <v>36</v>
      </c>
    </row>
    <row r="846" customFormat="false" ht="12.8" hidden="false" customHeight="false" outlineLevel="0" collapsed="false">
      <c r="A846" s="27"/>
      <c r="B846" s="27" t="s">
        <v>3228</v>
      </c>
      <c r="C846" s="30" t="n">
        <v>75016</v>
      </c>
      <c r="D846" s="31" t="s">
        <v>36</v>
      </c>
    </row>
    <row r="847" customFormat="false" ht="12.8" hidden="false" customHeight="false" outlineLevel="0" collapsed="false">
      <c r="A847" s="27"/>
      <c r="B847" s="27" t="s">
        <v>3230</v>
      </c>
      <c r="C847" s="30" t="n">
        <v>75016</v>
      </c>
      <c r="D847" s="31" t="s">
        <v>36</v>
      </c>
    </row>
    <row r="848" customFormat="false" ht="12.8" hidden="false" customHeight="false" outlineLevel="0" collapsed="false">
      <c r="A848" s="27"/>
      <c r="B848" s="27" t="s">
        <v>3233</v>
      </c>
      <c r="C848" s="30" t="n">
        <v>75016</v>
      </c>
      <c r="D848" s="31" t="s">
        <v>36</v>
      </c>
    </row>
    <row r="849" customFormat="false" ht="12.8" hidden="false" customHeight="false" outlineLevel="0" collapsed="false">
      <c r="A849" s="27"/>
      <c r="B849" s="27" t="s">
        <v>3239</v>
      </c>
      <c r="C849" s="30" t="n">
        <v>75015</v>
      </c>
      <c r="D849" s="31" t="s">
        <v>36</v>
      </c>
    </row>
    <row r="850" customFormat="false" ht="12.8" hidden="false" customHeight="false" outlineLevel="0" collapsed="false">
      <c r="A850" s="27"/>
      <c r="B850" s="27" t="s">
        <v>3257</v>
      </c>
      <c r="C850" s="30" t="n">
        <v>75015</v>
      </c>
      <c r="D850" s="31" t="s">
        <v>36</v>
      </c>
    </row>
    <row r="851" customFormat="false" ht="12.8" hidden="false" customHeight="false" outlineLevel="0" collapsed="false">
      <c r="A851" s="27"/>
      <c r="B851" s="27" t="s">
        <v>3259</v>
      </c>
      <c r="C851" s="30" t="n">
        <v>75015</v>
      </c>
      <c r="D851" s="31" t="s">
        <v>36</v>
      </c>
    </row>
    <row r="852" customFormat="false" ht="12.8" hidden="false" customHeight="false" outlineLevel="0" collapsed="false">
      <c r="A852" s="27"/>
      <c r="B852" s="27" t="s">
        <v>3261</v>
      </c>
      <c r="C852" s="30" t="n">
        <v>75015</v>
      </c>
      <c r="D852" s="31" t="s">
        <v>36</v>
      </c>
    </row>
    <row r="853" customFormat="false" ht="12.8" hidden="false" customHeight="false" outlineLevel="0" collapsed="false">
      <c r="A853" s="27"/>
      <c r="B853" s="27" t="s">
        <v>3265</v>
      </c>
      <c r="C853" s="30" t="n">
        <v>75015</v>
      </c>
      <c r="D853" s="31" t="s">
        <v>36</v>
      </c>
    </row>
    <row r="854" customFormat="false" ht="12.8" hidden="false" customHeight="false" outlineLevel="0" collapsed="false">
      <c r="A854" s="27"/>
      <c r="B854" s="27" t="s">
        <v>3270</v>
      </c>
      <c r="C854" s="30" t="n">
        <v>75015</v>
      </c>
      <c r="D854" s="31" t="s">
        <v>36</v>
      </c>
    </row>
    <row r="855" customFormat="false" ht="12.8" hidden="false" customHeight="false" outlineLevel="0" collapsed="false">
      <c r="A855" s="27"/>
      <c r="B855" s="27" t="s">
        <v>4777</v>
      </c>
      <c r="C855" s="30" t="n">
        <v>75015</v>
      </c>
      <c r="D855" s="31" t="s">
        <v>36</v>
      </c>
    </row>
    <row r="856" customFormat="false" ht="12.8" hidden="false" customHeight="false" outlineLevel="0" collapsed="false">
      <c r="A856" s="27"/>
      <c r="B856" s="27" t="s">
        <v>3276</v>
      </c>
      <c r="C856" s="30" t="n">
        <v>75015</v>
      </c>
      <c r="D856" s="31" t="s">
        <v>36</v>
      </c>
    </row>
    <row r="857" customFormat="false" ht="12.8" hidden="false" customHeight="false" outlineLevel="0" collapsed="false">
      <c r="A857" s="27"/>
      <c r="B857" s="27" t="s">
        <v>3280</v>
      </c>
      <c r="C857" s="30" t="n">
        <v>75015</v>
      </c>
      <c r="D857" s="31" t="s">
        <v>36</v>
      </c>
    </row>
    <row r="858" customFormat="false" ht="12.8" hidden="false" customHeight="false" outlineLevel="0" collapsed="false">
      <c r="A858" s="27"/>
      <c r="B858" s="27" t="s">
        <v>4778</v>
      </c>
      <c r="C858" s="30" t="n">
        <v>75015</v>
      </c>
      <c r="D858" s="31" t="s">
        <v>36</v>
      </c>
    </row>
    <row r="859" customFormat="false" ht="12.8" hidden="false" customHeight="false" outlineLevel="0" collapsed="false">
      <c r="A859" s="27"/>
      <c r="B859" s="27" t="s">
        <v>3292</v>
      </c>
      <c r="C859" s="30" t="n">
        <v>75015</v>
      </c>
      <c r="D859" s="31" t="s">
        <v>36</v>
      </c>
    </row>
    <row r="860" customFormat="false" ht="12.8" hidden="false" customHeight="false" outlineLevel="0" collapsed="false">
      <c r="A860" s="27"/>
      <c r="B860" s="27" t="s">
        <v>4779</v>
      </c>
      <c r="C860" s="30" t="n">
        <v>75015</v>
      </c>
      <c r="D860" s="31" t="s">
        <v>36</v>
      </c>
    </row>
    <row r="861" customFormat="false" ht="12.8" hidden="false" customHeight="false" outlineLevel="0" collapsed="false">
      <c r="A861" s="27"/>
      <c r="B861" s="27" t="s">
        <v>3296</v>
      </c>
      <c r="C861" s="30" t="n">
        <v>75015</v>
      </c>
      <c r="D861" s="31" t="s">
        <v>36</v>
      </c>
    </row>
    <row r="862" customFormat="false" ht="12.8" hidden="false" customHeight="false" outlineLevel="0" collapsed="false">
      <c r="A862" s="27"/>
      <c r="B862" s="27" t="s">
        <v>3300</v>
      </c>
      <c r="C862" s="30" t="n">
        <v>75015</v>
      </c>
      <c r="D862" s="31" t="s">
        <v>36</v>
      </c>
    </row>
    <row r="863" customFormat="false" ht="12.8" hidden="false" customHeight="false" outlineLevel="0" collapsed="false">
      <c r="A863" s="27"/>
      <c r="B863" s="27" t="s">
        <v>3302</v>
      </c>
      <c r="C863" s="30" t="n">
        <v>75015</v>
      </c>
      <c r="D863" s="31" t="s">
        <v>36</v>
      </c>
    </row>
    <row r="864" customFormat="false" ht="12.8" hidden="false" customHeight="false" outlineLevel="0" collapsed="false">
      <c r="A864" s="27"/>
      <c r="B864" s="27" t="s">
        <v>3306</v>
      </c>
      <c r="C864" s="30" t="n">
        <v>75015</v>
      </c>
      <c r="D864" s="31" t="s">
        <v>36</v>
      </c>
    </row>
    <row r="865" customFormat="false" ht="12.8" hidden="false" customHeight="false" outlineLevel="0" collapsed="false">
      <c r="A865" s="27"/>
      <c r="B865" s="27" t="s">
        <v>3308</v>
      </c>
      <c r="C865" s="30" t="n">
        <v>75015</v>
      </c>
      <c r="D865" s="31" t="s">
        <v>36</v>
      </c>
    </row>
    <row r="866" customFormat="false" ht="12.8" hidden="false" customHeight="false" outlineLevel="0" collapsed="false">
      <c r="A866" s="27"/>
      <c r="B866" s="27" t="s">
        <v>3311</v>
      </c>
      <c r="C866" s="30" t="n">
        <v>75015</v>
      </c>
      <c r="D866" s="31" t="s">
        <v>36</v>
      </c>
    </row>
    <row r="867" customFormat="false" ht="12.8" hidden="false" customHeight="false" outlineLevel="0" collapsed="false">
      <c r="A867" s="27"/>
      <c r="B867" s="27" t="s">
        <v>3313</v>
      </c>
      <c r="C867" s="30" t="n">
        <v>75015</v>
      </c>
      <c r="D867" s="31" t="s">
        <v>36</v>
      </c>
    </row>
    <row r="868" customFormat="false" ht="12.8" hidden="false" customHeight="false" outlineLevel="0" collapsed="false">
      <c r="A868" s="27"/>
      <c r="B868" s="27" t="s">
        <v>3324</v>
      </c>
      <c r="C868" s="30" t="n">
        <v>75015</v>
      </c>
      <c r="D868" s="31" t="s">
        <v>36</v>
      </c>
    </row>
    <row r="869" customFormat="false" ht="12.8" hidden="false" customHeight="false" outlineLevel="0" collapsed="false">
      <c r="A869" s="27"/>
      <c r="B869" s="27" t="s">
        <v>3326</v>
      </c>
      <c r="C869" s="30" t="n">
        <v>75015</v>
      </c>
      <c r="D869" s="31" t="s">
        <v>36</v>
      </c>
    </row>
    <row r="870" customFormat="false" ht="12.8" hidden="false" customHeight="false" outlineLevel="0" collapsed="false">
      <c r="A870" s="27"/>
      <c r="B870" s="27" t="s">
        <v>3329</v>
      </c>
      <c r="C870" s="30" t="n">
        <v>75015</v>
      </c>
      <c r="D870" s="31" t="s">
        <v>36</v>
      </c>
    </row>
    <row r="871" customFormat="false" ht="12.8" hidden="false" customHeight="false" outlineLevel="0" collapsed="false">
      <c r="A871" s="27"/>
      <c r="B871" s="27" t="s">
        <v>3338</v>
      </c>
      <c r="C871" s="30" t="n">
        <v>75015</v>
      </c>
      <c r="D871" s="31" t="s">
        <v>36</v>
      </c>
    </row>
    <row r="872" customFormat="false" ht="12.8" hidden="false" customHeight="false" outlineLevel="0" collapsed="false">
      <c r="A872" s="27"/>
      <c r="B872" s="27" t="s">
        <v>3340</v>
      </c>
      <c r="C872" s="30" t="n">
        <v>75015</v>
      </c>
      <c r="D872" s="31" t="s">
        <v>36</v>
      </c>
    </row>
    <row r="873" customFormat="false" ht="12.8" hidden="false" customHeight="false" outlineLevel="0" collapsed="false">
      <c r="A873" s="27"/>
      <c r="B873" s="27" t="s">
        <v>3342</v>
      </c>
      <c r="C873" s="30" t="n">
        <v>75015</v>
      </c>
      <c r="D873" s="31" t="s">
        <v>36</v>
      </c>
    </row>
    <row r="874" customFormat="false" ht="12.8" hidden="false" customHeight="false" outlineLevel="0" collapsed="false">
      <c r="A874" s="27"/>
      <c r="B874" s="27" t="s">
        <v>3348</v>
      </c>
      <c r="C874" s="30" t="n">
        <v>75015</v>
      </c>
      <c r="D874" s="31" t="s">
        <v>36</v>
      </c>
    </row>
    <row r="875" customFormat="false" ht="12.8" hidden="false" customHeight="false" outlineLevel="0" collapsed="false">
      <c r="A875" s="27"/>
      <c r="B875" s="27" t="s">
        <v>3350</v>
      </c>
      <c r="C875" s="30" t="n">
        <v>75015</v>
      </c>
      <c r="D875" s="31" t="s">
        <v>36</v>
      </c>
    </row>
    <row r="876" customFormat="false" ht="12.8" hidden="false" customHeight="false" outlineLevel="0" collapsed="false">
      <c r="A876" s="27"/>
      <c r="B876" s="27" t="s">
        <v>3352</v>
      </c>
      <c r="C876" s="30" t="n">
        <v>75015</v>
      </c>
      <c r="D876" s="31" t="s">
        <v>36</v>
      </c>
    </row>
    <row r="877" customFormat="false" ht="12.8" hidden="false" customHeight="false" outlineLevel="0" collapsed="false">
      <c r="A877" s="27"/>
      <c r="B877" s="27" t="s">
        <v>3354</v>
      </c>
      <c r="C877" s="30" t="n">
        <v>75015</v>
      </c>
      <c r="D877" s="31" t="s">
        <v>36</v>
      </c>
    </row>
    <row r="878" customFormat="false" ht="12.8" hidden="false" customHeight="false" outlineLevel="0" collapsed="false">
      <c r="A878" s="27"/>
      <c r="B878" s="27" t="s">
        <v>3357</v>
      </c>
      <c r="C878" s="30" t="n">
        <v>75015</v>
      </c>
      <c r="D878" s="31" t="s">
        <v>36</v>
      </c>
    </row>
    <row r="879" customFormat="false" ht="12.8" hidden="false" customHeight="false" outlineLevel="0" collapsed="false">
      <c r="A879" s="27"/>
      <c r="B879" s="27" t="s">
        <v>3359</v>
      </c>
      <c r="C879" s="30" t="n">
        <v>75015</v>
      </c>
      <c r="D879" s="31" t="s">
        <v>36</v>
      </c>
    </row>
    <row r="880" customFormat="false" ht="12.8" hidden="false" customHeight="false" outlineLevel="0" collapsed="false">
      <c r="A880" s="27"/>
      <c r="B880" s="27" t="s">
        <v>3362</v>
      </c>
      <c r="C880" s="30" t="n">
        <v>75015</v>
      </c>
      <c r="D880" s="31" t="s">
        <v>36</v>
      </c>
    </row>
    <row r="881" customFormat="false" ht="12.8" hidden="false" customHeight="false" outlineLevel="0" collapsed="false">
      <c r="A881" s="27"/>
      <c r="B881" s="27" t="s">
        <v>3366</v>
      </c>
      <c r="C881" s="30" t="n">
        <v>75015</v>
      </c>
      <c r="D881" s="31" t="s">
        <v>36</v>
      </c>
    </row>
    <row r="882" customFormat="false" ht="12.8" hidden="false" customHeight="false" outlineLevel="0" collapsed="false">
      <c r="A882" s="27"/>
      <c r="B882" s="27" t="s">
        <v>3368</v>
      </c>
      <c r="C882" s="30" t="n">
        <v>75015</v>
      </c>
      <c r="D882" s="31" t="s">
        <v>36</v>
      </c>
    </row>
    <row r="883" customFormat="false" ht="12.8" hidden="false" customHeight="false" outlineLevel="0" collapsed="false">
      <c r="A883" s="27"/>
      <c r="B883" s="27" t="s">
        <v>3370</v>
      </c>
      <c r="C883" s="30" t="n">
        <v>75015</v>
      </c>
      <c r="D883" s="31" t="s">
        <v>36</v>
      </c>
    </row>
    <row r="884" customFormat="false" ht="12.8" hidden="false" customHeight="false" outlineLevel="0" collapsed="false">
      <c r="A884" s="27"/>
      <c r="B884" s="27" t="s">
        <v>3373</v>
      </c>
      <c r="C884" s="30" t="n">
        <v>75015</v>
      </c>
      <c r="D884" s="31" t="s">
        <v>36</v>
      </c>
    </row>
    <row r="885" customFormat="false" ht="12.8" hidden="false" customHeight="false" outlineLevel="0" collapsed="false">
      <c r="A885" s="27"/>
      <c r="B885" s="27" t="s">
        <v>3375</v>
      </c>
      <c r="C885" s="30" t="n">
        <v>75015</v>
      </c>
      <c r="D885" s="31" t="s">
        <v>36</v>
      </c>
    </row>
    <row r="886" customFormat="false" ht="12.8" hidden="false" customHeight="false" outlineLevel="0" collapsed="false">
      <c r="A886" s="27"/>
      <c r="B886" s="27" t="s">
        <v>3377</v>
      </c>
      <c r="C886" s="30" t="n">
        <v>75015</v>
      </c>
      <c r="D886" s="31" t="s">
        <v>36</v>
      </c>
    </row>
    <row r="887" customFormat="false" ht="12.8" hidden="false" customHeight="false" outlineLevel="0" collapsed="false">
      <c r="A887" s="27"/>
      <c r="B887" s="27" t="s">
        <v>3381</v>
      </c>
      <c r="C887" s="30" t="n">
        <v>75015</v>
      </c>
      <c r="D887" s="31" t="s">
        <v>36</v>
      </c>
    </row>
    <row r="888" customFormat="false" ht="12.8" hidden="false" customHeight="false" outlineLevel="0" collapsed="false">
      <c r="A888" s="27"/>
      <c r="B888" s="27" t="s">
        <v>3383</v>
      </c>
      <c r="C888" s="30" t="n">
        <v>75015</v>
      </c>
      <c r="D888" s="31" t="s">
        <v>36</v>
      </c>
    </row>
    <row r="889" customFormat="false" ht="12.8" hidden="false" customHeight="false" outlineLevel="0" collapsed="false">
      <c r="A889" s="27"/>
      <c r="B889" s="27" t="s">
        <v>3389</v>
      </c>
      <c r="C889" s="30" t="n">
        <v>75015</v>
      </c>
      <c r="D889" s="31" t="s">
        <v>36</v>
      </c>
    </row>
    <row r="890" customFormat="false" ht="12.8" hidden="false" customHeight="false" outlineLevel="0" collapsed="false">
      <c r="A890" s="27"/>
      <c r="B890" s="27" t="s">
        <v>3391</v>
      </c>
      <c r="C890" s="30" t="n">
        <v>75015</v>
      </c>
      <c r="D890" s="31" t="s">
        <v>36</v>
      </c>
    </row>
    <row r="891" customFormat="false" ht="12.8" hidden="false" customHeight="false" outlineLevel="0" collapsed="false">
      <c r="A891" s="27"/>
      <c r="B891" s="27" t="s">
        <v>3394</v>
      </c>
      <c r="C891" s="30" t="n">
        <v>75015</v>
      </c>
      <c r="D891" s="31" t="s">
        <v>36</v>
      </c>
    </row>
    <row r="892" customFormat="false" ht="12.8" hidden="false" customHeight="false" outlineLevel="0" collapsed="false">
      <c r="A892" s="27"/>
      <c r="B892" s="27" t="s">
        <v>3397</v>
      </c>
      <c r="C892" s="30" t="n">
        <v>75015</v>
      </c>
      <c r="D892" s="31" t="s">
        <v>36</v>
      </c>
    </row>
    <row r="893" customFormat="false" ht="12.8" hidden="false" customHeight="false" outlineLevel="0" collapsed="false">
      <c r="A893" s="27"/>
      <c r="B893" s="27" t="s">
        <v>3399</v>
      </c>
      <c r="C893" s="30" t="n">
        <v>75015</v>
      </c>
      <c r="D893" s="31" t="s">
        <v>36</v>
      </c>
    </row>
    <row r="894" customFormat="false" ht="12.8" hidden="false" customHeight="false" outlineLevel="0" collapsed="false">
      <c r="A894" s="27"/>
      <c r="B894" s="27" t="s">
        <v>3402</v>
      </c>
      <c r="C894" s="30" t="n">
        <v>92300</v>
      </c>
      <c r="D894" s="31" t="s">
        <v>3403</v>
      </c>
    </row>
    <row r="895" customFormat="false" ht="12.8" hidden="false" customHeight="false" outlineLevel="0" collapsed="false">
      <c r="A895" s="27"/>
      <c r="B895" s="27" t="s">
        <v>4780</v>
      </c>
      <c r="C895" s="30" t="n">
        <v>92300</v>
      </c>
      <c r="D895" s="31" t="s">
        <v>3403</v>
      </c>
    </row>
    <row r="896" customFormat="false" ht="12.8" hidden="false" customHeight="false" outlineLevel="0" collapsed="false">
      <c r="A896" s="27"/>
      <c r="B896" s="27" t="s">
        <v>3411</v>
      </c>
      <c r="C896" s="30" t="n">
        <v>92300</v>
      </c>
      <c r="D896" s="31" t="s">
        <v>3403</v>
      </c>
    </row>
    <row r="897" customFormat="false" ht="12.8" hidden="false" customHeight="false" outlineLevel="0" collapsed="false">
      <c r="A897" s="27"/>
      <c r="B897" s="27" t="s">
        <v>3413</v>
      </c>
      <c r="C897" s="30" t="n">
        <v>92300</v>
      </c>
      <c r="D897" s="31" t="s">
        <v>3403</v>
      </c>
    </row>
    <row r="898" customFormat="false" ht="12.8" hidden="false" customHeight="false" outlineLevel="0" collapsed="false">
      <c r="A898" s="27"/>
      <c r="B898" s="27" t="s">
        <v>3417</v>
      </c>
      <c r="C898" s="30" t="n">
        <v>92300</v>
      </c>
      <c r="D898" s="31" t="s">
        <v>3403</v>
      </c>
    </row>
    <row r="899" customFormat="false" ht="12.8" hidden="false" customHeight="false" outlineLevel="0" collapsed="false">
      <c r="A899" s="27"/>
      <c r="B899" s="27" t="s">
        <v>3419</v>
      </c>
      <c r="C899" s="30" t="n">
        <v>92300</v>
      </c>
      <c r="D899" s="31" t="s">
        <v>3403</v>
      </c>
    </row>
    <row r="900" customFormat="false" ht="12.8" hidden="false" customHeight="false" outlineLevel="0" collapsed="false">
      <c r="A900" s="27"/>
      <c r="B900" s="27" t="s">
        <v>3421</v>
      </c>
      <c r="C900" s="30" t="n">
        <v>92300</v>
      </c>
      <c r="D900" s="31" t="s">
        <v>3403</v>
      </c>
    </row>
    <row r="901" customFormat="false" ht="12.8" hidden="false" customHeight="false" outlineLevel="0" collapsed="false">
      <c r="A901" s="27"/>
      <c r="B901" s="27" t="s">
        <v>3423</v>
      </c>
      <c r="C901" s="30" t="n">
        <v>92300</v>
      </c>
      <c r="D901" s="31" t="s">
        <v>3403</v>
      </c>
    </row>
    <row r="902" customFormat="false" ht="12.8" hidden="false" customHeight="false" outlineLevel="0" collapsed="false">
      <c r="A902" s="27"/>
      <c r="B902" s="27" t="s">
        <v>4781</v>
      </c>
      <c r="C902" s="30" t="n">
        <v>92300</v>
      </c>
      <c r="D902" s="31" t="s">
        <v>3403</v>
      </c>
    </row>
    <row r="903" customFormat="false" ht="12.8" hidden="false" customHeight="false" outlineLevel="0" collapsed="false">
      <c r="A903" s="27"/>
      <c r="B903" s="27" t="s">
        <v>3428</v>
      </c>
      <c r="C903" s="30" t="n">
        <v>92300</v>
      </c>
      <c r="D903" s="31" t="s">
        <v>3403</v>
      </c>
    </row>
    <row r="904" customFormat="false" ht="12.8" hidden="false" customHeight="false" outlineLevel="0" collapsed="false">
      <c r="A904" s="27"/>
      <c r="B904" s="27" t="s">
        <v>3432</v>
      </c>
      <c r="C904" s="30" t="n">
        <v>92300</v>
      </c>
      <c r="D904" s="31" t="s">
        <v>3403</v>
      </c>
    </row>
    <row r="905" customFormat="false" ht="12.8" hidden="false" customHeight="false" outlineLevel="0" collapsed="false">
      <c r="A905" s="27"/>
      <c r="B905" s="27" t="s">
        <v>3434</v>
      </c>
      <c r="C905" s="30" t="n">
        <v>92300</v>
      </c>
      <c r="D905" s="31" t="s">
        <v>3403</v>
      </c>
    </row>
    <row r="906" customFormat="false" ht="12.8" hidden="false" customHeight="false" outlineLevel="0" collapsed="false">
      <c r="A906" s="27"/>
      <c r="B906" s="27" t="s">
        <v>3436</v>
      </c>
      <c r="C906" s="30" t="n">
        <v>92300</v>
      </c>
      <c r="D906" s="31" t="s">
        <v>3403</v>
      </c>
    </row>
    <row r="907" customFormat="false" ht="12.8" hidden="false" customHeight="false" outlineLevel="0" collapsed="false">
      <c r="A907" s="27"/>
      <c r="B907" s="27" t="s">
        <v>3438</v>
      </c>
      <c r="C907" s="30" t="n">
        <v>92300</v>
      </c>
      <c r="D907" s="31" t="s">
        <v>3403</v>
      </c>
    </row>
    <row r="908" customFormat="false" ht="12.8" hidden="false" customHeight="false" outlineLevel="0" collapsed="false">
      <c r="A908" s="27"/>
      <c r="B908" s="27" t="s">
        <v>4782</v>
      </c>
      <c r="C908" s="30" t="n">
        <v>92300</v>
      </c>
      <c r="D908" s="31" t="s">
        <v>3403</v>
      </c>
    </row>
    <row r="909" customFormat="false" ht="12.8" hidden="false" customHeight="false" outlineLevel="0" collapsed="false">
      <c r="A909" s="27"/>
      <c r="B909" s="27" t="s">
        <v>3443</v>
      </c>
      <c r="C909" s="30" t="n">
        <v>92300</v>
      </c>
      <c r="D909" s="31" t="s">
        <v>3403</v>
      </c>
    </row>
    <row r="910" customFormat="false" ht="12.8" hidden="false" customHeight="false" outlineLevel="0" collapsed="false">
      <c r="A910" s="27"/>
      <c r="B910" s="27" t="s">
        <v>3445</v>
      </c>
      <c r="C910" s="30" t="n">
        <v>92300</v>
      </c>
      <c r="D910" s="31" t="s">
        <v>3403</v>
      </c>
    </row>
    <row r="911" customFormat="false" ht="12.8" hidden="false" customHeight="false" outlineLevel="0" collapsed="false">
      <c r="A911" s="27"/>
      <c r="B911" s="27" t="s">
        <v>3448</v>
      </c>
      <c r="C911" s="30" t="n">
        <v>92300</v>
      </c>
      <c r="D911" s="31" t="s">
        <v>3403</v>
      </c>
    </row>
    <row r="912" customFormat="false" ht="12.8" hidden="false" customHeight="false" outlineLevel="0" collapsed="false">
      <c r="A912" s="27"/>
      <c r="B912" s="27" t="s">
        <v>3450</v>
      </c>
      <c r="C912" s="30" t="n">
        <v>92300</v>
      </c>
      <c r="D912" s="31" t="s">
        <v>3403</v>
      </c>
    </row>
    <row r="913" customFormat="false" ht="12.8" hidden="false" customHeight="false" outlineLevel="0" collapsed="false">
      <c r="A913" s="27"/>
      <c r="B913" s="27" t="s">
        <v>3454</v>
      </c>
      <c r="C913" s="30" t="n">
        <v>92300</v>
      </c>
      <c r="D913" s="31" t="s">
        <v>3403</v>
      </c>
    </row>
    <row r="914" customFormat="false" ht="12.8" hidden="false" customHeight="false" outlineLevel="0" collapsed="false">
      <c r="A914" s="27"/>
      <c r="B914" s="27" t="s">
        <v>3489</v>
      </c>
      <c r="C914" s="30" t="n">
        <v>92300</v>
      </c>
      <c r="D914" s="31" t="s">
        <v>3403</v>
      </c>
    </row>
    <row r="915" customFormat="false" ht="12.8" hidden="false" customHeight="false" outlineLevel="0" collapsed="false">
      <c r="A915" s="27"/>
      <c r="B915" s="27" t="s">
        <v>3493</v>
      </c>
      <c r="C915" s="30" t="n">
        <v>92300</v>
      </c>
      <c r="D915" s="31" t="s">
        <v>3403</v>
      </c>
    </row>
    <row r="916" customFormat="false" ht="12.8" hidden="false" customHeight="false" outlineLevel="0" collapsed="false">
      <c r="A916" s="27"/>
      <c r="B916" s="27" t="s">
        <v>4783</v>
      </c>
      <c r="C916" s="30" t="n">
        <v>92300</v>
      </c>
      <c r="D916" s="31" t="s">
        <v>3403</v>
      </c>
    </row>
    <row r="917" customFormat="false" ht="12.8" hidden="false" customHeight="false" outlineLevel="0" collapsed="false">
      <c r="A917" s="27"/>
      <c r="B917" s="27" t="s">
        <v>3497</v>
      </c>
      <c r="C917" s="30" t="n">
        <v>92300</v>
      </c>
      <c r="D917" s="31" t="s">
        <v>3403</v>
      </c>
    </row>
    <row r="918" customFormat="false" ht="12.8" hidden="false" customHeight="false" outlineLevel="0" collapsed="false">
      <c r="A918" s="27"/>
      <c r="B918" s="27" t="s">
        <v>3533</v>
      </c>
      <c r="C918" s="30" t="n">
        <v>92300</v>
      </c>
      <c r="D918" s="31" t="s">
        <v>3403</v>
      </c>
    </row>
    <row r="919" customFormat="false" ht="12.8" hidden="false" customHeight="false" outlineLevel="0" collapsed="false">
      <c r="A919" s="27"/>
      <c r="B919" s="27" t="s">
        <v>3535</v>
      </c>
      <c r="C919" s="30" t="n">
        <v>92300</v>
      </c>
      <c r="D919" s="31" t="s">
        <v>3403</v>
      </c>
    </row>
    <row r="920" customFormat="false" ht="12.8" hidden="false" customHeight="false" outlineLevel="0" collapsed="false">
      <c r="A920" s="27"/>
      <c r="B920" s="27" t="s">
        <v>3538</v>
      </c>
      <c r="C920" s="30" t="n">
        <v>92300</v>
      </c>
      <c r="D920" s="31" t="s">
        <v>3403</v>
      </c>
    </row>
    <row r="921" customFormat="false" ht="12.8" hidden="false" customHeight="false" outlineLevel="0" collapsed="false">
      <c r="A921" s="27"/>
      <c r="B921" s="27" t="s">
        <v>3540</v>
      </c>
      <c r="C921" s="30" t="n">
        <v>92300</v>
      </c>
      <c r="D921" s="31" t="s">
        <v>3403</v>
      </c>
    </row>
    <row r="922" customFormat="false" ht="12.8" hidden="false" customHeight="false" outlineLevel="0" collapsed="false">
      <c r="A922" s="27"/>
      <c r="B922" s="27" t="s">
        <v>3541</v>
      </c>
      <c r="C922" s="30" t="n">
        <v>92300</v>
      </c>
      <c r="D922" s="31" t="s">
        <v>3403</v>
      </c>
    </row>
    <row r="923" customFormat="false" ht="12.8" hidden="false" customHeight="false" outlineLevel="0" collapsed="false">
      <c r="A923" s="27"/>
      <c r="B923" s="27" t="s">
        <v>3543</v>
      </c>
      <c r="C923" s="30" t="n">
        <v>92300</v>
      </c>
      <c r="D923" s="31" t="s">
        <v>3403</v>
      </c>
    </row>
    <row r="924" customFormat="false" ht="12.8" hidden="false" customHeight="false" outlineLevel="0" collapsed="false">
      <c r="A924" s="27"/>
      <c r="B924" s="27" t="s">
        <v>3545</v>
      </c>
      <c r="C924" s="30" t="n">
        <v>92300</v>
      </c>
      <c r="D924" s="31" t="s">
        <v>3403</v>
      </c>
    </row>
    <row r="925" customFormat="false" ht="12.8" hidden="false" customHeight="false" outlineLevel="0" collapsed="false">
      <c r="A925" s="27"/>
      <c r="B925" s="27" t="s">
        <v>3548</v>
      </c>
      <c r="C925" s="30" t="n">
        <v>92300</v>
      </c>
      <c r="D925" s="31" t="s">
        <v>3403</v>
      </c>
    </row>
    <row r="926" customFormat="false" ht="12.8" hidden="false" customHeight="false" outlineLevel="0" collapsed="false">
      <c r="A926" s="27"/>
      <c r="B926" s="27" t="s">
        <v>3550</v>
      </c>
      <c r="C926" s="30" t="n">
        <v>92300</v>
      </c>
      <c r="D926" s="31" t="s">
        <v>3403</v>
      </c>
    </row>
    <row r="927" customFormat="false" ht="12.8" hidden="false" customHeight="false" outlineLevel="0" collapsed="false">
      <c r="A927" s="27"/>
      <c r="B927" s="27" t="s">
        <v>3553</v>
      </c>
      <c r="C927" s="30" t="n">
        <v>92300</v>
      </c>
      <c r="D927" s="31" t="s">
        <v>3403</v>
      </c>
    </row>
    <row r="928" customFormat="false" ht="12.8" hidden="false" customHeight="false" outlineLevel="0" collapsed="false">
      <c r="A928" s="27"/>
      <c r="B928" s="27" t="s">
        <v>3555</v>
      </c>
      <c r="C928" s="30" t="n">
        <v>92300</v>
      </c>
      <c r="D928" s="31" t="s">
        <v>3403</v>
      </c>
    </row>
    <row r="929" customFormat="false" ht="12.8" hidden="false" customHeight="false" outlineLevel="0" collapsed="false">
      <c r="A929" s="27"/>
      <c r="B929" s="27" t="s">
        <v>3557</v>
      </c>
      <c r="C929" s="30" t="n">
        <v>92300</v>
      </c>
      <c r="D929" s="31" t="s">
        <v>3403</v>
      </c>
    </row>
    <row r="930" customFormat="false" ht="12.8" hidden="false" customHeight="false" outlineLevel="0" collapsed="false">
      <c r="A930" s="27"/>
      <c r="B930" s="27" t="s">
        <v>3559</v>
      </c>
      <c r="C930" s="30" t="n">
        <v>92300</v>
      </c>
      <c r="D930" s="31" t="s">
        <v>3403</v>
      </c>
    </row>
    <row r="931" customFormat="false" ht="12.8" hidden="false" customHeight="false" outlineLevel="0" collapsed="false">
      <c r="A931" s="27"/>
      <c r="B931" s="27" t="s">
        <v>3561</v>
      </c>
      <c r="C931" s="30" t="n">
        <v>92300</v>
      </c>
      <c r="D931" s="31" t="s">
        <v>3403</v>
      </c>
    </row>
    <row r="932" customFormat="false" ht="12.8" hidden="false" customHeight="false" outlineLevel="0" collapsed="false">
      <c r="A932" s="27"/>
      <c r="B932" s="27" t="s">
        <v>3563</v>
      </c>
      <c r="C932" s="30" t="n">
        <v>92300</v>
      </c>
      <c r="D932" s="31" t="s">
        <v>3403</v>
      </c>
    </row>
    <row r="933" customFormat="false" ht="12.8" hidden="false" customHeight="false" outlineLevel="0" collapsed="false">
      <c r="A933" s="27"/>
      <c r="B933" s="27" t="s">
        <v>3565</v>
      </c>
      <c r="C933" s="30" t="n">
        <v>92300</v>
      </c>
      <c r="D933" s="31" t="s">
        <v>3403</v>
      </c>
    </row>
    <row r="934" customFormat="false" ht="12.8" hidden="false" customHeight="false" outlineLevel="0" collapsed="false">
      <c r="A934" s="27"/>
      <c r="B934" s="27" t="s">
        <v>3568</v>
      </c>
      <c r="C934" s="30" t="n">
        <v>92300</v>
      </c>
      <c r="D934" s="31" t="s">
        <v>3403</v>
      </c>
    </row>
    <row r="935" customFormat="false" ht="12.8" hidden="false" customHeight="false" outlineLevel="0" collapsed="false">
      <c r="A935" s="27"/>
      <c r="B935" s="27" t="s">
        <v>3572</v>
      </c>
      <c r="C935" s="30" t="n">
        <v>92300</v>
      </c>
      <c r="D935" s="31" t="s">
        <v>3403</v>
      </c>
    </row>
    <row r="936" customFormat="false" ht="12.8" hidden="false" customHeight="false" outlineLevel="0" collapsed="false">
      <c r="A936" s="27"/>
      <c r="B936" s="27" t="s">
        <v>3574</v>
      </c>
      <c r="C936" s="30" t="n">
        <v>92300</v>
      </c>
      <c r="D936" s="31" t="s">
        <v>3403</v>
      </c>
    </row>
    <row r="937" customFormat="false" ht="12.8" hidden="false" customHeight="false" outlineLevel="0" collapsed="false">
      <c r="A937" s="27"/>
      <c r="B937" s="27" t="s">
        <v>3576</v>
      </c>
      <c r="C937" s="30" t="n">
        <v>92300</v>
      </c>
      <c r="D937" s="31" t="s">
        <v>3403</v>
      </c>
    </row>
    <row r="938" customFormat="false" ht="12.8" hidden="false" customHeight="false" outlineLevel="0" collapsed="false">
      <c r="A938" s="27"/>
      <c r="B938" s="27" t="s">
        <v>3578</v>
      </c>
      <c r="C938" s="30" t="n">
        <v>92300</v>
      </c>
      <c r="D938" s="31" t="s">
        <v>3403</v>
      </c>
    </row>
    <row r="939" customFormat="false" ht="12.8" hidden="false" customHeight="false" outlineLevel="0" collapsed="false">
      <c r="A939" s="27"/>
      <c r="B939" s="27" t="s">
        <v>3579</v>
      </c>
      <c r="C939" s="30" t="n">
        <v>92300</v>
      </c>
      <c r="D939" s="31" t="s">
        <v>3403</v>
      </c>
    </row>
    <row r="940" customFormat="false" ht="12.8" hidden="false" customHeight="false" outlineLevel="0" collapsed="false">
      <c r="A940" s="27"/>
      <c r="B940" s="27" t="s">
        <v>3582</v>
      </c>
      <c r="C940" s="30" t="n">
        <v>92300</v>
      </c>
      <c r="D940" s="31" t="s">
        <v>3403</v>
      </c>
    </row>
    <row r="941" customFormat="false" ht="12.8" hidden="false" customHeight="false" outlineLevel="0" collapsed="false">
      <c r="A941" s="27"/>
      <c r="B941" s="27" t="s">
        <v>3588</v>
      </c>
      <c r="C941" s="30" t="n">
        <v>92300</v>
      </c>
      <c r="D941" s="31" t="s">
        <v>3403</v>
      </c>
    </row>
    <row r="942" customFormat="false" ht="12.8" hidden="false" customHeight="false" outlineLevel="0" collapsed="false">
      <c r="A942" s="27"/>
      <c r="B942" s="27" t="s">
        <v>4784</v>
      </c>
      <c r="C942" s="30" t="n">
        <v>92300</v>
      </c>
      <c r="D942" s="31" t="s">
        <v>3403</v>
      </c>
    </row>
    <row r="943" customFormat="false" ht="12.8" hidden="false" customHeight="false" outlineLevel="0" collapsed="false">
      <c r="A943" s="27"/>
      <c r="B943" s="27" t="s">
        <v>3594</v>
      </c>
      <c r="C943" s="30" t="n">
        <v>92300</v>
      </c>
      <c r="D943" s="31" t="s">
        <v>3403</v>
      </c>
    </row>
    <row r="944" customFormat="false" ht="12.8" hidden="false" customHeight="false" outlineLevel="0" collapsed="false">
      <c r="A944" s="27"/>
      <c r="B944" s="27" t="s">
        <v>3597</v>
      </c>
      <c r="C944" s="30" t="n">
        <v>92300</v>
      </c>
      <c r="D944" s="31" t="s">
        <v>3403</v>
      </c>
    </row>
    <row r="945" customFormat="false" ht="12.8" hidden="false" customHeight="false" outlineLevel="0" collapsed="false">
      <c r="A945" s="27"/>
      <c r="B945" s="27" t="s">
        <v>3598</v>
      </c>
      <c r="C945" s="30" t="n">
        <v>92300</v>
      </c>
      <c r="D945" s="31" t="s">
        <v>3403</v>
      </c>
    </row>
    <row r="946" customFormat="false" ht="12.8" hidden="false" customHeight="false" outlineLevel="0" collapsed="false">
      <c r="A946" s="27"/>
      <c r="B946" s="27" t="s">
        <v>3603</v>
      </c>
      <c r="C946" s="30" t="n">
        <v>92300</v>
      </c>
      <c r="D946" s="31" t="s">
        <v>3403</v>
      </c>
    </row>
    <row r="947" customFormat="false" ht="12.8" hidden="false" customHeight="false" outlineLevel="0" collapsed="false">
      <c r="A947" s="27"/>
      <c r="B947" s="27" t="s">
        <v>3606</v>
      </c>
      <c r="C947" s="30" t="n">
        <v>92300</v>
      </c>
      <c r="D947" s="31" t="s">
        <v>3403</v>
      </c>
    </row>
    <row r="948" customFormat="false" ht="12.8" hidden="false" customHeight="false" outlineLevel="0" collapsed="false">
      <c r="A948" s="27"/>
      <c r="B948" s="27" t="s">
        <v>3608</v>
      </c>
      <c r="C948" s="30" t="n">
        <v>92300</v>
      </c>
      <c r="D948" s="31" t="s">
        <v>3403</v>
      </c>
    </row>
    <row r="949" customFormat="false" ht="12.8" hidden="false" customHeight="false" outlineLevel="0" collapsed="false">
      <c r="A949" s="27"/>
      <c r="B949" s="27" t="s">
        <v>3610</v>
      </c>
      <c r="C949" s="30" t="n">
        <v>92300</v>
      </c>
      <c r="D949" s="31" t="s">
        <v>3403</v>
      </c>
    </row>
    <row r="950" customFormat="false" ht="12.8" hidden="false" customHeight="false" outlineLevel="0" collapsed="false">
      <c r="A950" s="27"/>
      <c r="B950" s="27" t="s">
        <v>3614</v>
      </c>
      <c r="C950" s="30" t="n">
        <v>92300</v>
      </c>
      <c r="D950" s="31" t="s">
        <v>3403</v>
      </c>
    </row>
    <row r="951" customFormat="false" ht="12.8" hidden="false" customHeight="false" outlineLevel="0" collapsed="false">
      <c r="A951" s="27"/>
      <c r="B951" s="27" t="s">
        <v>3617</v>
      </c>
      <c r="C951" s="30" t="n">
        <v>92300</v>
      </c>
      <c r="D951" s="31" t="s">
        <v>3403</v>
      </c>
    </row>
    <row r="952" customFormat="false" ht="12.8" hidden="false" customHeight="false" outlineLevel="0" collapsed="false">
      <c r="A952" s="27"/>
      <c r="B952" s="27" t="s">
        <v>3619</v>
      </c>
      <c r="C952" s="30" t="n">
        <v>92300</v>
      </c>
      <c r="D952" s="31" t="s">
        <v>3403</v>
      </c>
    </row>
    <row r="953" customFormat="false" ht="12.8" hidden="false" customHeight="false" outlineLevel="0" collapsed="false">
      <c r="A953" s="27"/>
      <c r="B953" s="27" t="s">
        <v>3622</v>
      </c>
      <c r="C953" s="30" t="n">
        <v>92200</v>
      </c>
      <c r="D953" s="31" t="s">
        <v>3403</v>
      </c>
    </row>
    <row r="954" customFormat="false" ht="12.8" hidden="false" customHeight="false" outlineLevel="0" collapsed="false">
      <c r="A954" s="27"/>
      <c r="B954" s="27" t="s">
        <v>3625</v>
      </c>
      <c r="C954" s="30" t="n">
        <v>92200</v>
      </c>
      <c r="D954" s="31" t="s">
        <v>3626</v>
      </c>
    </row>
    <row r="955" customFormat="false" ht="12.8" hidden="false" customHeight="false" outlineLevel="0" collapsed="false">
      <c r="A955" s="27"/>
      <c r="B955" s="27" t="s">
        <v>3628</v>
      </c>
      <c r="C955" s="30" t="n">
        <v>92200</v>
      </c>
      <c r="D955" s="31" t="s">
        <v>3626</v>
      </c>
    </row>
    <row r="956" customFormat="false" ht="12.8" hidden="false" customHeight="false" outlineLevel="0" collapsed="false">
      <c r="A956" s="27"/>
      <c r="B956" s="27" t="s">
        <v>3631</v>
      </c>
      <c r="C956" s="30" t="n">
        <v>92200</v>
      </c>
      <c r="D956" s="31" t="s">
        <v>3626</v>
      </c>
    </row>
    <row r="957" customFormat="false" ht="12.8" hidden="false" customHeight="false" outlineLevel="0" collapsed="false">
      <c r="A957" s="27"/>
      <c r="B957" s="27" t="s">
        <v>4785</v>
      </c>
      <c r="C957" s="30" t="n">
        <v>92200</v>
      </c>
      <c r="D957" s="31" t="s">
        <v>3626</v>
      </c>
    </row>
    <row r="958" customFormat="false" ht="12.8" hidden="false" customHeight="false" outlineLevel="0" collapsed="false">
      <c r="A958" s="27"/>
      <c r="B958" s="27" t="s">
        <v>3636</v>
      </c>
      <c r="C958" s="30" t="n">
        <v>92200</v>
      </c>
      <c r="D958" s="31" t="s">
        <v>3626</v>
      </c>
    </row>
    <row r="959" customFormat="false" ht="12.8" hidden="false" customHeight="false" outlineLevel="0" collapsed="false">
      <c r="A959" s="27"/>
      <c r="B959" s="27" t="s">
        <v>3641</v>
      </c>
      <c r="C959" s="30" t="n">
        <v>92200</v>
      </c>
      <c r="D959" s="31" t="s">
        <v>3626</v>
      </c>
    </row>
    <row r="960" customFormat="false" ht="12.8" hidden="false" customHeight="false" outlineLevel="0" collapsed="false">
      <c r="A960" s="27"/>
      <c r="B960" s="27" t="s">
        <v>3643</v>
      </c>
      <c r="C960" s="30" t="n">
        <v>92200</v>
      </c>
      <c r="D960" s="31" t="s">
        <v>3626</v>
      </c>
    </row>
    <row r="961" customFormat="false" ht="12.8" hidden="false" customHeight="false" outlineLevel="0" collapsed="false">
      <c r="A961" s="27"/>
      <c r="B961" s="27" t="s">
        <v>3645</v>
      </c>
      <c r="C961" s="30" t="n">
        <v>92200</v>
      </c>
      <c r="D961" s="31" t="s">
        <v>3626</v>
      </c>
    </row>
    <row r="962" customFormat="false" ht="12.8" hidden="false" customHeight="false" outlineLevel="0" collapsed="false">
      <c r="A962" s="27"/>
      <c r="B962" s="27" t="s">
        <v>3647</v>
      </c>
      <c r="C962" s="30" t="n">
        <v>92200</v>
      </c>
      <c r="D962" s="31" t="s">
        <v>3626</v>
      </c>
    </row>
    <row r="963" customFormat="false" ht="12.8" hidden="false" customHeight="false" outlineLevel="0" collapsed="false">
      <c r="A963" s="27"/>
      <c r="B963" s="27" t="s">
        <v>3650</v>
      </c>
      <c r="C963" s="30" t="n">
        <v>92200</v>
      </c>
      <c r="D963" s="31" t="s">
        <v>3626</v>
      </c>
    </row>
    <row r="964" customFormat="false" ht="12.8" hidden="false" customHeight="false" outlineLevel="0" collapsed="false">
      <c r="A964" s="27"/>
      <c r="B964" s="27" t="s">
        <v>4786</v>
      </c>
      <c r="C964" s="30" t="n">
        <v>92200</v>
      </c>
      <c r="D964" s="31" t="s">
        <v>3626</v>
      </c>
    </row>
    <row r="965" customFormat="false" ht="12.8" hidden="false" customHeight="false" outlineLevel="0" collapsed="false">
      <c r="A965" s="27"/>
      <c r="B965" s="27" t="s">
        <v>3653</v>
      </c>
      <c r="C965" s="30" t="n">
        <v>92200</v>
      </c>
      <c r="D965" s="31" t="s">
        <v>3626</v>
      </c>
    </row>
    <row r="966" customFormat="false" ht="12.8" hidden="false" customHeight="false" outlineLevel="0" collapsed="false">
      <c r="A966" s="27"/>
      <c r="B966" s="27" t="s">
        <v>4787</v>
      </c>
      <c r="C966" s="30" t="n">
        <v>92200</v>
      </c>
      <c r="D966" s="31" t="s">
        <v>3626</v>
      </c>
    </row>
    <row r="967" customFormat="false" ht="12.8" hidden="false" customHeight="false" outlineLevel="0" collapsed="false">
      <c r="A967" s="27"/>
      <c r="B967" s="27" t="s">
        <v>3657</v>
      </c>
      <c r="C967" s="30" t="n">
        <v>92200</v>
      </c>
      <c r="D967" s="31" t="s">
        <v>3626</v>
      </c>
    </row>
    <row r="968" customFormat="false" ht="12.8" hidden="false" customHeight="false" outlineLevel="0" collapsed="false">
      <c r="A968" s="27"/>
      <c r="B968" s="27" t="s">
        <v>3661</v>
      </c>
      <c r="C968" s="30" t="n">
        <v>92200</v>
      </c>
      <c r="D968" s="31" t="s">
        <v>3626</v>
      </c>
    </row>
    <row r="969" customFormat="false" ht="12.8" hidden="false" customHeight="false" outlineLevel="0" collapsed="false">
      <c r="A969" s="27"/>
      <c r="B969" s="27" t="s">
        <v>3663</v>
      </c>
      <c r="C969" s="30" t="n">
        <v>92200</v>
      </c>
      <c r="D969" s="31" t="s">
        <v>3626</v>
      </c>
    </row>
    <row r="970" customFormat="false" ht="12.8" hidden="false" customHeight="false" outlineLevel="0" collapsed="false">
      <c r="A970" s="27"/>
      <c r="B970" s="27" t="s">
        <v>3664</v>
      </c>
      <c r="C970" s="30" t="n">
        <v>92200</v>
      </c>
      <c r="D970" s="31" t="s">
        <v>3626</v>
      </c>
    </row>
    <row r="971" customFormat="false" ht="12.8" hidden="false" customHeight="false" outlineLevel="0" collapsed="false">
      <c r="A971" s="27"/>
      <c r="B971" s="27" t="s">
        <v>3668</v>
      </c>
      <c r="C971" s="30" t="n">
        <v>92200</v>
      </c>
      <c r="D971" s="31" t="s">
        <v>3626</v>
      </c>
    </row>
    <row r="972" customFormat="false" ht="12.8" hidden="false" customHeight="false" outlineLevel="0" collapsed="false">
      <c r="A972" s="27"/>
      <c r="B972" s="27" t="s">
        <v>3672</v>
      </c>
      <c r="C972" s="30" t="n">
        <v>92200</v>
      </c>
      <c r="D972" s="31" t="s">
        <v>3626</v>
      </c>
    </row>
    <row r="973" customFormat="false" ht="12.8" hidden="false" customHeight="false" outlineLevel="0" collapsed="false">
      <c r="A973" s="27"/>
      <c r="B973" s="27" t="s">
        <v>4788</v>
      </c>
      <c r="C973" s="30" t="n">
        <v>92200</v>
      </c>
      <c r="D973" s="31" t="s">
        <v>3626</v>
      </c>
    </row>
    <row r="974" customFormat="false" ht="12.8" hidden="false" customHeight="false" outlineLevel="0" collapsed="false">
      <c r="A974" s="27"/>
      <c r="B974" s="27" t="s">
        <v>3677</v>
      </c>
      <c r="C974" s="30" t="n">
        <v>92200</v>
      </c>
      <c r="D974" s="31" t="s">
        <v>3626</v>
      </c>
    </row>
    <row r="975" customFormat="false" ht="12.8" hidden="false" customHeight="false" outlineLevel="0" collapsed="false">
      <c r="A975" s="27"/>
      <c r="B975" s="27" t="s">
        <v>3678</v>
      </c>
      <c r="C975" s="30" t="n">
        <v>92200</v>
      </c>
      <c r="D975" s="31" t="s">
        <v>3626</v>
      </c>
    </row>
    <row r="976" customFormat="false" ht="12.8" hidden="false" customHeight="false" outlineLevel="0" collapsed="false">
      <c r="A976" s="27"/>
      <c r="B976" s="27" t="s">
        <v>3681</v>
      </c>
      <c r="C976" s="30" t="n">
        <v>92200</v>
      </c>
      <c r="D976" s="31" t="s">
        <v>3626</v>
      </c>
    </row>
    <row r="977" customFormat="false" ht="12.8" hidden="false" customHeight="false" outlineLevel="0" collapsed="false">
      <c r="A977" s="27"/>
      <c r="B977" s="27" t="s">
        <v>3682</v>
      </c>
      <c r="C977" s="30" t="n">
        <v>92200</v>
      </c>
      <c r="D977" s="31" t="s">
        <v>3626</v>
      </c>
    </row>
    <row r="978" customFormat="false" ht="12.8" hidden="false" customHeight="false" outlineLevel="0" collapsed="false">
      <c r="A978" s="27"/>
      <c r="B978" s="27" t="s">
        <v>3685</v>
      </c>
      <c r="C978" s="30" t="n">
        <v>92200</v>
      </c>
      <c r="D978" s="31" t="s">
        <v>3626</v>
      </c>
    </row>
    <row r="979" customFormat="false" ht="12.8" hidden="false" customHeight="false" outlineLevel="0" collapsed="false">
      <c r="A979" s="27"/>
      <c r="B979" s="27" t="s">
        <v>3699</v>
      </c>
      <c r="C979" s="30" t="n">
        <v>92200</v>
      </c>
      <c r="D979" s="31" t="s">
        <v>3626</v>
      </c>
    </row>
    <row r="980" customFormat="false" ht="12.8" hidden="false" customHeight="false" outlineLevel="0" collapsed="false">
      <c r="A980" s="27"/>
      <c r="B980" s="27" t="s">
        <v>4789</v>
      </c>
      <c r="C980" s="30" t="n">
        <v>92200</v>
      </c>
      <c r="D980" s="31" t="s">
        <v>3626</v>
      </c>
    </row>
    <row r="981" customFormat="false" ht="12.8" hidden="false" customHeight="false" outlineLevel="0" collapsed="false">
      <c r="A981" s="27"/>
      <c r="B981" s="27" t="s">
        <v>3774</v>
      </c>
      <c r="C981" s="30" t="n">
        <v>92200</v>
      </c>
      <c r="D981" s="31" t="s">
        <v>3626</v>
      </c>
    </row>
    <row r="982" customFormat="false" ht="12.8" hidden="false" customHeight="false" outlineLevel="0" collapsed="false">
      <c r="A982" s="27"/>
      <c r="B982" s="27" t="s">
        <v>3785</v>
      </c>
      <c r="C982" s="30" t="n">
        <v>92200</v>
      </c>
      <c r="D982" s="31" t="s">
        <v>3626</v>
      </c>
    </row>
    <row r="983" customFormat="false" ht="12.8" hidden="false" customHeight="false" outlineLevel="0" collapsed="false">
      <c r="A983" s="27"/>
      <c r="B983" s="27" t="s">
        <v>3787</v>
      </c>
      <c r="C983" s="30" t="n">
        <v>92200</v>
      </c>
      <c r="D983" s="31" t="s">
        <v>3626</v>
      </c>
    </row>
    <row r="984" customFormat="false" ht="12.8" hidden="false" customHeight="false" outlineLevel="0" collapsed="false">
      <c r="A984" s="27"/>
      <c r="B984" s="27" t="s">
        <v>3789</v>
      </c>
      <c r="C984" s="30" t="n">
        <v>92200</v>
      </c>
      <c r="D984" s="31" t="s">
        <v>3626</v>
      </c>
    </row>
    <row r="985" customFormat="false" ht="12.8" hidden="false" customHeight="false" outlineLevel="0" collapsed="false">
      <c r="A985" s="27"/>
      <c r="B985" s="27" t="s">
        <v>3794</v>
      </c>
      <c r="C985" s="30" t="n">
        <v>92200</v>
      </c>
      <c r="D985" s="31" t="s">
        <v>3626</v>
      </c>
    </row>
    <row r="986" customFormat="false" ht="12.8" hidden="false" customHeight="false" outlineLevel="0" collapsed="false">
      <c r="A986" s="27"/>
      <c r="B986" s="27" t="s">
        <v>4790</v>
      </c>
      <c r="C986" s="30" t="n">
        <v>92200</v>
      </c>
      <c r="D986" s="31" t="s">
        <v>3626</v>
      </c>
    </row>
    <row r="987" customFormat="false" ht="12.8" hidden="false" customHeight="false" outlineLevel="0" collapsed="false">
      <c r="A987" s="27"/>
      <c r="B987" s="27" t="s">
        <v>3806</v>
      </c>
      <c r="C987" s="30" t="n">
        <v>92200</v>
      </c>
      <c r="D987" s="31" t="s">
        <v>3626</v>
      </c>
    </row>
    <row r="988" customFormat="false" ht="12.8" hidden="false" customHeight="false" outlineLevel="0" collapsed="false">
      <c r="A988" s="27"/>
      <c r="B988" s="27" t="s">
        <v>3816</v>
      </c>
      <c r="C988" s="30" t="n">
        <v>92200</v>
      </c>
      <c r="D988" s="31" t="s">
        <v>3626</v>
      </c>
    </row>
    <row r="989" customFormat="false" ht="12.8" hidden="false" customHeight="false" outlineLevel="0" collapsed="false">
      <c r="A989" s="27"/>
      <c r="B989" s="27" t="s">
        <v>3818</v>
      </c>
      <c r="C989" s="30" t="n">
        <v>92200</v>
      </c>
      <c r="D989" s="31" t="s">
        <v>3626</v>
      </c>
    </row>
    <row r="990" customFormat="false" ht="12.8" hidden="false" customHeight="false" outlineLevel="0" collapsed="false">
      <c r="A990" s="27"/>
      <c r="B990" s="27" t="s">
        <v>3820</v>
      </c>
      <c r="C990" s="30" t="n">
        <v>92200</v>
      </c>
      <c r="D990" s="31" t="s">
        <v>3626</v>
      </c>
    </row>
    <row r="991" customFormat="false" ht="12.8" hidden="false" customHeight="false" outlineLevel="0" collapsed="false">
      <c r="A991" s="27"/>
      <c r="B991" s="27" t="s">
        <v>3865</v>
      </c>
      <c r="C991" s="30" t="n">
        <v>92200</v>
      </c>
      <c r="D991" s="31" t="s">
        <v>3626</v>
      </c>
    </row>
    <row r="992" customFormat="false" ht="12.8" hidden="false" customHeight="false" outlineLevel="0" collapsed="false">
      <c r="A992" s="27"/>
      <c r="B992" s="27" t="s">
        <v>3867</v>
      </c>
      <c r="C992" s="30" t="n">
        <v>92200</v>
      </c>
      <c r="D992" s="31" t="s">
        <v>3626</v>
      </c>
    </row>
    <row r="993" customFormat="false" ht="12.8" hidden="false" customHeight="false" outlineLevel="0" collapsed="false">
      <c r="A993" s="27"/>
      <c r="B993" s="27" t="s">
        <v>3870</v>
      </c>
      <c r="C993" s="30" t="n">
        <v>92200</v>
      </c>
      <c r="D993" s="31" t="s">
        <v>3626</v>
      </c>
    </row>
    <row r="994" customFormat="false" ht="12.8" hidden="false" customHeight="false" outlineLevel="0" collapsed="false">
      <c r="A994" s="27"/>
      <c r="B994" s="27" t="s">
        <v>3872</v>
      </c>
      <c r="C994" s="30" t="n">
        <v>92200</v>
      </c>
      <c r="D994" s="31" t="s">
        <v>3626</v>
      </c>
    </row>
    <row r="995" customFormat="false" ht="12.8" hidden="false" customHeight="false" outlineLevel="0" collapsed="false">
      <c r="A995" s="27"/>
      <c r="B995" s="27" t="s">
        <v>4791</v>
      </c>
      <c r="C995" s="30" t="n">
        <v>92200</v>
      </c>
      <c r="D995" s="31" t="s">
        <v>3626</v>
      </c>
    </row>
    <row r="996" customFormat="false" ht="12.8" hidden="false" customHeight="false" outlineLevel="0" collapsed="false">
      <c r="A996" s="27"/>
      <c r="B996" s="27" t="s">
        <v>3877</v>
      </c>
      <c r="C996" s="30" t="n">
        <v>92200</v>
      </c>
      <c r="D996" s="31" t="s">
        <v>3626</v>
      </c>
    </row>
    <row r="997" customFormat="false" ht="12.8" hidden="false" customHeight="false" outlineLevel="0" collapsed="false">
      <c r="A997" s="27"/>
      <c r="B997" s="27" t="s">
        <v>3879</v>
      </c>
      <c r="C997" s="30" t="n">
        <v>92200</v>
      </c>
      <c r="D997" s="31" t="s">
        <v>3626</v>
      </c>
    </row>
    <row r="998" customFormat="false" ht="12.8" hidden="false" customHeight="false" outlineLevel="0" collapsed="false">
      <c r="A998" s="27"/>
      <c r="B998" s="27" t="s">
        <v>3883</v>
      </c>
      <c r="C998" s="30" t="n">
        <v>92200</v>
      </c>
      <c r="D998" s="31" t="s">
        <v>3626</v>
      </c>
    </row>
    <row r="999" customFormat="false" ht="12.8" hidden="false" customHeight="false" outlineLevel="0" collapsed="false">
      <c r="A999" s="27"/>
      <c r="B999" s="27" t="s">
        <v>3885</v>
      </c>
      <c r="C999" s="30" t="n">
        <v>92200</v>
      </c>
      <c r="D999" s="31" t="s">
        <v>3626</v>
      </c>
    </row>
  </sheetData>
  <autoFilter ref="A1:D9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44" activeCellId="0" sqref="E44"/>
    </sheetView>
  </sheetViews>
  <sheetFormatPr defaultColWidth="14.40625" defaultRowHeight="12.8" zeroHeight="false" outlineLevelRow="0" outlineLevelCol="0"/>
  <cols>
    <col collapsed="false" customWidth="true" hidden="false" outlineLevel="0" max="1" min="1" style="197" width="22.25"/>
    <col collapsed="false" customWidth="true" hidden="false" outlineLevel="0" max="2" min="2" style="197" width="27.59"/>
    <col collapsed="false" customWidth="true" hidden="false" outlineLevel="0" max="3" min="3" style="197" width="32.32"/>
    <col collapsed="false" customWidth="true" hidden="false" outlineLevel="0" max="4" min="4" style="197" width="13.87"/>
    <col collapsed="false" customWidth="true" hidden="false" outlineLevel="0" max="5" min="5" style="197" width="132.31"/>
    <col collapsed="false" customWidth="true" hidden="false" outlineLevel="0" max="6" min="6" style="0" width="32.96"/>
  </cols>
  <sheetData>
    <row r="1" customFormat="false" ht="12.8" hidden="false" customHeight="false" outlineLevel="0" collapsed="false">
      <c r="A1" s="198" t="s">
        <v>2595</v>
      </c>
      <c r="B1" s="197" t="s">
        <v>4792</v>
      </c>
      <c r="C1" s="197" t="s">
        <v>4793</v>
      </c>
      <c r="D1" s="197" t="s">
        <v>121</v>
      </c>
      <c r="E1" s="199" t="s">
        <v>4794</v>
      </c>
      <c r="F1" s="200" t="s">
        <v>4795</v>
      </c>
    </row>
    <row r="2" customFormat="false" ht="12.8" hidden="false" customHeight="false" outlineLevel="0" collapsed="false">
      <c r="A2" s="198" t="s">
        <v>2592</v>
      </c>
      <c r="B2" s="197" t="s">
        <v>4792</v>
      </c>
      <c r="C2" s="197" t="s">
        <v>4793</v>
      </c>
      <c r="D2" s="197" t="s">
        <v>121</v>
      </c>
      <c r="E2" s="199"/>
      <c r="F2" s="200"/>
    </row>
    <row r="3" customFormat="false" ht="12.8" hidden="false" customHeight="false" outlineLevel="0" collapsed="false">
      <c r="A3" s="198" t="s">
        <v>1689</v>
      </c>
      <c r="B3" s="197" t="s">
        <v>4792</v>
      </c>
      <c r="C3" s="197" t="s">
        <v>4793</v>
      </c>
      <c r="D3" s="197" t="s">
        <v>121</v>
      </c>
      <c r="E3" s="199"/>
      <c r="F3" s="200"/>
    </row>
    <row r="4" customFormat="false" ht="12.8" hidden="false" customHeight="false" outlineLevel="0" collapsed="false">
      <c r="A4" s="198" t="s">
        <v>2206</v>
      </c>
      <c r="B4" s="197" t="s">
        <v>4792</v>
      </c>
      <c r="C4" s="197" t="s">
        <v>4793</v>
      </c>
      <c r="D4" s="197" t="s">
        <v>121</v>
      </c>
      <c r="E4" s="199"/>
      <c r="F4" s="200"/>
    </row>
    <row r="5" customFormat="false" ht="12.8" hidden="false" customHeight="false" outlineLevel="0" collapsed="false">
      <c r="B5" s="201" t="s">
        <v>4796</v>
      </c>
      <c r="C5" s="201" t="s">
        <v>4797</v>
      </c>
      <c r="D5" s="201" t="s">
        <v>4798</v>
      </c>
    </row>
    <row r="6" customFormat="false" ht="12.8" hidden="false" customHeight="false" outlineLevel="0" collapsed="false">
      <c r="C6" s="197" t="s">
        <v>4799</v>
      </c>
    </row>
    <row r="7" customFormat="false" ht="12.8" hidden="false" customHeight="false" outlineLevel="0" collapsed="false">
      <c r="A7" s="197" t="s">
        <v>2439</v>
      </c>
      <c r="C7" s="198" t="s">
        <v>2440</v>
      </c>
      <c r="D7" s="197" t="s">
        <v>138</v>
      </c>
      <c r="F7" s="0" t="s">
        <v>164</v>
      </c>
    </row>
    <row r="8" customFormat="false" ht="12.8" hidden="false" customHeight="false" outlineLevel="0" collapsed="false">
      <c r="A8" s="197" t="s">
        <v>4800</v>
      </c>
      <c r="E8" s="0"/>
      <c r="F8" s="197" t="s">
        <v>164</v>
      </c>
    </row>
    <row r="9" customFormat="false" ht="12.8" hidden="false" customHeight="false" outlineLevel="0" collapsed="false">
      <c r="A9" s="197" t="s">
        <v>3009</v>
      </c>
      <c r="E9" s="0"/>
      <c r="F9" s="197" t="s">
        <v>164</v>
      </c>
    </row>
    <row r="10" customFormat="false" ht="12.8" hidden="false" customHeight="false" outlineLevel="0" collapsed="false">
      <c r="A10" s="197" t="s">
        <v>682</v>
      </c>
      <c r="F10" s="45" t="s">
        <v>164</v>
      </c>
    </row>
    <row r="11" customFormat="false" ht="64.15" hidden="false" customHeight="false" outlineLevel="0" collapsed="false">
      <c r="A11" s="0"/>
      <c r="B11" s="27" t="s">
        <v>4801</v>
      </c>
      <c r="D11" s="27" t="s">
        <v>4802</v>
      </c>
      <c r="E11" s="202" t="s">
        <v>4803</v>
      </c>
    </row>
    <row r="12" customFormat="false" ht="12.8" hidden="false" customHeight="false" outlineLevel="0" collapsed="false">
      <c r="A12" s="197" t="s">
        <v>4804</v>
      </c>
      <c r="D12" s="197" t="s">
        <v>4805</v>
      </c>
      <c r="F12" s="0" t="s">
        <v>3569</v>
      </c>
    </row>
    <row r="13" customFormat="false" ht="12.8" hidden="false" customHeight="false" outlineLevel="0" collapsed="false">
      <c r="A13" s="203" t="s">
        <v>1153</v>
      </c>
      <c r="D13" s="197" t="s">
        <v>178</v>
      </c>
      <c r="F13" s="204" t="s">
        <v>4806</v>
      </c>
    </row>
    <row r="14" customFormat="false" ht="12.8" hidden="false" customHeight="false" outlineLevel="0" collapsed="false">
      <c r="B14" s="198" t="s">
        <v>4807</v>
      </c>
      <c r="C14" s="197" t="s">
        <v>4808</v>
      </c>
      <c r="F14" s="0" t="s">
        <v>4809</v>
      </c>
    </row>
    <row r="15" customFormat="false" ht="12.8" hidden="false" customHeight="false" outlineLevel="0" collapsed="false">
      <c r="A15" s="197" t="s">
        <v>4810</v>
      </c>
      <c r="C15" s="197" t="s">
        <v>4811</v>
      </c>
      <c r="D15" s="197" t="s">
        <v>138</v>
      </c>
      <c r="F15" s="205" t="s">
        <v>4812</v>
      </c>
    </row>
    <row r="16" customFormat="false" ht="12.8" hidden="false" customHeight="false" outlineLevel="0" collapsed="false">
      <c r="A16" s="203" t="s">
        <v>4813</v>
      </c>
      <c r="C16" s="197" t="s">
        <v>4814</v>
      </c>
      <c r="D16" s="197" t="s">
        <v>138</v>
      </c>
      <c r="F16" s="0" t="s">
        <v>4815</v>
      </c>
    </row>
    <row r="17" customFormat="false" ht="12.8" hidden="false" customHeight="false" outlineLevel="0" collapsed="false">
      <c r="A17" s="203" t="s">
        <v>1456</v>
      </c>
      <c r="C17" s="197" t="s">
        <v>4816</v>
      </c>
      <c r="D17" s="197" t="s">
        <v>138</v>
      </c>
      <c r="F17" s="0" t="s">
        <v>4817</v>
      </c>
    </row>
    <row r="18" customFormat="false" ht="12.8" hidden="false" customHeight="false" outlineLevel="0" collapsed="false">
      <c r="A18" s="197" t="s">
        <v>4818</v>
      </c>
      <c r="C18" s="197" t="s">
        <v>4816</v>
      </c>
      <c r="D18" s="197" t="s">
        <v>138</v>
      </c>
      <c r="F18" s="0" t="s">
        <v>164</v>
      </c>
    </row>
    <row r="19" customFormat="false" ht="19.4" hidden="false" customHeight="false" outlineLevel="0" collapsed="false">
      <c r="A19" s="197" t="s">
        <v>4819</v>
      </c>
      <c r="C19" s="197" t="s">
        <v>4820</v>
      </c>
      <c r="D19" s="197" t="s">
        <v>138</v>
      </c>
      <c r="E19" s="202" t="s">
        <v>4821</v>
      </c>
      <c r="F19" s="0" t="n">
        <v>0</v>
      </c>
    </row>
    <row r="20" customFormat="false" ht="12.8" hidden="false" customHeight="false" outlineLevel="0" collapsed="false">
      <c r="A20" s="197" t="s">
        <v>4822</v>
      </c>
      <c r="C20" s="197" t="s">
        <v>4823</v>
      </c>
      <c r="D20" s="197" t="s">
        <v>138</v>
      </c>
      <c r="E20" s="197" t="s">
        <v>4824</v>
      </c>
    </row>
    <row r="21" customFormat="false" ht="12.8" hidden="false" customHeight="false" outlineLevel="0" collapsed="false">
      <c r="A21" s="197" t="s">
        <v>4825</v>
      </c>
    </row>
    <row r="22" customFormat="false" ht="12.8" hidden="false" customHeight="false" outlineLevel="0" collapsed="false">
      <c r="A22" s="197" t="s">
        <v>2909</v>
      </c>
      <c r="C22" s="197" t="s">
        <v>4826</v>
      </c>
      <c r="D22" s="197" t="s">
        <v>138</v>
      </c>
    </row>
    <row r="23" customFormat="false" ht="12.8" hidden="false" customHeight="false" outlineLevel="0" collapsed="false">
      <c r="A23" s="197" t="s">
        <v>3101</v>
      </c>
      <c r="C23" s="197" t="s">
        <v>4826</v>
      </c>
      <c r="D23" s="197" t="s">
        <v>138</v>
      </c>
    </row>
    <row r="24" customFormat="false" ht="12.8" hidden="false" customHeight="false" outlineLevel="0" collapsed="false">
      <c r="B24" s="197" t="s">
        <v>4827</v>
      </c>
      <c r="C24" s="197" t="s">
        <v>2824</v>
      </c>
      <c r="D24" s="197" t="s">
        <v>138</v>
      </c>
    </row>
    <row r="25" customFormat="false" ht="12.8" hidden="false" customHeight="false" outlineLevel="0" collapsed="false">
      <c r="A25" s="197" t="s">
        <v>1053</v>
      </c>
      <c r="B25" s="197" t="s">
        <v>4828</v>
      </c>
      <c r="C25" s="197" t="s">
        <v>4829</v>
      </c>
      <c r="F25" s="0" t="s">
        <v>4830</v>
      </c>
    </row>
    <row r="26" customFormat="false" ht="12.8" hidden="false" customHeight="false" outlineLevel="0" collapsed="false">
      <c r="A26" s="197" t="s">
        <v>4831</v>
      </c>
      <c r="C26" s="197" t="s">
        <v>4832</v>
      </c>
      <c r="D26" s="197" t="s">
        <v>138</v>
      </c>
    </row>
    <row r="27" customFormat="false" ht="12.8" hidden="false" customHeight="false" outlineLevel="0" collapsed="false">
      <c r="A27" s="197" t="s">
        <v>4833</v>
      </c>
      <c r="C27" s="197" t="s">
        <v>4832</v>
      </c>
      <c r="D27" s="197" t="s">
        <v>138</v>
      </c>
    </row>
    <row r="28" customFormat="false" ht="12.8" hidden="false" customHeight="false" outlineLevel="0" collapsed="false">
      <c r="A28" s="197" t="s">
        <v>3833</v>
      </c>
      <c r="C28" s="197" t="s">
        <v>4832</v>
      </c>
      <c r="D28" s="197" t="s">
        <v>138</v>
      </c>
    </row>
    <row r="29" customFormat="false" ht="12.8" hidden="false" customHeight="false" outlineLevel="0" collapsed="false">
      <c r="A29" s="197" t="s">
        <v>2136</v>
      </c>
    </row>
    <row r="30" customFormat="false" ht="12.8" hidden="false" customHeight="false" outlineLevel="0" collapsed="false">
      <c r="A30" s="197" t="s">
        <v>4834</v>
      </c>
    </row>
    <row r="31" customFormat="false" ht="64.15" hidden="false" customHeight="false" outlineLevel="0" collapsed="false">
      <c r="B31" s="27" t="s">
        <v>85</v>
      </c>
      <c r="C31" s="27" t="s">
        <v>4835</v>
      </c>
      <c r="D31" s="27" t="s">
        <v>4836</v>
      </c>
      <c r="E31" s="202" t="s">
        <v>4837</v>
      </c>
    </row>
    <row r="32" customFormat="false" ht="12.8" hidden="false" customHeight="false" outlineLevel="0" collapsed="false">
      <c r="A32" s="197" t="s">
        <v>4838</v>
      </c>
      <c r="C32" s="197" t="s">
        <v>4839</v>
      </c>
      <c r="D32" s="197" t="s">
        <v>178</v>
      </c>
      <c r="E32" s="0"/>
    </row>
    <row r="33" customFormat="false" ht="12.8" hidden="false" customHeight="false" outlineLevel="0" collapsed="false">
      <c r="A33" s="197" t="s">
        <v>980</v>
      </c>
      <c r="D33" s="197" t="s">
        <v>41</v>
      </c>
    </row>
    <row r="34" customFormat="false" ht="12.8" hidden="false" customHeight="false" outlineLevel="0" collapsed="false">
      <c r="A34" s="197" t="s">
        <v>729</v>
      </c>
      <c r="D34" s="197" t="s">
        <v>41</v>
      </c>
    </row>
    <row r="35" customFormat="false" ht="12.8" hidden="false" customHeight="false" outlineLevel="0" collapsed="false">
      <c r="A35" s="197" t="s">
        <v>4840</v>
      </c>
      <c r="C35" s="197" t="s">
        <v>4841</v>
      </c>
      <c r="D35" s="197" t="s">
        <v>100</v>
      </c>
    </row>
    <row r="36" customFormat="false" ht="12.8" hidden="false" customHeight="false" outlineLevel="0" collapsed="false">
      <c r="A36" s="197" t="s">
        <v>134</v>
      </c>
      <c r="B36" s="197" t="s">
        <v>4828</v>
      </c>
      <c r="D36" s="197" t="s">
        <v>41</v>
      </c>
      <c r="F36" s="0" t="s">
        <v>4830</v>
      </c>
    </row>
    <row r="37" customFormat="false" ht="12.8" hidden="false" customHeight="false" outlineLevel="0" collapsed="false">
      <c r="A37" s="197" t="s">
        <v>4842</v>
      </c>
      <c r="C37" s="197" t="s">
        <v>4843</v>
      </c>
      <c r="D37" s="197" t="s">
        <v>138</v>
      </c>
    </row>
  </sheetData>
  <mergeCells count="2">
    <mergeCell ref="E1:E4"/>
    <mergeCell ref="F1:F4"/>
  </mergeCells>
  <conditionalFormatting sqref="B31">
    <cfRule type="expression" priority="2" aboveAverage="0" equalAverage="0" bottom="0" percent="0" rank="0" text="" dxfId="193">
      <formula>$Z31="NO"</formula>
    </cfRule>
  </conditionalFormatting>
  <hyperlinks>
    <hyperlink ref="F15" r:id="rId1" display="MAIL cabinet.trabbia.15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2023-03-03T10:58:38Z</dcterms:created>
  <dc:creator>ABDUL Ibrahim</dc:creator>
  <dc:description/>
  <dc:language>fr-FR</dc:language>
  <cp:lastModifiedBy/>
  <cp:lastPrinted>2023-10-13T07:30:21Z</cp:lastPrinted>
  <dcterms:modified xsi:type="dcterms:W3CDTF">2023-10-26T02:57:01Z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